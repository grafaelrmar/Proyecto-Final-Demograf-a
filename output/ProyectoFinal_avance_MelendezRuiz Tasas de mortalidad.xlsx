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58D1325-AD79-4206-BA4B-75859D94BEF8}" xr6:coauthVersionLast="47" xr6:coauthVersionMax="47" xr10:uidLastSave="{00000000-0000-0000-0000-000000000000}"/>
  <bookViews>
    <workbookView xWindow="-120" yWindow="-120" windowWidth="20730" windowHeight="11310" activeTab="3" xr2:uid="{00000000-000D-0000-FFFF-FFFF00000000}"/>
  </bookViews>
  <sheets>
    <sheet name="2010" sheetId="1" r:id="rId1"/>
    <sheet name="2020" sheetId="3" r:id="rId2"/>
    <sheet name="2010 y 2020" sheetId="2" r:id="rId3"/>
    <sheet name="Serie de defunciones" sheetId="6" r:id="rId4"/>
  </sheets>
  <definedNames>
    <definedName name="_xlnm._FilterDatabase" localSheetId="3" hidden="1">'Serie de defunciones'!$A$6:$H$2936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8" i="6" l="1"/>
  <c r="AP7" i="6"/>
  <c r="AP9" i="6"/>
  <c r="AO8" i="6"/>
  <c r="AO7" i="6"/>
  <c r="AO10" i="6"/>
  <c r="L5" i="2"/>
  <c r="H10" i="1"/>
  <c r="H11" i="1"/>
  <c r="H12" i="1"/>
  <c r="H13" i="1"/>
  <c r="C10" i="2" s="1"/>
  <c r="H14" i="1"/>
  <c r="H15" i="1"/>
  <c r="H16" i="1"/>
  <c r="C13" i="2" s="1"/>
  <c r="H17" i="1"/>
  <c r="C14" i="2" s="1"/>
  <c r="H18" i="1"/>
  <c r="H19" i="1"/>
  <c r="H20" i="1"/>
  <c r="C17" i="2" s="1"/>
  <c r="H21" i="1"/>
  <c r="C18" i="2" s="1"/>
  <c r="H22" i="1"/>
  <c r="H23" i="1"/>
  <c r="H24" i="1"/>
  <c r="H25" i="1"/>
  <c r="C22" i="2" s="1"/>
  <c r="H26" i="1"/>
  <c r="H9" i="1"/>
  <c r="H8" i="1"/>
  <c r="G10" i="1"/>
  <c r="G11" i="1"/>
  <c r="G12" i="1"/>
  <c r="G13" i="1"/>
  <c r="B10" i="2" s="1"/>
  <c r="G14" i="1"/>
  <c r="G15" i="1"/>
  <c r="G16" i="1"/>
  <c r="B13" i="2" s="1"/>
  <c r="G17" i="1"/>
  <c r="B14" i="2" s="1"/>
  <c r="G18" i="1"/>
  <c r="G19" i="1"/>
  <c r="G20" i="1"/>
  <c r="G21" i="1"/>
  <c r="B18" i="2" s="1"/>
  <c r="G22" i="1"/>
  <c r="G23" i="1"/>
  <c r="G24" i="1"/>
  <c r="G25" i="1"/>
  <c r="B22" i="2" s="1"/>
  <c r="G26" i="1"/>
  <c r="G9" i="1"/>
  <c r="G8" i="1"/>
  <c r="H8" i="3"/>
  <c r="H9" i="3"/>
  <c r="G8" i="3"/>
  <c r="G9" i="3"/>
  <c r="F8" i="3"/>
  <c r="F9" i="3"/>
  <c r="H13" i="3"/>
  <c r="H14" i="3"/>
  <c r="H15" i="3"/>
  <c r="H16" i="3"/>
  <c r="H17" i="3"/>
  <c r="H18" i="3"/>
  <c r="H19" i="3"/>
  <c r="H20" i="3"/>
  <c r="E17" i="2" s="1"/>
  <c r="H21" i="3"/>
  <c r="H22" i="3"/>
  <c r="H23" i="3"/>
  <c r="H24" i="3"/>
  <c r="E21" i="2" s="1"/>
  <c r="H25" i="3"/>
  <c r="H26" i="3"/>
  <c r="H12" i="3"/>
  <c r="H11" i="3"/>
  <c r="H10" i="3"/>
  <c r="G25" i="3"/>
  <c r="G26" i="3"/>
  <c r="G11" i="3"/>
  <c r="G12" i="3"/>
  <c r="G13" i="3"/>
  <c r="G14" i="3"/>
  <c r="D11" i="2" s="1"/>
  <c r="G15" i="3"/>
  <c r="G16" i="3"/>
  <c r="G17" i="3"/>
  <c r="G18" i="3"/>
  <c r="D15" i="2" s="1"/>
  <c r="G19" i="3"/>
  <c r="G20" i="3"/>
  <c r="G21" i="3"/>
  <c r="G22" i="3"/>
  <c r="D19" i="2" s="1"/>
  <c r="G23" i="3"/>
  <c r="G24" i="3"/>
  <c r="D23" i="2"/>
  <c r="G10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11" i="3"/>
  <c r="F10" i="3"/>
  <c r="B8" i="3"/>
  <c r="B9" i="3"/>
  <c r="F7" i="1"/>
  <c r="F8" i="1"/>
  <c r="F9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11" i="1"/>
  <c r="F10" i="1"/>
  <c r="B9" i="1"/>
  <c r="B8" i="1"/>
  <c r="M5" i="2"/>
  <c r="M6" i="2"/>
  <c r="L6" i="2"/>
  <c r="I5" i="2"/>
  <c r="I6" i="2"/>
  <c r="H5" i="2"/>
  <c r="H6" i="2"/>
  <c r="B7" i="6"/>
  <c r="B8" i="6"/>
  <c r="B9" i="6"/>
  <c r="AO9" i="6"/>
  <c r="B10" i="6"/>
  <c r="AP10" i="6"/>
  <c r="B11" i="6"/>
  <c r="AO11" i="6"/>
  <c r="AP11" i="6"/>
  <c r="B12" i="6"/>
  <c r="AO12" i="6"/>
  <c r="AP12" i="6"/>
  <c r="B13" i="6"/>
  <c r="AO13" i="6"/>
  <c r="AP13" i="6"/>
  <c r="B14" i="6"/>
  <c r="AO14" i="6"/>
  <c r="AP14" i="6"/>
  <c r="B15" i="6"/>
  <c r="AO15" i="6"/>
  <c r="AP15" i="6"/>
  <c r="B16" i="6"/>
  <c r="AO16" i="6"/>
  <c r="AP16" i="6"/>
  <c r="B17" i="6"/>
  <c r="AO17" i="6"/>
  <c r="AP17" i="6"/>
  <c r="B18" i="6"/>
  <c r="AO18" i="6"/>
  <c r="AP18" i="6"/>
  <c r="B19" i="6"/>
  <c r="AO19" i="6"/>
  <c r="AP19" i="6"/>
  <c r="B20" i="6"/>
  <c r="AO20" i="6"/>
  <c r="AP20" i="6"/>
  <c r="B21" i="6"/>
  <c r="AO21" i="6"/>
  <c r="AP21" i="6"/>
  <c r="B22" i="6"/>
  <c r="AO22" i="6"/>
  <c r="AP22" i="6"/>
  <c r="B23" i="6"/>
  <c r="AO23" i="6"/>
  <c r="AP23" i="6"/>
  <c r="B24" i="6"/>
  <c r="AO24" i="6"/>
  <c r="AP24" i="6"/>
  <c r="B25" i="6"/>
  <c r="AO25" i="6"/>
  <c r="AP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2694" i="6"/>
  <c r="B2695" i="6"/>
  <c r="B2696" i="6"/>
  <c r="B2697" i="6"/>
  <c r="B2698" i="6"/>
  <c r="B2699" i="6"/>
  <c r="B2700" i="6"/>
  <c r="B2701" i="6"/>
  <c r="B2702" i="6"/>
  <c r="B2703" i="6"/>
  <c r="B2704" i="6"/>
  <c r="B2705" i="6"/>
  <c r="B2706" i="6"/>
  <c r="B2707" i="6"/>
  <c r="B2708" i="6"/>
  <c r="B2709" i="6"/>
  <c r="B2710" i="6"/>
  <c r="B2711" i="6"/>
  <c r="B2712" i="6"/>
  <c r="B2713" i="6"/>
  <c r="B2714" i="6"/>
  <c r="B2715" i="6"/>
  <c r="B2716" i="6"/>
  <c r="B2717" i="6"/>
  <c r="B2718" i="6"/>
  <c r="B2719" i="6"/>
  <c r="B2720" i="6"/>
  <c r="B2721" i="6"/>
  <c r="B2722" i="6"/>
  <c r="B2723" i="6"/>
  <c r="B2724" i="6"/>
  <c r="B2725" i="6"/>
  <c r="B2726" i="6"/>
  <c r="B2727" i="6"/>
  <c r="B2728" i="6"/>
  <c r="B2729" i="6"/>
  <c r="B2730" i="6"/>
  <c r="B2731" i="6"/>
  <c r="B2732" i="6"/>
  <c r="B2733" i="6"/>
  <c r="B2734" i="6"/>
  <c r="B2735" i="6"/>
  <c r="B2736" i="6"/>
  <c r="B2737" i="6"/>
  <c r="B2738" i="6"/>
  <c r="B2739" i="6"/>
  <c r="B2740" i="6"/>
  <c r="B2741" i="6"/>
  <c r="B2742" i="6"/>
  <c r="B2743" i="6"/>
  <c r="B2744" i="6"/>
  <c r="B2745" i="6"/>
  <c r="B2746" i="6"/>
  <c r="B2747" i="6"/>
  <c r="B2748" i="6"/>
  <c r="B2749" i="6"/>
  <c r="B2750" i="6"/>
  <c r="B2751" i="6"/>
  <c r="B2752" i="6"/>
  <c r="B2753" i="6"/>
  <c r="B2754" i="6"/>
  <c r="B2755" i="6"/>
  <c r="B2756" i="6"/>
  <c r="B2757" i="6"/>
  <c r="B2758" i="6"/>
  <c r="B2759" i="6"/>
  <c r="B2760" i="6"/>
  <c r="B2761" i="6"/>
  <c r="B2762" i="6"/>
  <c r="B2763" i="6"/>
  <c r="B2764" i="6"/>
  <c r="B2765" i="6"/>
  <c r="B2766" i="6"/>
  <c r="B2767" i="6"/>
  <c r="B2768" i="6"/>
  <c r="B2769" i="6"/>
  <c r="B2770" i="6"/>
  <c r="B2771" i="6"/>
  <c r="B2772" i="6"/>
  <c r="B2773" i="6"/>
  <c r="B2774" i="6"/>
  <c r="B2775" i="6"/>
  <c r="B2776" i="6"/>
  <c r="B2777" i="6"/>
  <c r="B2778" i="6"/>
  <c r="B2779" i="6"/>
  <c r="B2780" i="6"/>
  <c r="B2781" i="6"/>
  <c r="B2782" i="6"/>
  <c r="B2783" i="6"/>
  <c r="B2784" i="6"/>
  <c r="B2785" i="6"/>
  <c r="B2786" i="6"/>
  <c r="B2787" i="6"/>
  <c r="B2788" i="6"/>
  <c r="B2789" i="6"/>
  <c r="B2790" i="6"/>
  <c r="B2791" i="6"/>
  <c r="B2792" i="6"/>
  <c r="B2793" i="6"/>
  <c r="B2794" i="6"/>
  <c r="B2795" i="6"/>
  <c r="B2796" i="6"/>
  <c r="B2797" i="6"/>
  <c r="B2798" i="6"/>
  <c r="B2799" i="6"/>
  <c r="B2800" i="6"/>
  <c r="B2801" i="6"/>
  <c r="B2802" i="6"/>
  <c r="B2803" i="6"/>
  <c r="B2804" i="6"/>
  <c r="B2805" i="6"/>
  <c r="B2806" i="6"/>
  <c r="B2807" i="6"/>
  <c r="B2808" i="6"/>
  <c r="B2809" i="6"/>
  <c r="B2810" i="6"/>
  <c r="B2811" i="6"/>
  <c r="B2812" i="6"/>
  <c r="B2813" i="6"/>
  <c r="B2814" i="6"/>
  <c r="B2815" i="6"/>
  <c r="B2816" i="6"/>
  <c r="B2817" i="6"/>
  <c r="B2818" i="6"/>
  <c r="B2819" i="6"/>
  <c r="B2820" i="6"/>
  <c r="B2821" i="6"/>
  <c r="B2822" i="6"/>
  <c r="B2823" i="6"/>
  <c r="B2824" i="6"/>
  <c r="B2825" i="6"/>
  <c r="B2826" i="6"/>
  <c r="B2827" i="6"/>
  <c r="B2828" i="6"/>
  <c r="B2829" i="6"/>
  <c r="B2830" i="6"/>
  <c r="B2831" i="6"/>
  <c r="B2832" i="6"/>
  <c r="B2833" i="6"/>
  <c r="B2834" i="6"/>
  <c r="B2835" i="6"/>
  <c r="B2836" i="6"/>
  <c r="B2837" i="6"/>
  <c r="B2838" i="6"/>
  <c r="B2839" i="6"/>
  <c r="B2840" i="6"/>
  <c r="B2841" i="6"/>
  <c r="B2842" i="6"/>
  <c r="B2843" i="6"/>
  <c r="B2844" i="6"/>
  <c r="B2845" i="6"/>
  <c r="B2846" i="6"/>
  <c r="B2847" i="6"/>
  <c r="B2848" i="6"/>
  <c r="B2849" i="6"/>
  <c r="B2850" i="6"/>
  <c r="B2851" i="6"/>
  <c r="B2852" i="6"/>
  <c r="B2853" i="6"/>
  <c r="B2854" i="6"/>
  <c r="B2855" i="6"/>
  <c r="B2856" i="6"/>
  <c r="B2857" i="6"/>
  <c r="B2858" i="6"/>
  <c r="B2859" i="6"/>
  <c r="B2860" i="6"/>
  <c r="B2861" i="6"/>
  <c r="B2862" i="6"/>
  <c r="B2863" i="6"/>
  <c r="B2864" i="6"/>
  <c r="B2865" i="6"/>
  <c r="B2866" i="6"/>
  <c r="B2867" i="6"/>
  <c r="B2868" i="6"/>
  <c r="B2869" i="6"/>
  <c r="B2870" i="6"/>
  <c r="B2871" i="6"/>
  <c r="B2872" i="6"/>
  <c r="B2873" i="6"/>
  <c r="B2874" i="6"/>
  <c r="B2875" i="6"/>
  <c r="B2876" i="6"/>
  <c r="B2877" i="6"/>
  <c r="B2878" i="6"/>
  <c r="B2879" i="6"/>
  <c r="B2880" i="6"/>
  <c r="B2881" i="6"/>
  <c r="B2882" i="6"/>
  <c r="B2883" i="6"/>
  <c r="B2884" i="6"/>
  <c r="B2885" i="6"/>
  <c r="B2886" i="6"/>
  <c r="B2887" i="6"/>
  <c r="B2888" i="6"/>
  <c r="B2889" i="6"/>
  <c r="B2890" i="6"/>
  <c r="B2891" i="6"/>
  <c r="B2892" i="6"/>
  <c r="B2893" i="6"/>
  <c r="B2894" i="6"/>
  <c r="B2895" i="6"/>
  <c r="B2896" i="6"/>
  <c r="B2897" i="6"/>
  <c r="B2898" i="6"/>
  <c r="B2899" i="6"/>
  <c r="B2900" i="6"/>
  <c r="B2901" i="6"/>
  <c r="B2902" i="6"/>
  <c r="B2903" i="6"/>
  <c r="B2904" i="6"/>
  <c r="B2905" i="6"/>
  <c r="B2906" i="6"/>
  <c r="B2907" i="6"/>
  <c r="B2908" i="6"/>
  <c r="B2909" i="6"/>
  <c r="B2910" i="6"/>
  <c r="B2911" i="6"/>
  <c r="B2912" i="6"/>
  <c r="B2913" i="6"/>
  <c r="B2914" i="6"/>
  <c r="B2915" i="6"/>
  <c r="B2916" i="6"/>
  <c r="B2917" i="6"/>
  <c r="B2918" i="6"/>
  <c r="B2919" i="6"/>
  <c r="B2920" i="6"/>
  <c r="B2921" i="6"/>
  <c r="B2922" i="6"/>
  <c r="B2923" i="6"/>
  <c r="B2924" i="6"/>
  <c r="B2925" i="6"/>
  <c r="B2926" i="6"/>
  <c r="B2927" i="6"/>
  <c r="B2928" i="6"/>
  <c r="B2929" i="6"/>
  <c r="B2930" i="6"/>
  <c r="B2931" i="6"/>
  <c r="B2932" i="6"/>
  <c r="B2933" i="6"/>
  <c r="B2934" i="6"/>
  <c r="B2935" i="6"/>
  <c r="B2936" i="6"/>
  <c r="I2" i="2"/>
  <c r="L2" i="2" s="1"/>
  <c r="I1" i="2"/>
  <c r="D7" i="2"/>
  <c r="E7" i="2"/>
  <c r="D8" i="2"/>
  <c r="E8" i="2"/>
  <c r="D9" i="2"/>
  <c r="E9" i="2"/>
  <c r="D10" i="2"/>
  <c r="E10" i="2"/>
  <c r="E11" i="2"/>
  <c r="D12" i="2"/>
  <c r="E12" i="2"/>
  <c r="D13" i="2"/>
  <c r="E13" i="2"/>
  <c r="D14" i="2"/>
  <c r="E14" i="2"/>
  <c r="E15" i="2"/>
  <c r="D16" i="2"/>
  <c r="E16" i="2"/>
  <c r="D17" i="2"/>
  <c r="D18" i="2"/>
  <c r="E18" i="2"/>
  <c r="E19" i="2"/>
  <c r="D20" i="2"/>
  <c r="E20" i="2"/>
  <c r="D21" i="2"/>
  <c r="D22" i="2"/>
  <c r="E22" i="2"/>
  <c r="E23" i="2"/>
  <c r="B7" i="2"/>
  <c r="C7" i="2"/>
  <c r="B8" i="2"/>
  <c r="C8" i="2"/>
  <c r="B9" i="2"/>
  <c r="C9" i="2"/>
  <c r="B11" i="2"/>
  <c r="C11" i="2"/>
  <c r="B12" i="2"/>
  <c r="C12" i="2"/>
  <c r="B15" i="2"/>
  <c r="C15" i="2"/>
  <c r="B16" i="2"/>
  <c r="C16" i="2"/>
  <c r="B17" i="2"/>
  <c r="B19" i="2"/>
  <c r="C19" i="2"/>
  <c r="B20" i="2"/>
  <c r="C20" i="2"/>
  <c r="B21" i="2"/>
  <c r="C21" i="2"/>
  <c r="B23" i="2"/>
  <c r="C23" i="2"/>
  <c r="H7" i="3" l="1"/>
  <c r="G7" i="3"/>
  <c r="F7" i="3"/>
  <c r="D24" i="2"/>
  <c r="I22" i="2"/>
  <c r="H7" i="1"/>
  <c r="G7" i="1"/>
  <c r="I23" i="2"/>
  <c r="M23" i="2" s="1"/>
  <c r="I19" i="2"/>
  <c r="M19" i="2" s="1"/>
  <c r="I15" i="2"/>
  <c r="M15" i="2" s="1"/>
  <c r="I11" i="2"/>
  <c r="M11" i="2" s="1"/>
  <c r="I7" i="2"/>
  <c r="M7" i="2" s="1"/>
  <c r="H20" i="2"/>
  <c r="L20" i="2" s="1"/>
  <c r="H16" i="2"/>
  <c r="L16" i="2" s="1"/>
  <c r="H12" i="2"/>
  <c r="L12" i="2" s="1"/>
  <c r="H8" i="2"/>
  <c r="L8" i="2" s="1"/>
  <c r="I20" i="2"/>
  <c r="M20" i="2" s="1"/>
  <c r="I16" i="2"/>
  <c r="M16" i="2" s="1"/>
  <c r="I12" i="2"/>
  <c r="M12" i="2" s="1"/>
  <c r="I8" i="2"/>
  <c r="M8" i="2" s="1"/>
  <c r="H22" i="2"/>
  <c r="L22" i="2" s="1"/>
  <c r="H18" i="2"/>
  <c r="L18" i="2" s="1"/>
  <c r="H14" i="2"/>
  <c r="H10" i="2"/>
  <c r="L10" i="2" s="1"/>
  <c r="H7" i="2"/>
  <c r="L7" i="2" s="1"/>
  <c r="H11" i="2"/>
  <c r="L11" i="2" s="1"/>
  <c r="H15" i="2"/>
  <c r="L15" i="2" s="1"/>
  <c r="H19" i="2"/>
  <c r="L19" i="2" s="1"/>
  <c r="H23" i="2"/>
  <c r="L23" i="2" s="1"/>
  <c r="I21" i="2"/>
  <c r="M21" i="2" s="1"/>
  <c r="I17" i="2"/>
  <c r="M17" i="2" s="1"/>
  <c r="I13" i="2"/>
  <c r="M13" i="2" s="1"/>
  <c r="I9" i="2"/>
  <c r="M9" i="2" s="1"/>
  <c r="L14" i="2"/>
  <c r="I18" i="2"/>
  <c r="M18" i="2" s="1"/>
  <c r="I14" i="2"/>
  <c r="M14" i="2" s="1"/>
  <c r="I10" i="2"/>
  <c r="M10" i="2" s="1"/>
  <c r="H21" i="2"/>
  <c r="L21" i="2" s="1"/>
  <c r="H17" i="2"/>
  <c r="L17" i="2" s="1"/>
  <c r="H13" i="2"/>
  <c r="L13" i="2" s="1"/>
  <c r="H9" i="2"/>
  <c r="L9" i="2" s="1"/>
  <c r="M22" i="2"/>
  <c r="B24" i="2"/>
</calcChain>
</file>

<file path=xl/sharedStrings.xml><?xml version="1.0" encoding="utf-8"?>
<sst xmlns="http://schemas.openxmlformats.org/spreadsheetml/2006/main" count="7327" uniqueCount="99">
  <si>
    <t>Población total</t>
  </si>
  <si>
    <t>Entidad y municipio : Distrito Federal</t>
  </si>
  <si>
    <t/>
  </si>
  <si>
    <t>Consulta de: Población total con estimación   Por: Edad   Según: Sexo</t>
  </si>
  <si>
    <t>Total</t>
  </si>
  <si>
    <t>Hombre</t>
  </si>
  <si>
    <t>Mujer</t>
  </si>
  <si>
    <t>De 5 a 9 años</t>
  </si>
  <si>
    <t>De 10 a 14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</si>
  <si>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</si>
  <si>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</si>
  <si>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</si>
  <si>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</si>
  <si>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</si>
  <si>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</si>
  <si>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</si>
  <si>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</si>
  <si>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</si>
  <si>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</si>
  <si>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 69 años</t>
  </si>
  <si>
    <t>De 70 a 74 años</t>
  </si>
  <si>
    <t>De 75 a 79 años</t>
  </si>
  <si>
    <t>De 80 a 84 años</t>
  </si>
  <si>
    <t>85 y más años</t>
  </si>
  <si>
    <t>No especificado</t>
  </si>
  <si>
    <t>FUENTE: INEGI. Censo de Población y Vivienda 2010.</t>
  </si>
  <si>
    <t>Prorrateo</t>
  </si>
  <si>
    <t xml:space="preserve">Total </t>
  </si>
  <si>
    <t xml:space="preserve">Hombre </t>
  </si>
  <si>
    <t xml:space="preserve">Mujer </t>
  </si>
  <si>
    <t>FUENTE: INEGI. Censo de Población y Vivienda 2020. Cuestionario Básico.</t>
  </si>
  <si>
    <t>85 años y más</t>
  </si>
  <si>
    <t>Mujeres</t>
  </si>
  <si>
    <t>Hombres</t>
  </si>
  <si>
    <t>Consulta de: Población total   Por: Edad   Según: Sexo</t>
  </si>
  <si>
    <t>Entidad y municipio : Ciudad de México</t>
  </si>
  <si>
    <t xml:space="preserve">Hombres </t>
  </si>
  <si>
    <t xml:space="preserve">Censo 2010 </t>
  </si>
  <si>
    <t xml:space="preserve">Censo 2020 </t>
  </si>
  <si>
    <t xml:space="preserve">Delta </t>
  </si>
  <si>
    <t xml:space="preserve">r </t>
  </si>
  <si>
    <t xml:space="preserve">APV </t>
  </si>
  <si>
    <t>Defunciones registradas (mortalidad general)</t>
  </si>
  <si>
    <t>Ent y mun de residencia : Ciudad de México</t>
  </si>
  <si>
    <t xml:space="preserve">reg </t>
  </si>
  <si>
    <t>(Todas)</t>
  </si>
  <si>
    <t>Consulta de: Defunciones registradas   Por: Edad, Año de registro y Año de ocurrencia   Según: Sexo</t>
  </si>
  <si>
    <t>ocurrencia</t>
  </si>
  <si>
    <t>(Varios elementos)</t>
  </si>
  <si>
    <t xml:space="preserve">x </t>
  </si>
  <si>
    <t>age</t>
  </si>
  <si>
    <t>Etiquetas de fila</t>
  </si>
  <si>
    <t>Suma de Hombre</t>
  </si>
  <si>
    <t>Suma de Mujer</t>
  </si>
  <si>
    <t xml:space="preserve">Defunciones </t>
  </si>
  <si>
    <t>nMx</t>
  </si>
  <si>
    <t>1-</t>
  </si>
  <si>
    <t>5-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</si>
  <si>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</si>
  <si>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</si>
  <si>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</si>
  <si>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</si>
  <si>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</si>
  <si>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</si>
  <si>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</si>
  <si>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</si>
  <si>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</si>
  <si>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</si>
  <si>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</si>
  <si>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</si>
  <si>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</si>
  <si>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</si>
  <si>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</si>
  <si>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</si>
  <si>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No</t>
  </si>
  <si>
    <t>To</t>
  </si>
  <si>
    <t>Total general</t>
  </si>
  <si>
    <t>Menores de 1 año</t>
  </si>
  <si>
    <t>1-4 años</t>
  </si>
  <si>
    <t>5-9 años</t>
  </si>
  <si>
    <t>10-14 años</t>
  </si>
  <si>
    <t>15-19 años</t>
  </si>
  <si>
    <t>20-24 años</t>
  </si>
  <si>
    <t>25-29 años</t>
  </si>
  <si>
    <t>30-34 años</t>
  </si>
  <si>
    <t>35-39 años</t>
  </si>
  <si>
    <t>40-44 años</t>
  </si>
  <si>
    <t>45-49 años</t>
  </si>
  <si>
    <t>50-54 años</t>
  </si>
  <si>
    <t>55-59 años</t>
  </si>
  <si>
    <t>60-64 años</t>
  </si>
  <si>
    <t>65-69 años</t>
  </si>
  <si>
    <t>70-74 años</t>
  </si>
  <si>
    <t>75-79 años</t>
  </si>
  <si>
    <t>80-84 años</t>
  </si>
  <si>
    <t>Fuente: INEGI. Estadísticas de Defunciones Registradas (EDR).</t>
  </si>
  <si>
    <t>De 1 a 4 años</t>
  </si>
  <si>
    <t>Menos de un año</t>
  </si>
  <si>
    <t>Menos de 1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</si>
</sst>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5" x14ac:knownFonts="1">
    <font>
      <sz val="11"/>
      <name val="Calibri"/>
    </font>
    <font>
      <sz val="11"/>
      <name val="Calibri"/>
      <family val="2"/>
    </font>
    <font>
      <sz val="11"/>
      <color theme="1"/>
      <name val="Calibri"/>
      <family val="2"/>
    </font>
    <font>
      <sz val="8"/>
      <name val="Calibri"/>
      <family val="2"/>
    </font>
    <font>
      <b/>
      <sz val="11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CE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44B3E1"/>
      </top>
      <bottom/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164" fontId="0" fillId="0" borderId="0" xfId="0" applyNumberFormat="1" applyAlignment="1">
      <alignment horizontal="left" vertical="top"/>
    </xf>
    <xf numFmtId="0" fontId="1" fillId="0" borderId="0" xfId="0" applyFont="1"/>
    <xf numFmtId="164" fontId="1" fillId="0" borderId="0" xfId="0" applyNumberFormat="1" applyFont="1" applyAlignment="1">
      <alignment horizontal="left" vertical="top"/>
    </xf>
    <xf numFmtId="0" fontId="2" fillId="2" borderId="0" xfId="0" applyFont="1" applyFill="1"/>
    <xf numFmtId="164" fontId="0" fillId="2" borderId="0" xfId="0" applyNumberFormat="1" applyFill="1" applyAlignment="1">
      <alignment horizontal="left" vertical="top"/>
    </xf>
    <xf numFmtId="164" fontId="0" fillId="3" borderId="0" xfId="0" applyNumberFormat="1" applyFill="1" applyAlignment="1">
      <alignment horizontal="left" vertical="top"/>
    </xf>
    <xf numFmtId="164" fontId="0" fillId="4" borderId="0" xfId="0" applyNumberFormat="1" applyFill="1" applyAlignment="1">
      <alignment horizontal="left" vertical="top"/>
    </xf>
    <xf numFmtId="0" fontId="0" fillId="4" borderId="0" xfId="0" applyFill="1"/>
    <xf numFmtId="0" fontId="0" fillId="5" borderId="0" xfId="0" applyFill="1"/>
    <xf numFmtId="0" fontId="1" fillId="0" borderId="0" xfId="1"/>
    <xf numFmtId="164" fontId="1" fillId="0" borderId="0" xfId="1" applyNumberFormat="1" applyAlignment="1">
      <alignment horizontal="left" vertical="top"/>
    </xf>
    <xf numFmtId="0" fontId="1" fillId="5" borderId="0" xfId="1" applyFill="1"/>
    <xf numFmtId="164" fontId="1" fillId="2" borderId="0" xfId="1" applyNumberFormat="1" applyFill="1" applyAlignment="1">
      <alignment horizontal="left" vertical="top"/>
    </xf>
    <xf numFmtId="0" fontId="1" fillId="2" borderId="0" xfId="1" applyFill="1"/>
    <xf numFmtId="164" fontId="1" fillId="3" borderId="0" xfId="1" applyNumberFormat="1" applyFill="1" applyAlignment="1">
      <alignment horizontal="left" vertical="top"/>
    </xf>
    <xf numFmtId="0" fontId="1" fillId="3" borderId="0" xfId="1" applyFill="1"/>
    <xf numFmtId="164" fontId="1" fillId="4" borderId="0" xfId="1" applyNumberFormat="1" applyFill="1" applyAlignment="1">
      <alignment horizontal="left" vertical="top"/>
    </xf>
    <xf numFmtId="0" fontId="1" fillId="4" borderId="0" xfId="1" applyFill="1"/>
    <xf numFmtId="0" fontId="0" fillId="6" borderId="0" xfId="0" applyFill="1" applyAlignment="1">
      <alignment horizontal="center"/>
    </xf>
    <xf numFmtId="0" fontId="1" fillId="6" borderId="0" xfId="1" applyFill="1"/>
    <xf numFmtId="0" fontId="1" fillId="6" borderId="0" xfId="0" applyFont="1" applyFill="1"/>
    <xf numFmtId="0" fontId="1" fillId="4" borderId="0" xfId="0" applyFont="1" applyFill="1"/>
    <xf numFmtId="0" fontId="0" fillId="6" borderId="0" xfId="0" applyFill="1"/>
    <xf numFmtId="1" fontId="1" fillId="0" borderId="0" xfId="1" applyNumberFormat="1"/>
    <xf numFmtId="1" fontId="0" fillId="0" borderId="0" xfId="0" applyNumberFormat="1"/>
    <xf numFmtId="14" fontId="0" fillId="0" borderId="0" xfId="0" applyNumberFormat="1"/>
    <xf numFmtId="0" fontId="1" fillId="7" borderId="0" xfId="0" applyFont="1" applyFill="1"/>
    <xf numFmtId="0" fontId="1" fillId="8" borderId="0" xfId="0" applyFont="1" applyFill="1"/>
    <xf numFmtId="164" fontId="1" fillId="9" borderId="0" xfId="0" applyNumberFormat="1" applyFont="1" applyFill="1" applyAlignment="1">
      <alignment horizontal="left" vertical="top"/>
    </xf>
    <xf numFmtId="164" fontId="1" fillId="10" borderId="0" xfId="0" applyNumberFormat="1" applyFont="1" applyFill="1" applyAlignment="1">
      <alignment horizontal="left" vertical="top"/>
    </xf>
    <xf numFmtId="164" fontId="0" fillId="11" borderId="0" xfId="0" applyNumberFormat="1" applyFill="1" applyAlignment="1">
      <alignment horizontal="left" vertical="top"/>
    </xf>
    <xf numFmtId="164" fontId="0" fillId="12" borderId="0" xfId="0" applyNumberFormat="1" applyFill="1" applyAlignment="1">
      <alignment horizontal="left" vertical="top"/>
    </xf>
    <xf numFmtId="0" fontId="1" fillId="13" borderId="0" xfId="0" applyFont="1" applyFill="1"/>
    <xf numFmtId="0" fontId="1" fillId="14" borderId="0" xfId="0" applyFont="1" applyFill="1"/>
    <xf numFmtId="0" fontId="0" fillId="0" borderId="0" xfId="0" applyAlignment="1">
      <alignment horizontal="left" vertical="top"/>
    </xf>
    <xf numFmtId="3" fontId="0" fillId="0" borderId="0" xfId="0" applyNumberFormat="1" applyAlignment="1">
      <alignment horizontal="left" vertical="top"/>
    </xf>
    <xf numFmtId="0" fontId="0" fillId="0" borderId="0" xfId="0" applyAlignment="1">
      <alignment horizontal="left"/>
    </xf>
    <xf numFmtId="1" fontId="1" fillId="0" borderId="0" xfId="0" applyNumberFormat="1" applyFont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0" fillId="0" borderId="0" xfId="0" pivotButton="1"/>
    <xf numFmtId="1" fontId="0" fillId="3" borderId="0" xfId="0" applyNumberFormat="1" applyFill="1"/>
    <xf numFmtId="0" fontId="1" fillId="0" borderId="0" xfId="1" applyAlignment="1">
      <alignment horizontal="left"/>
    </xf>
    <xf numFmtId="1" fontId="0" fillId="0" borderId="0" xfId="0" applyNumberFormat="1" applyAlignment="1">
      <alignment horizontal="left"/>
    </xf>
    <xf numFmtId="1" fontId="1" fillId="0" borderId="0" xfId="1" applyNumberFormat="1" applyAlignment="1">
      <alignment horizontal="left"/>
    </xf>
    <xf numFmtId="164" fontId="1" fillId="0" borderId="0" xfId="1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pivotButton="1"/>
    <xf numFmtId="0" fontId="0" fillId="0" borderId="0" xfId="0" applyNumberFormat="1"/>
  </cellXfs>
  <cellStyles count="2">
    <cellStyle name="Normal" xfId="0" builtinId="0"/>
    <cellStyle name="Normal 2" xfId="1" xr:uid="{0934809E-F95F-DA4C-BD76-FF5F30B49D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r</a:t>
            </a:r>
          </a:p>
        </c:rich>
      </c:tx>
      <c:layout>
        <c:manualLayout>
          <c:xMode val="edge"/>
          <c:yMode val="edge"/>
          <c:x val="0.48774568904020221"/>
          <c:y val="4.1955962757200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'2010 y 2020'!$H$4</c:f>
              <c:strCache>
                <c:ptCount val="1"/>
                <c:pt idx="0">
                  <c:v>Hombre </c:v>
                </c:pt>
              </c:strCache>
            </c:strRef>
          </c:tx>
          <c:spPr>
            <a:ln w="28575" cap="rnd">
              <a:solidFill>
                <a:schemeClr val="accent5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'2010 y 2020'!$H$6:$H$23</c:f>
              <c:numCache>
                <c:formatCode>General</c:formatCode>
                <c:ptCount val="18"/>
                <c:pt idx="0">
                  <c:v>-2.4938857750164585E-2</c:v>
                </c:pt>
                <c:pt idx="1">
                  <c:v>-1.8381027421423907E-2</c:v>
                </c:pt>
                <c:pt idx="2">
                  <c:v>-1.0443701967479069E-2</c:v>
                </c:pt>
                <c:pt idx="3">
                  <c:v>-1.1808940230275197E-2</c:v>
                </c:pt>
                <c:pt idx="4">
                  <c:v>-6.0434183697216778E-3</c:v>
                </c:pt>
                <c:pt idx="5">
                  <c:v>3.0929906078200516E-3</c:v>
                </c:pt>
                <c:pt idx="6">
                  <c:v>5.7399336061320265E-3</c:v>
                </c:pt>
                <c:pt idx="7">
                  <c:v>-2.7072464986598135E-3</c:v>
                </c:pt>
                <c:pt idx="8">
                  <c:v>5.108428947427514E-3</c:v>
                </c:pt>
                <c:pt idx="9">
                  <c:v>1.8535254538620899E-2</c:v>
                </c:pt>
                <c:pt idx="10">
                  <c:v>2.0016753951457147E-2</c:v>
                </c:pt>
                <c:pt idx="11">
                  <c:v>2.7554778916660153E-2</c:v>
                </c:pt>
                <c:pt idx="12">
                  <c:v>3.8046403130908908E-2</c:v>
                </c:pt>
                <c:pt idx="13">
                  <c:v>4.4166466452857878E-2</c:v>
                </c:pt>
                <c:pt idx="14">
                  <c:v>4.1298770851837668E-2</c:v>
                </c:pt>
                <c:pt idx="15">
                  <c:v>3.6538606386302928E-2</c:v>
                </c:pt>
                <c:pt idx="16">
                  <c:v>3.5049704570317058E-2</c:v>
                </c:pt>
                <c:pt idx="17">
                  <c:v>3.8594002904524978E-2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6C-F34A-8AF1-3CA8339E9FF7}"/>
            </c:ext>
          </c:extLst>
        </c:ser>
        <c:ser>
          <c:idx val="1"/>
          <c:order val="1"/>
          <c:tx>
            <c:strRef>
              <c:f>'2010 y 2020'!$I$4</c:f>
              <c:strCache>
                <c:ptCount val="1"/>
                <c:pt idx="0">
                  <c:v>Mujer </c:v>
                </c:pt>
              </c:strCache>
            </c:strRef>
          </c:tx>
          <c:spPr>
            <a:ln w="28575" cap="rnd">
              <a:solidFill>
                <a:schemeClr val="accent5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'2010 y 2020'!$I$6:$I$23</c:f>
              <c:numCache>
                <c:formatCode>General</c:formatCode>
                <c:ptCount val="18"/>
                <c:pt idx="0">
                  <c:v>-2.3843916295759358E-2</c:v>
                </c:pt>
                <c:pt idx="1">
                  <c:v>-1.7969913207807772E-2</c:v>
                </c:pt>
                <c:pt idx="2">
                  <c:v>-1.0595539894728789E-2</c:v>
                </c:pt>
                <c:pt idx="3">
                  <c:v>-1.4452190784534472E-2</c:v>
                </c:pt>
                <c:pt idx="4">
                  <c:v>-9.2133607853256121E-3</c:v>
                </c:pt>
                <c:pt idx="5">
                  <c:v>-3.5887792687056729E-4</c:v>
                </c:pt>
                <c:pt idx="6">
                  <c:v>1.5870300982879801E-3</c:v>
                </c:pt>
                <c:pt idx="7">
                  <c:v>-6.2564210322973452E-3</c:v>
                </c:pt>
                <c:pt idx="8">
                  <c:v>3.4212421011245425E-3</c:v>
                </c:pt>
                <c:pt idx="9">
                  <c:v>1.5362560792794978E-2</c:v>
                </c:pt>
                <c:pt idx="10">
                  <c:v>1.8374825800250655E-2</c:v>
                </c:pt>
                <c:pt idx="11">
                  <c:v>2.8306003436075828E-2</c:v>
                </c:pt>
                <c:pt idx="12">
                  <c:v>3.87536861775429E-2</c:v>
                </c:pt>
                <c:pt idx="13">
                  <c:v>4.3303233928727973E-2</c:v>
                </c:pt>
                <c:pt idx="14">
                  <c:v>3.7081127910423541E-2</c:v>
                </c:pt>
                <c:pt idx="15">
                  <c:v>3.0171289133600912E-2</c:v>
                </c:pt>
                <c:pt idx="16">
                  <c:v>2.8187568320458465E-2</c:v>
                </c:pt>
                <c:pt idx="17">
                  <c:v>3.7629887322118492E-2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6C-F34A-8AF1-3CA8339E9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6054224"/>
        <c:axId val="1508845776"/>
      </c:lineChart>
      <c:catAx>
        <c:axId val="14660542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08845776"/>
        <c:crosses val="autoZero"/>
        <c:auto val="1"/>
        <c:lblAlgn val="ctr"/>
        <c:lblOffset val="100"/>
        <c:noMultiLvlLbl val="0"/>
      </c:catAx>
      <c:valAx>
        <c:axId val="15088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6605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5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[ProyectoFinal_avance_MelendezRuiz (1).xlsx]Serie de defunciones!TablaDinámica3</c:name>
    <c:fmtId val="4"/>
  </c:pivotSource>
  <c:chart>
    <c:autoTitleDeleted val="0"/>
    <c:pivotFmts>
      <c:pivotFmt>
        <c:idx val="0"/>
        <c:spPr>
          <a:solidFill>
            <a:schemeClr val="accent5"/>
          </a:solidFill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shade val="76000"/>
              </a:schemeClr>
            </a:solidFill>
            <a:ln w="9525">
              <a:solidFill>
                <a:schemeClr val="accent5">
                  <a:shade val="76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tint val="77000"/>
              </a:schemeClr>
            </a:solidFill>
            <a:ln w="9525">
              <a:solidFill>
                <a:schemeClr val="accent5">
                  <a:tint val="77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shade val="76000"/>
              </a:schemeClr>
            </a:solidFill>
            <a:ln w="9525">
              <a:solidFill>
                <a:schemeClr val="accent5">
                  <a:shade val="76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tint val="77000"/>
              </a:schemeClr>
            </a:solidFill>
            <a:ln w="9525">
              <a:solidFill>
                <a:schemeClr val="accent5">
                  <a:tint val="77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'Serie de defunciones'!$L$6</c:f>
              <c:strCache>
                <c:ptCount val="1"/>
                <c:pt idx="0">
                  <c:v>Suma de Hombre</c:v>
                </c:pt>
              </c:strCache>
            </c:strRef>
          </c:tx>
          <c:spPr>
            <a:ln w="28575" cap="rnd">
              <a:solidFill>
                <a:schemeClr val="accent5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shade val="76000"/>
                </a:schemeClr>
              </a:solidFill>
              <a:ln w="9525">
                <a:solidFill>
                  <a:schemeClr val="accent5">
                    <a:shade val="76000"/>
                  </a:schemeClr>
                </a:solidFill>
              </a:ln>
              <a:effectLst/>
            </c:spPr>
          </c:marker>
          <c:cat>
            <c:strRef>
              <c:f>'Serie de defunciones'!$K$7:$K$42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'Serie de defunciones'!$L$7:$L$42</c:f>
              <c:numCache>
                <c:formatCode>General</c:formatCode>
                <c:ptCount val="35"/>
                <c:pt idx="0">
                  <c:v>46780</c:v>
                </c:pt>
                <c:pt idx="1">
                  <c:v>47674</c:v>
                </c:pt>
                <c:pt idx="2">
                  <c:v>48578</c:v>
                </c:pt>
                <c:pt idx="3">
                  <c:v>47746</c:v>
                </c:pt>
                <c:pt idx="4">
                  <c:v>48398</c:v>
                </c:pt>
                <c:pt idx="5">
                  <c:v>49330</c:v>
                </c:pt>
                <c:pt idx="6">
                  <c:v>48454</c:v>
                </c:pt>
                <c:pt idx="7">
                  <c:v>48942</c:v>
                </c:pt>
                <c:pt idx="8">
                  <c:v>48498</c:v>
                </c:pt>
                <c:pt idx="9">
                  <c:v>48234</c:v>
                </c:pt>
                <c:pt idx="10">
                  <c:v>47132</c:v>
                </c:pt>
                <c:pt idx="11">
                  <c:v>47848</c:v>
                </c:pt>
                <c:pt idx="12">
                  <c:v>47934</c:v>
                </c:pt>
                <c:pt idx="13">
                  <c:v>50072</c:v>
                </c:pt>
                <c:pt idx="14">
                  <c:v>49906</c:v>
                </c:pt>
                <c:pt idx="15">
                  <c:v>51274</c:v>
                </c:pt>
                <c:pt idx="16">
                  <c:v>51134</c:v>
                </c:pt>
                <c:pt idx="17">
                  <c:v>52332</c:v>
                </c:pt>
                <c:pt idx="18">
                  <c:v>53252</c:v>
                </c:pt>
                <c:pt idx="19">
                  <c:v>54850</c:v>
                </c:pt>
                <c:pt idx="20">
                  <c:v>56546</c:v>
                </c:pt>
                <c:pt idx="21">
                  <c:v>56542</c:v>
                </c:pt>
                <c:pt idx="22">
                  <c:v>57782</c:v>
                </c:pt>
                <c:pt idx="23">
                  <c:v>59358</c:v>
                </c:pt>
                <c:pt idx="24">
                  <c:v>60608</c:v>
                </c:pt>
                <c:pt idx="25">
                  <c:v>61008</c:v>
                </c:pt>
                <c:pt idx="26">
                  <c:v>64544</c:v>
                </c:pt>
                <c:pt idx="27">
                  <c:v>63778</c:v>
                </c:pt>
                <c:pt idx="28">
                  <c:v>65246</c:v>
                </c:pt>
                <c:pt idx="29">
                  <c:v>66008</c:v>
                </c:pt>
                <c:pt idx="30">
                  <c:v>124244</c:v>
                </c:pt>
                <c:pt idx="31">
                  <c:v>110904</c:v>
                </c:pt>
                <c:pt idx="32">
                  <c:v>71394</c:v>
                </c:pt>
                <c:pt idx="33">
                  <c:v>67144</c:v>
                </c:pt>
                <c:pt idx="34">
                  <c:v>68914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E1-46AA-9269-A2CD987CDFBE}"/>
            </c:ext>
          </c:extLst>
        </c:ser>
        <c:ser>
          <c:idx val="1"/>
          <c:order val="1"/>
          <c:tx>
            <c:strRef>
              <c:f>'Serie de defunciones'!$M$6</c:f>
              <c:strCache>
                <c:ptCount val="1"/>
                <c:pt idx="0">
                  <c:v>Suma de Mujer</c:v>
                </c:pt>
              </c:strCache>
            </c:strRef>
          </c:tx>
          <c:spPr>
            <a:ln w="28575" cap="rnd">
              <a:solidFill>
                <a:schemeClr val="accent5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tint val="77000"/>
                </a:schemeClr>
              </a:solidFill>
              <a:ln w="9525">
                <a:solidFill>
                  <a:schemeClr val="accent5">
                    <a:tint val="77000"/>
                  </a:schemeClr>
                </a:solidFill>
              </a:ln>
              <a:effectLst/>
            </c:spPr>
          </c:marker>
          <c:cat>
            <c:strRef>
              <c:f>'Serie de defunciones'!$K$7:$K$42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'Serie de defunciones'!$M$7:$M$42</c:f>
              <c:numCache>
                <c:formatCode>General</c:formatCode>
                <c:ptCount val="35"/>
                <c:pt idx="0">
                  <c:v>42354</c:v>
                </c:pt>
                <c:pt idx="1">
                  <c:v>42492</c:v>
                </c:pt>
                <c:pt idx="2">
                  <c:v>42252</c:v>
                </c:pt>
                <c:pt idx="3">
                  <c:v>42570</c:v>
                </c:pt>
                <c:pt idx="4">
                  <c:v>43026</c:v>
                </c:pt>
                <c:pt idx="5">
                  <c:v>43780</c:v>
                </c:pt>
                <c:pt idx="6">
                  <c:v>44280</c:v>
                </c:pt>
                <c:pt idx="7">
                  <c:v>44842</c:v>
                </c:pt>
                <c:pt idx="8">
                  <c:v>44788</c:v>
                </c:pt>
                <c:pt idx="9">
                  <c:v>44964</c:v>
                </c:pt>
                <c:pt idx="10">
                  <c:v>44952</c:v>
                </c:pt>
                <c:pt idx="11">
                  <c:v>45480</c:v>
                </c:pt>
                <c:pt idx="12">
                  <c:v>45962</c:v>
                </c:pt>
                <c:pt idx="13">
                  <c:v>47168</c:v>
                </c:pt>
                <c:pt idx="14">
                  <c:v>48092</c:v>
                </c:pt>
                <c:pt idx="15">
                  <c:v>48996</c:v>
                </c:pt>
                <c:pt idx="16">
                  <c:v>48828</c:v>
                </c:pt>
                <c:pt idx="17">
                  <c:v>50490</c:v>
                </c:pt>
                <c:pt idx="18">
                  <c:v>51146</c:v>
                </c:pt>
                <c:pt idx="19">
                  <c:v>52778</c:v>
                </c:pt>
                <c:pt idx="20">
                  <c:v>54194</c:v>
                </c:pt>
                <c:pt idx="21">
                  <c:v>52434</c:v>
                </c:pt>
                <c:pt idx="22">
                  <c:v>54288</c:v>
                </c:pt>
                <c:pt idx="23">
                  <c:v>54894</c:v>
                </c:pt>
                <c:pt idx="24">
                  <c:v>56930</c:v>
                </c:pt>
                <c:pt idx="25">
                  <c:v>57732</c:v>
                </c:pt>
                <c:pt idx="26">
                  <c:v>59524</c:v>
                </c:pt>
                <c:pt idx="27">
                  <c:v>60292</c:v>
                </c:pt>
                <c:pt idx="28">
                  <c:v>61242</c:v>
                </c:pt>
                <c:pt idx="29">
                  <c:v>60594</c:v>
                </c:pt>
                <c:pt idx="30">
                  <c:v>90862</c:v>
                </c:pt>
                <c:pt idx="31">
                  <c:v>89130</c:v>
                </c:pt>
                <c:pt idx="32">
                  <c:v>67256</c:v>
                </c:pt>
                <c:pt idx="33">
                  <c:v>63466</c:v>
                </c:pt>
                <c:pt idx="34">
                  <c:v>64708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E1-46AA-9269-A2CD987CD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7959552"/>
        <c:axId val="1518135216"/>
      </c:lineChart>
      <c:catAx>
        <c:axId val="1517959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18135216"/>
        <c:crosses val="autoZero"/>
        <c:auto val="1"/>
        <c:lblAlgn val="ctr"/>
        <c:lblOffset val="100"/>
        <c:noMultiLvlLbl val="0"/>
      </c:catAx>
      <c:valAx>
        <c:axId val="151813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17959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Defunciones</a:t>
            </a:r>
            <a:r>
              <a:rPr lang="es-MX" baseline="0"/>
              <a:t> 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1591426071741032"/>
          <c:y val="0.14796369203849519"/>
          <c:w val="0.8396412948381452"/>
          <c:h val="0.61537766112569259"/>
        </c:manualLayout>
      </c:layout>
      <c:lineChart>
        <c:grouping val="standard"/>
        <c:varyColors val="0"/>
        <c:ser>
          <c:idx val="0"/>
          <c:order val="0"/>
          <c:tx>
            <c:strRef>
              <c:f>'Serie de defunciones'!$AK$6</c:f>
              <c:strCache>
                <c:ptCount val="1"/>
                <c:pt idx="0">
                  <c:v>Hombre </c:v>
                </c:pt>
              </c:strCache>
            </c:strRef>
          </c:tx>
          <c:spPr>
            <a:ln w="28575" cap="rnd">
              <a:solidFill>
                <a:schemeClr val="accent5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shade val="76000"/>
                </a:schemeClr>
              </a:solidFill>
              <a:ln w="9525">
                <a:solidFill>
                  <a:schemeClr val="accent5">
                    <a:shade val="76000"/>
                  </a:schemeClr>
                </a:solidFill>
              </a:ln>
              <a:effectLst/>
            </c:spPr>
          </c:marker>
          <c:val>
            <c:numRef>
              <c:f>'Serie de defunciones'!$AK$7:$AK$27</c:f>
              <c:numCache>
                <c:formatCode>General</c:formatCode>
                <c:ptCount val="21"/>
                <c:pt idx="0">
                  <c:v>50449</c:v>
                </c:pt>
                <c:pt idx="1">
                  <c:v>6196</c:v>
                </c:pt>
                <c:pt idx="2">
                  <c:v>3234</c:v>
                </c:pt>
                <c:pt idx="3">
                  <c:v>3988</c:v>
                </c:pt>
                <c:pt idx="4">
                  <c:v>12474</c:v>
                </c:pt>
                <c:pt idx="5">
                  <c:v>21116</c:v>
                </c:pt>
                <c:pt idx="6">
                  <c:v>25764</c:v>
                </c:pt>
                <c:pt idx="7">
                  <c:v>30175</c:v>
                </c:pt>
                <c:pt idx="8">
                  <c:v>35522</c:v>
                </c:pt>
                <c:pt idx="9">
                  <c:v>41456</c:v>
                </c:pt>
                <c:pt idx="10">
                  <c:v>51386</c:v>
                </c:pt>
                <c:pt idx="11">
                  <c:v>62275</c:v>
                </c:pt>
                <c:pt idx="12">
                  <c:v>74606</c:v>
                </c:pt>
                <c:pt idx="13">
                  <c:v>86957</c:v>
                </c:pt>
                <c:pt idx="14">
                  <c:v>94843</c:v>
                </c:pt>
                <c:pt idx="15">
                  <c:v>100787</c:v>
                </c:pt>
                <c:pt idx="16">
                  <c:v>100092</c:v>
                </c:pt>
                <c:pt idx="17">
                  <c:v>91138</c:v>
                </c:pt>
                <c:pt idx="18">
                  <c:v>128221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D1-48DB-87C4-698A7E39727A}"/>
            </c:ext>
          </c:extLst>
        </c:ser>
        <c:ser>
          <c:idx val="1"/>
          <c:order val="1"/>
          <c:tx>
            <c:strRef>
              <c:f>'Serie de defunciones'!$AL$6</c:f>
              <c:strCache>
                <c:ptCount val="1"/>
                <c:pt idx="0">
                  <c:v>Mujer </c:v>
                </c:pt>
              </c:strCache>
            </c:strRef>
          </c:tx>
          <c:spPr>
            <a:ln w="28575" cap="rnd">
              <a:solidFill>
                <a:schemeClr val="accent5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tint val="77000"/>
                </a:schemeClr>
              </a:solidFill>
              <a:ln w="9525">
                <a:solidFill>
                  <a:schemeClr val="accent5">
                    <a:tint val="77000"/>
                  </a:schemeClr>
                </a:solidFill>
              </a:ln>
              <a:effectLst/>
            </c:spPr>
          </c:marker>
          <c:val>
            <c:numRef>
              <c:f>'Serie de defunciones'!$AL$7:$AL$27</c:f>
              <c:numCache>
                <c:formatCode>General</c:formatCode>
                <c:ptCount val="21"/>
                <c:pt idx="0">
                  <c:v>39014</c:v>
                </c:pt>
                <c:pt idx="1">
                  <c:v>5150</c:v>
                </c:pt>
                <c:pt idx="2">
                  <c:v>2697</c:v>
                </c:pt>
                <c:pt idx="3">
                  <c:v>2946</c:v>
                </c:pt>
                <c:pt idx="4">
                  <c:v>5659</c:v>
                </c:pt>
                <c:pt idx="5">
                  <c:v>7332</c:v>
                </c:pt>
                <c:pt idx="6">
                  <c:v>8554</c:v>
                </c:pt>
                <c:pt idx="7">
                  <c:v>10557</c:v>
                </c:pt>
                <c:pt idx="8">
                  <c:v>14259</c:v>
                </c:pt>
                <c:pt idx="9">
                  <c:v>19836</c:v>
                </c:pt>
                <c:pt idx="10">
                  <c:v>29202</c:v>
                </c:pt>
                <c:pt idx="11">
                  <c:v>40024</c:v>
                </c:pt>
                <c:pt idx="12">
                  <c:v>53150</c:v>
                </c:pt>
                <c:pt idx="13">
                  <c:v>68338</c:v>
                </c:pt>
                <c:pt idx="14">
                  <c:v>82804</c:v>
                </c:pt>
                <c:pt idx="15">
                  <c:v>95186</c:v>
                </c:pt>
                <c:pt idx="16">
                  <c:v>106789</c:v>
                </c:pt>
                <c:pt idx="17">
                  <c:v>115310</c:v>
                </c:pt>
                <c:pt idx="18">
                  <c:v>226406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D1-48DB-87C4-698A7E397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3448432"/>
        <c:axId val="1919482016"/>
      </c:lineChart>
      <c:catAx>
        <c:axId val="18734484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19482016"/>
        <c:crosses val="autoZero"/>
        <c:auto val="1"/>
        <c:lblAlgn val="ctr"/>
        <c:lblOffset val="100"/>
        <c:noMultiLvlLbl val="0"/>
      </c:catAx>
      <c:valAx>
        <c:axId val="191948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7344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nMx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'Serie de defunciones'!$AO$6</c:f>
              <c:strCache>
                <c:ptCount val="1"/>
                <c:pt idx="0">
                  <c:v>Hombre </c:v>
                </c:pt>
              </c:strCache>
            </c:strRef>
          </c:tx>
          <c:spPr>
            <a:ln w="28575" cap="rnd">
              <a:solidFill>
                <a:schemeClr val="accent5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shade val="76000"/>
                </a:schemeClr>
              </a:solidFill>
              <a:ln w="9525">
                <a:solidFill>
                  <a:schemeClr val="accent5">
                    <a:shade val="76000"/>
                  </a:schemeClr>
                </a:solidFill>
              </a:ln>
              <a:effectLst/>
            </c:spPr>
          </c:marker>
          <c:cat>
            <c:strRef>
              <c:f>'Serie de defunciones'!$AN$7:$AN$25</c:f>
              <c:strCache>
                <c:ptCount val="19"/>
                <c:pt idx="0">
                  <c:v>0</c:v>
                </c:pt>
                <c:pt idx="1">
                  <c:v>1-</c:v>
                </c:pt>
                <c:pt idx="2">
                  <c:v>5-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strCache>
            </c:strRef>
          </c:cat>
          <c:val>
            <c:numRef>
              <c:f>'Serie de defunciones'!$AO$7:$AO$25</c:f>
              <c:numCache>
                <c:formatCode>General</c:formatCode>
                <c:ptCount val="19"/>
                <c:pt idx="0">
                  <c:v>1.1921422073292671</c:v>
                </c:pt>
                <c:pt idx="1">
                  <c:v>3.0201348614185528E-2</c:v>
                </c:pt>
                <c:pt idx="2">
                  <c:v>1.1138514359213718E-2</c:v>
                </c:pt>
                <c:pt idx="3">
                  <c:v>1.2791396586201416E-2</c:v>
                </c:pt>
                <c:pt idx="4">
                  <c:v>3.7319268897392212E-2</c:v>
                </c:pt>
                <c:pt idx="5">
                  <c:v>5.8496313316670212E-2</c:v>
                </c:pt>
                <c:pt idx="6">
                  <c:v>6.9319382541232252E-2</c:v>
                </c:pt>
                <c:pt idx="7">
                  <c:v>8.3271712266256293E-2</c:v>
                </c:pt>
                <c:pt idx="8">
                  <c:v>0.10399654945292536</c:v>
                </c:pt>
                <c:pt idx="9">
                  <c:v>0.13097828173397438</c:v>
                </c:pt>
                <c:pt idx="10">
                  <c:v>0.1657119038987826</c:v>
                </c:pt>
                <c:pt idx="11">
                  <c:v>0.22030821542088594</c:v>
                </c:pt>
                <c:pt idx="12">
                  <c:v>0.31709719420454152</c:v>
                </c:pt>
                <c:pt idx="13">
                  <c:v>0.42682120980942218</c:v>
                </c:pt>
                <c:pt idx="14">
                  <c:v>0.62163060032030393</c:v>
                </c:pt>
                <c:pt idx="15">
                  <c:v>0.90040623654269591</c:v>
                </c:pt>
                <c:pt idx="16">
                  <c:v>1.3825990377175896</c:v>
                </c:pt>
                <c:pt idx="17">
                  <c:v>2.0246816958468896</c:v>
                </c:pt>
                <c:pt idx="18">
                  <c:v>3.5897403277914095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9A-46DB-8541-9562CABD33F7}"/>
            </c:ext>
          </c:extLst>
        </c:ser>
        <c:ser>
          <c:idx val="1"/>
          <c:order val="1"/>
          <c:tx>
            <c:strRef>
              <c:f>'Serie de defunciones'!$AP$6</c:f>
              <c:strCache>
                <c:ptCount val="1"/>
                <c:pt idx="0">
                  <c:v>Mujer </c:v>
                </c:pt>
              </c:strCache>
            </c:strRef>
          </c:tx>
          <c:spPr>
            <a:ln w="28575" cap="rnd">
              <a:solidFill>
                <a:schemeClr val="accent5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tint val="77000"/>
                </a:schemeClr>
              </a:solidFill>
              <a:ln w="9525">
                <a:solidFill>
                  <a:schemeClr val="accent5">
                    <a:tint val="77000"/>
                  </a:schemeClr>
                </a:solidFill>
              </a:ln>
              <a:effectLst/>
            </c:spPr>
          </c:marker>
          <c:cat>
            <c:strRef>
              <c:f>'Serie de defunciones'!$AN$7:$AN$25</c:f>
              <c:strCache>
                <c:ptCount val="19"/>
                <c:pt idx="0">
                  <c:v>0</c:v>
                </c:pt>
                <c:pt idx="1">
                  <c:v>1-</c:v>
                </c:pt>
                <c:pt idx="2">
                  <c:v>5-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strCache>
            </c:strRef>
          </c:cat>
          <c:val>
            <c:numRef>
              <c:f>'Serie de defunciones'!$AP$7:$AP$25</c:f>
              <c:numCache>
                <c:formatCode>General</c:formatCode>
                <c:ptCount val="19"/>
                <c:pt idx="0">
                  <c:v>0.94787944424301707</c:v>
                </c:pt>
                <c:pt idx="1">
                  <c:v>2.5730655358903575E-2</c:v>
                </c:pt>
                <c:pt idx="2">
                  <c:v>9.5820350081514266E-3</c:v>
                </c:pt>
                <c:pt idx="3">
                  <c:v>9.7425909257805744E-3</c:v>
                </c:pt>
                <c:pt idx="4">
                  <c:v>1.7526199624386195E-2</c:v>
                </c:pt>
                <c:pt idx="5">
                  <c:v>2.0466544198275413E-2</c:v>
                </c:pt>
                <c:pt idx="6">
                  <c:v>2.2469827367920331E-2</c:v>
                </c:pt>
                <c:pt idx="7">
                  <c:v>2.7772856151029555E-2</c:v>
                </c:pt>
                <c:pt idx="8">
                  <c:v>3.882150986301991E-2</c:v>
                </c:pt>
                <c:pt idx="9">
                  <c:v>5.6272888786873712E-2</c:v>
                </c:pt>
                <c:pt idx="10">
                  <c:v>8.3051465914400852E-2</c:v>
                </c:pt>
                <c:pt idx="11">
                  <c:v>0.12016720679560326</c:v>
                </c:pt>
                <c:pt idx="12">
                  <c:v>0.18888299310181542</c:v>
                </c:pt>
                <c:pt idx="13">
                  <c:v>0.26940994837451282</c:v>
                </c:pt>
                <c:pt idx="14">
                  <c:v>0.42872388077394119</c:v>
                </c:pt>
                <c:pt idx="15">
                  <c:v>0.63964447309469652</c:v>
                </c:pt>
                <c:pt idx="16">
                  <c:v>1.0789955912558822</c:v>
                </c:pt>
                <c:pt idx="17">
                  <c:v>1.6461909009168521</c:v>
                </c:pt>
                <c:pt idx="18">
                  <c:v>3.376101515823295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9A-46DB-8541-9562CABD3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2313600"/>
        <c:axId val="1832461312"/>
      </c:lineChart>
      <c:catAx>
        <c:axId val="183231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32461312"/>
        <c:crosses val="autoZero"/>
        <c:auto val="1"/>
        <c:lblAlgn val="ctr"/>
        <c:lblOffset val="100"/>
        <c:noMultiLvlLbl val="0"/>
      </c:catAx>
      <c:valAx>
        <c:axId val="18324613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32313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810221</xdr:colOff>
      <xdr:row>24</xdr:row>
      <xdr:rowOff>17270</xdr:rowOff>
    </xdr:from>
    <xdr:to>
      <xdr:col>10</xdr:col>
      <xdr:colOff>430896</xdr:colOff>
      <xdr:row>38</xdr:row>
      <xdr:rowOff>93469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ADF764C-8DC5-C76A-125C-572477921D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651933</xdr:colOff>
      <xdr:row>5</xdr:row>
      <xdr:rowOff>57150</xdr:rowOff>
    </xdr:from>
    <xdr:to>
      <xdr:col>24</xdr:col>
      <xdr:colOff>643467</xdr:colOff>
      <xdr:row>28</xdr:row>
      <xdr:rowOff>16933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C2BC0D4-B3F7-4F87-82DE-596FAC7F29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177800</xdr:colOff>
      <xdr:row>28</xdr:row>
      <xdr:rowOff>167640</xdr:rowOff>
    </xdr:from>
    <xdr:to>
      <xdr:col>39</xdr:col>
      <xdr:colOff>370840</xdr:colOff>
      <xdr:row>43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3940031-4FF7-4934-B188-93523CC3ED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665480</xdr:colOff>
      <xdr:row>5</xdr:row>
      <xdr:rowOff>5080</xdr:rowOff>
    </xdr:from>
    <xdr:to>
      <xdr:col>49</xdr:col>
      <xdr:colOff>543560</xdr:colOff>
      <xdr:row>19</xdr:row>
      <xdr:rowOff>45720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18F70F3-C3FA-4386-A291-51C2AD7B86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Copia%20de%20INEGI_exporta_12_3_2026_18_46_23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ILY Meléndez Guerrero" refreshedDate="46095.656897800924" createdVersion="8" refreshedVersion="8" minRefreshableVersion="3" recordCount="2930" xr:uid="{C289AFDE-0A9E-4098-974B-BD3087521BED}">
  <cacheSource type="worksheet">
    <worksheetSource ref="A6:H2936" sheet="hoja" r:id="rId2"/>
  </cacheSource>
  <cacheFields count="8">
    <cacheField name="x " numFmtId="0">
      <sharedItems count="21">
        <s v="Total"/>
        <s v="Menores de 1 año"/>
        <s v="1-4 años"/>
        <s v="5-9 años"/>
        <s v="10-14 años"/>
        <s v="15-19 años"/>
        <s v="20-24 años"/>
        <s v="25-29 años"/>
        <s v="30-34 años"/>
        <s v="35-39 años"/>
        <s v="40-44 años"/>
        <s v="45-49 años"/>
        <s v="50-54 años"/>
        <s v="55-59 años"/>
        <s v="60-64 años"/>
        <s v="65-69 años"/>
        <s v="70-74 años"/>
        <s v="75-79 años"/>
        <s v="80-84 años"/>
        <s v="85 años y más"/>
        <s v="No especificado"/>
      </sharedItems>
    </cacheField>
    <cacheField name="age" numFmtId="0">
      <sharedItems containsMixedTypes="1" containsNumber="1" containsInteger="1" minValue="0" maxValue="0" count="41">
        <s v="To"/>
        <n v="0"/>
        <s v="1-"/>
        <s v="5-"/>
        <s v="10"/>
        <s v="15"/>
        <s v="20"/>
        <s v="25"/>
        <s v="30"/>
        <s v="35"/>
        <s v="40"/>
        <s v="45"/>
        <s v="50"/>
        <s v="55"/>
        <s v="60"/>
        <s v="65"/>
        <s v="70"/>
        <s v="75"/>
        <s v="80"/>
        <s v="85"/>
        <s v="No"/>
        <s v="Fórmula1" f="1"/>
        <s v="Fórmula2" f="1"/>
        <s v="Fórmula3" f="1"/>
        <s v="Fórmula4" f="1"/>
        <s v="Fórmula5" f="1"/>
        <s v="Fórmula6" f="1"/>
        <s v="Fórmula7" f="1"/>
        <s v="Fórmula8" f="1"/>
        <s v="Fórmula9" f="1"/>
        <s v="Fórmula10" f="1"/>
        <s v="Fórmula11" f="1"/>
        <s v="Fórmula12" f="1"/>
        <s v="Fórmula13" f="1"/>
        <s v="Fórmula14" f="1"/>
        <s v="Fórmula15" f="1"/>
        <s v="Fórmula16" f="1"/>
        <s v="Fórmula17" f="1"/>
        <s v="Fórmula18" f="1"/>
        <s v="Fórmula19" f="1"/>
        <s v="Fórmula20" f="1"/>
      </sharedItems>
    </cacheField>
    <cacheField name="reg " numFmtId="0">
      <sharedItems containsSemiMixedTypes="0" containsString="0" containsNumber="1" containsInteger="1" minValue="1990" maxValue="2024" count="35"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ocurrencia" numFmtId="0">
      <sharedItems containsMixedTypes="1" containsNumber="1" containsInteger="1" minValue="1900" maxValue="2024" count="100">
        <s v="Total"/>
        <n v="1990"/>
        <s v="No especificado"/>
        <n v="1989"/>
        <n v="1991"/>
        <n v="1992"/>
        <n v="1903"/>
        <n v="1906"/>
        <n v="1907"/>
        <n v="1909"/>
        <n v="1913"/>
        <n v="1914"/>
        <n v="1923"/>
        <n v="1930"/>
        <n v="1933"/>
        <n v="1943"/>
        <n v="1973"/>
        <n v="1983"/>
        <n v="1993"/>
        <n v="1904"/>
        <n v="1910"/>
        <n v="1911"/>
        <n v="1940"/>
        <n v="1944"/>
        <n v="1949"/>
        <n v="1954"/>
        <n v="1974"/>
        <n v="1978"/>
        <n v="1984"/>
        <n v="1988"/>
        <n v="1994"/>
        <n v="1901"/>
        <n v="1905"/>
        <n v="1915"/>
        <n v="1916"/>
        <n v="1925"/>
        <n v="1945"/>
        <n v="1950"/>
        <n v="1951"/>
        <n v="1955"/>
        <n v="1965"/>
        <n v="1975"/>
        <n v="1985"/>
        <n v="1987"/>
        <n v="1995"/>
        <n v="1920"/>
        <n v="1946"/>
        <n v="1966"/>
        <n v="1976"/>
        <n v="1986"/>
        <n v="1996"/>
        <n v="1917"/>
        <n v="1947"/>
        <n v="1956"/>
        <n v="1957"/>
        <n v="1971"/>
        <n v="1977"/>
        <n v="1997"/>
        <n v="1900"/>
        <n v="1908"/>
        <n v="1918"/>
        <n v="1948"/>
        <n v="1958"/>
        <n v="1959"/>
        <n v="1961"/>
        <n v="1968"/>
        <n v="1980"/>
        <n v="1981"/>
        <n v="1982"/>
        <n v="1998"/>
        <n v="1919"/>
        <n v="1999"/>
        <n v="1931"/>
        <n v="2000"/>
        <n v="2001"/>
        <n v="1922"/>
        <n v="1927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Total" numFmtId="0">
      <sharedItems containsSemiMixedTypes="0" containsString="0" containsNumber="1" containsInteger="1" minValue="1" maxValue="107292"/>
    </cacheField>
    <cacheField name="Hombre" numFmtId="0">
      <sharedItems containsMixedTypes="1" containsNumber="1" containsInteger="1" minValue="1" maxValue="61938"/>
    </cacheField>
    <cacheField name="Mujer" numFmtId="0">
      <sharedItems containsMixedTypes="1" containsNumber="1" containsInteger="1" minValue="1" maxValue="45353"/>
    </cacheField>
    <cacheField name="No especificado" numFmtId="0">
      <sharedItems containsMixedTypes="1" containsNumber="1" containsInteger="1" minValue="1" maxValue="29"/>
    </cacheField>
  </cacheFields>
  <calculatedItems count="20">
    <calculatedItem>
      <pivotArea cacheIndex="1" outline="0" fieldPosition="0">
        <references count="1">
          <reference field="1" count="1">
            <x v="21"/>
          </reference>
        </references>
      </pivotArea>
    </calculatedItem>
    <calculatedItem>
      <pivotArea cacheIndex="1" outline="0" fieldPosition="0">
        <references count="1">
          <reference field="1" count="1">
            <x v="22"/>
          </reference>
        </references>
      </pivotArea>
    </calculatedItem>
    <calculatedItem>
      <pivotArea cacheIndex="1" outline="0" fieldPosition="0">
        <references count="1">
          <reference field="1" count="1">
            <x v="23"/>
          </reference>
        </references>
      </pivotArea>
    </calculatedItem>
    <calculatedItem>
      <pivotArea cacheIndex="1" outline="0" fieldPosition="0">
        <references count="1">
          <reference field="1" count="1">
            <x v="24"/>
          </reference>
        </references>
      </pivotArea>
    </calculatedItem>
    <calculatedItem>
      <pivotArea cacheIndex="1" outline="0" fieldPosition="0">
        <references count="1">
          <reference field="1" count="1">
            <x v="25"/>
          </reference>
        </references>
      </pivotArea>
    </calculatedItem>
    <calculatedItem>
      <pivotArea cacheIndex="1" outline="0" fieldPosition="0">
        <references count="1">
          <reference field="1" count="1">
            <x v="26"/>
          </reference>
        </references>
      </pivotArea>
    </calculatedItem>
    <calculatedItem>
      <pivotArea cacheIndex="1" outline="0" fieldPosition="0">
        <references count="1">
          <reference field="1" count="1">
            <x v="27"/>
          </reference>
        </references>
      </pivotArea>
    </calculatedItem>
    <calculatedItem>
      <pivotArea cacheIndex="1" outline="0" fieldPosition="0">
        <references count="1">
          <reference field="1" count="1">
            <x v="28"/>
          </reference>
        </references>
      </pivotArea>
    </calculatedItem>
    <calculatedItem>
      <pivotArea cacheIndex="1" outline="0" fieldPosition="0">
        <references count="1">
          <reference field="1" count="1">
            <x v="29"/>
          </reference>
        </references>
      </pivotArea>
    </calculatedItem>
    <calculatedItem>
      <pivotArea cacheIndex="1" outline="0" fieldPosition="0">
        <references count="1">
          <reference field="1" count="1">
            <x v="30"/>
          </reference>
        </references>
      </pivotArea>
    </calculatedItem>
    <calculatedItem>
      <pivotArea cacheIndex="1" outline="0" fieldPosition="0">
        <references count="1">
          <reference field="1" count="1">
            <x v="31"/>
          </reference>
        </references>
      </pivotArea>
    </calculatedItem>
    <calculatedItem>
      <pivotArea cacheIndex="1" outline="0" fieldPosition="0">
        <references count="1">
          <reference field="1" count="1">
            <x v="32"/>
          </reference>
        </references>
      </pivotArea>
    </calculatedItem>
    <calculatedItem>
      <pivotArea cacheIndex="1" outline="0" fieldPosition="0">
        <references count="1">
          <reference field="1" count="1">
            <x v="33"/>
          </reference>
        </references>
      </pivotArea>
    </calculatedItem>
    <calculatedItem>
      <pivotArea cacheIndex="1" outline="0" fieldPosition="0">
        <references count="1">
          <reference field="1" count="1">
            <x v="34"/>
          </reference>
        </references>
      </pivotArea>
    </calculatedItem>
    <calculatedItem>
      <pivotArea cacheIndex="1" outline="0" fieldPosition="0">
        <references count="1">
          <reference field="1" count="1">
            <x v="35"/>
          </reference>
        </references>
      </pivotArea>
    </calculatedItem>
    <calculatedItem>
      <pivotArea cacheIndex="1" outline="0" fieldPosition="0">
        <references count="1">
          <reference field="1" count="1">
            <x v="36"/>
          </reference>
        </references>
      </pivotArea>
    </calculatedItem>
    <calculatedItem>
      <pivotArea cacheIndex="1" outline="0" fieldPosition="0">
        <references count="1">
          <reference field="1" count="1">
            <x v="37"/>
          </reference>
        </references>
      </pivotArea>
    </calculatedItem>
    <calculatedItem>
      <pivotArea cacheIndex="1" outline="0" fieldPosition="0">
        <references count="1">
          <reference field="1" count="1">
            <x v="38"/>
          </reference>
        </references>
      </pivotArea>
    </calculatedItem>
    <calculatedItem>
      <pivotArea cacheIndex="1" outline="0" fieldPosition="0">
        <references count="1">
          <reference field="1" count="1">
            <x v="39"/>
          </reference>
        </references>
      </pivotArea>
    </calculatedItem>
    <calculatedItem>
      <pivotArea cacheIndex="1" outline="0" fieldPosition="0">
        <references count="1">
          <reference field="1" count="1">
            <x v="40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0">
  <r>
    <x v="0"/>
    <x v="0"/>
    <x v="0"/>
    <x v="0"/>
    <n v="44741"/>
    <n v="23509"/>
    <n v="21203"/>
    <n v="29"/>
  </r>
  <r>
    <x v="0"/>
    <x v="0"/>
    <x v="0"/>
    <x v="1"/>
    <n v="44584"/>
    <n v="23386"/>
    <n v="21171"/>
    <n v="27"/>
  </r>
  <r>
    <x v="0"/>
    <x v="0"/>
    <x v="0"/>
    <x v="2"/>
    <n v="157"/>
    <n v="123"/>
    <n v="32"/>
    <n v="2"/>
  </r>
  <r>
    <x v="0"/>
    <x v="0"/>
    <x v="1"/>
    <x v="0"/>
    <n v="45203"/>
    <n v="23929"/>
    <n v="21257"/>
    <n v="17"/>
  </r>
  <r>
    <x v="0"/>
    <x v="0"/>
    <x v="1"/>
    <x v="3"/>
    <n v="1"/>
    <s v=""/>
    <n v="1"/>
    <s v=""/>
  </r>
  <r>
    <x v="0"/>
    <x v="0"/>
    <x v="1"/>
    <x v="1"/>
    <n v="1"/>
    <s v=""/>
    <n v="1"/>
    <s v=""/>
  </r>
  <r>
    <x v="0"/>
    <x v="0"/>
    <x v="1"/>
    <x v="4"/>
    <n v="45068"/>
    <n v="23819"/>
    <n v="21233"/>
    <n v="16"/>
  </r>
  <r>
    <x v="0"/>
    <x v="0"/>
    <x v="1"/>
    <x v="2"/>
    <n v="133"/>
    <n v="110"/>
    <n v="22"/>
    <n v="1"/>
  </r>
  <r>
    <x v="0"/>
    <x v="0"/>
    <x v="2"/>
    <x v="0"/>
    <n v="45328"/>
    <n v="24250"/>
    <n v="21067"/>
    <n v="11"/>
  </r>
  <r>
    <x v="0"/>
    <x v="0"/>
    <x v="2"/>
    <x v="5"/>
    <n v="45224"/>
    <n v="24169"/>
    <n v="21045"/>
    <n v="10"/>
  </r>
  <r>
    <x v="0"/>
    <x v="0"/>
    <x v="2"/>
    <x v="2"/>
    <n v="104"/>
    <n v="81"/>
    <n v="22"/>
    <n v="1"/>
  </r>
  <r>
    <x v="0"/>
    <x v="0"/>
    <x v="3"/>
    <x v="0"/>
    <n v="45301"/>
    <n v="23967"/>
    <n v="21311"/>
    <n v="23"/>
  </r>
  <r>
    <x v="0"/>
    <x v="0"/>
    <x v="3"/>
    <x v="6"/>
    <n v="4"/>
    <n v="3"/>
    <n v="1"/>
    <s v=""/>
  </r>
  <r>
    <x v="0"/>
    <x v="0"/>
    <x v="3"/>
    <x v="7"/>
    <n v="1"/>
    <s v=""/>
    <n v="1"/>
    <s v=""/>
  </r>
  <r>
    <x v="0"/>
    <x v="0"/>
    <x v="3"/>
    <x v="8"/>
    <n v="1"/>
    <s v=""/>
    <n v="1"/>
    <s v=""/>
  </r>
  <r>
    <x v="0"/>
    <x v="0"/>
    <x v="3"/>
    <x v="9"/>
    <n v="1"/>
    <s v=""/>
    <n v="1"/>
    <s v=""/>
  </r>
  <r>
    <x v="0"/>
    <x v="0"/>
    <x v="3"/>
    <x v="10"/>
    <n v="4"/>
    <n v="1"/>
    <n v="3"/>
    <s v=""/>
  </r>
  <r>
    <x v="0"/>
    <x v="0"/>
    <x v="3"/>
    <x v="11"/>
    <n v="1"/>
    <s v=""/>
    <n v="1"/>
    <s v=""/>
  </r>
  <r>
    <x v="0"/>
    <x v="0"/>
    <x v="3"/>
    <x v="12"/>
    <n v="1"/>
    <s v=""/>
    <n v="1"/>
    <s v=""/>
  </r>
  <r>
    <x v="0"/>
    <x v="0"/>
    <x v="3"/>
    <x v="13"/>
    <n v="2"/>
    <n v="2"/>
    <s v=""/>
    <s v=""/>
  </r>
  <r>
    <x v="0"/>
    <x v="0"/>
    <x v="3"/>
    <x v="14"/>
    <n v="1"/>
    <s v=""/>
    <n v="1"/>
    <s v=""/>
  </r>
  <r>
    <x v="0"/>
    <x v="0"/>
    <x v="3"/>
    <x v="15"/>
    <n v="10"/>
    <n v="5"/>
    <n v="5"/>
    <s v=""/>
  </r>
  <r>
    <x v="0"/>
    <x v="0"/>
    <x v="3"/>
    <x v="16"/>
    <n v="2"/>
    <s v=""/>
    <n v="2"/>
    <s v=""/>
  </r>
  <r>
    <x v="0"/>
    <x v="0"/>
    <x v="3"/>
    <x v="17"/>
    <n v="4"/>
    <s v=""/>
    <n v="4"/>
    <s v=""/>
  </r>
  <r>
    <x v="0"/>
    <x v="0"/>
    <x v="3"/>
    <x v="1"/>
    <n v="1"/>
    <s v=""/>
    <n v="1"/>
    <s v=""/>
  </r>
  <r>
    <x v="0"/>
    <x v="0"/>
    <x v="3"/>
    <x v="4"/>
    <n v="4"/>
    <n v="3"/>
    <n v="1"/>
    <s v=""/>
  </r>
  <r>
    <x v="0"/>
    <x v="0"/>
    <x v="3"/>
    <x v="5"/>
    <n v="192"/>
    <n v="113"/>
    <n v="79"/>
    <s v=""/>
  </r>
  <r>
    <x v="0"/>
    <x v="0"/>
    <x v="3"/>
    <x v="18"/>
    <n v="44968"/>
    <n v="23752"/>
    <n v="21193"/>
    <n v="23"/>
  </r>
  <r>
    <x v="0"/>
    <x v="0"/>
    <x v="3"/>
    <x v="2"/>
    <n v="104"/>
    <n v="88"/>
    <n v="16"/>
    <s v=""/>
  </r>
  <r>
    <x v="0"/>
    <x v="0"/>
    <x v="4"/>
    <x v="0"/>
    <n v="45686"/>
    <n v="24149"/>
    <n v="21516"/>
    <n v="21"/>
  </r>
  <r>
    <x v="0"/>
    <x v="0"/>
    <x v="4"/>
    <x v="6"/>
    <n v="1"/>
    <n v="1"/>
    <s v=""/>
    <s v=""/>
  </r>
  <r>
    <x v="0"/>
    <x v="0"/>
    <x v="4"/>
    <x v="19"/>
    <n v="6"/>
    <n v="3"/>
    <n v="3"/>
    <s v=""/>
  </r>
  <r>
    <x v="0"/>
    <x v="0"/>
    <x v="4"/>
    <x v="20"/>
    <n v="2"/>
    <n v="1"/>
    <n v="1"/>
    <s v=""/>
  </r>
  <r>
    <x v="0"/>
    <x v="0"/>
    <x v="4"/>
    <x v="21"/>
    <n v="1"/>
    <s v=""/>
    <n v="1"/>
    <s v=""/>
  </r>
  <r>
    <x v="0"/>
    <x v="0"/>
    <x v="4"/>
    <x v="22"/>
    <n v="1"/>
    <n v="1"/>
    <s v=""/>
    <s v=""/>
  </r>
  <r>
    <x v="0"/>
    <x v="0"/>
    <x v="4"/>
    <x v="23"/>
    <n v="4"/>
    <n v="3"/>
    <n v="1"/>
    <s v=""/>
  </r>
  <r>
    <x v="0"/>
    <x v="0"/>
    <x v="4"/>
    <x v="24"/>
    <n v="1"/>
    <n v="1"/>
    <s v=""/>
    <s v=""/>
  </r>
  <r>
    <x v="0"/>
    <x v="0"/>
    <x v="4"/>
    <x v="25"/>
    <n v="2"/>
    <s v=""/>
    <n v="2"/>
    <s v=""/>
  </r>
  <r>
    <x v="0"/>
    <x v="0"/>
    <x v="4"/>
    <x v="26"/>
    <n v="1"/>
    <n v="1"/>
    <s v=""/>
    <s v=""/>
  </r>
  <r>
    <x v="0"/>
    <x v="0"/>
    <x v="4"/>
    <x v="27"/>
    <n v="1"/>
    <n v="1"/>
    <s v=""/>
    <s v=""/>
  </r>
  <r>
    <x v="0"/>
    <x v="0"/>
    <x v="4"/>
    <x v="28"/>
    <n v="4"/>
    <n v="2"/>
    <n v="2"/>
    <s v=""/>
  </r>
  <r>
    <x v="0"/>
    <x v="0"/>
    <x v="4"/>
    <x v="29"/>
    <n v="1"/>
    <s v=""/>
    <n v="1"/>
    <s v=""/>
  </r>
  <r>
    <x v="0"/>
    <x v="0"/>
    <x v="4"/>
    <x v="4"/>
    <n v="8"/>
    <n v="5"/>
    <n v="3"/>
    <s v=""/>
  </r>
  <r>
    <x v="0"/>
    <x v="0"/>
    <x v="4"/>
    <x v="5"/>
    <n v="2"/>
    <n v="1"/>
    <n v="1"/>
    <s v=""/>
  </r>
  <r>
    <x v="0"/>
    <x v="0"/>
    <x v="4"/>
    <x v="18"/>
    <n v="185"/>
    <n v="105"/>
    <n v="80"/>
    <s v=""/>
  </r>
  <r>
    <x v="0"/>
    <x v="0"/>
    <x v="4"/>
    <x v="30"/>
    <n v="45465"/>
    <n v="24023"/>
    <n v="21421"/>
    <n v="21"/>
  </r>
  <r>
    <x v="0"/>
    <x v="0"/>
    <x v="4"/>
    <x v="2"/>
    <n v="1"/>
    <n v="1"/>
    <s v=""/>
    <s v=""/>
  </r>
  <r>
    <x v="0"/>
    <x v="0"/>
    <x v="5"/>
    <x v="0"/>
    <n v="46609"/>
    <n v="24693"/>
    <n v="21901"/>
    <n v="15"/>
  </r>
  <r>
    <x v="0"/>
    <x v="0"/>
    <x v="5"/>
    <x v="31"/>
    <n v="1"/>
    <n v="1"/>
    <s v=""/>
    <s v=""/>
  </r>
  <r>
    <x v="0"/>
    <x v="0"/>
    <x v="5"/>
    <x v="32"/>
    <n v="3"/>
    <n v="1"/>
    <n v="2"/>
    <s v=""/>
  </r>
  <r>
    <x v="0"/>
    <x v="0"/>
    <x v="5"/>
    <x v="9"/>
    <n v="1"/>
    <n v="1"/>
    <s v=""/>
    <s v=""/>
  </r>
  <r>
    <x v="0"/>
    <x v="0"/>
    <x v="5"/>
    <x v="33"/>
    <n v="1"/>
    <s v=""/>
    <n v="1"/>
    <s v=""/>
  </r>
  <r>
    <x v="0"/>
    <x v="0"/>
    <x v="5"/>
    <x v="34"/>
    <n v="1"/>
    <n v="1"/>
    <s v=""/>
    <s v=""/>
  </r>
  <r>
    <x v="0"/>
    <x v="0"/>
    <x v="5"/>
    <x v="35"/>
    <n v="1"/>
    <s v=""/>
    <n v="1"/>
    <s v=""/>
  </r>
  <r>
    <x v="0"/>
    <x v="0"/>
    <x v="5"/>
    <x v="36"/>
    <n v="7"/>
    <n v="5"/>
    <n v="2"/>
    <s v=""/>
  </r>
  <r>
    <x v="0"/>
    <x v="0"/>
    <x v="5"/>
    <x v="24"/>
    <n v="1"/>
    <n v="1"/>
    <s v=""/>
    <s v=""/>
  </r>
  <r>
    <x v="0"/>
    <x v="0"/>
    <x v="5"/>
    <x v="37"/>
    <n v="1"/>
    <n v="1"/>
    <s v=""/>
    <s v=""/>
  </r>
  <r>
    <x v="0"/>
    <x v="0"/>
    <x v="5"/>
    <x v="38"/>
    <n v="1"/>
    <n v="1"/>
    <s v=""/>
    <s v=""/>
  </r>
  <r>
    <x v="0"/>
    <x v="0"/>
    <x v="5"/>
    <x v="39"/>
    <n v="1"/>
    <s v=""/>
    <n v="1"/>
    <s v=""/>
  </r>
  <r>
    <x v="0"/>
    <x v="0"/>
    <x v="5"/>
    <x v="40"/>
    <n v="1"/>
    <s v=""/>
    <n v="1"/>
    <s v=""/>
  </r>
  <r>
    <x v="0"/>
    <x v="0"/>
    <x v="5"/>
    <x v="16"/>
    <n v="1"/>
    <n v="1"/>
    <s v=""/>
    <s v=""/>
  </r>
  <r>
    <x v="0"/>
    <x v="0"/>
    <x v="5"/>
    <x v="41"/>
    <n v="3"/>
    <n v="2"/>
    <n v="1"/>
    <s v=""/>
  </r>
  <r>
    <x v="0"/>
    <x v="0"/>
    <x v="5"/>
    <x v="42"/>
    <n v="1"/>
    <s v=""/>
    <n v="1"/>
    <s v=""/>
  </r>
  <r>
    <x v="0"/>
    <x v="0"/>
    <x v="5"/>
    <x v="43"/>
    <n v="1"/>
    <n v="1"/>
    <s v=""/>
    <s v=""/>
  </r>
  <r>
    <x v="0"/>
    <x v="0"/>
    <x v="5"/>
    <x v="1"/>
    <n v="2"/>
    <n v="1"/>
    <n v="1"/>
    <s v=""/>
  </r>
  <r>
    <x v="0"/>
    <x v="0"/>
    <x v="5"/>
    <x v="4"/>
    <n v="7"/>
    <n v="4"/>
    <n v="3"/>
    <s v=""/>
  </r>
  <r>
    <x v="0"/>
    <x v="0"/>
    <x v="5"/>
    <x v="5"/>
    <n v="2"/>
    <n v="1"/>
    <n v="1"/>
    <s v=""/>
  </r>
  <r>
    <x v="0"/>
    <x v="0"/>
    <x v="5"/>
    <x v="18"/>
    <n v="14"/>
    <n v="8"/>
    <n v="6"/>
    <s v=""/>
  </r>
  <r>
    <x v="0"/>
    <x v="0"/>
    <x v="5"/>
    <x v="30"/>
    <n v="259"/>
    <n v="167"/>
    <n v="89"/>
    <n v="3"/>
  </r>
  <r>
    <x v="0"/>
    <x v="0"/>
    <x v="5"/>
    <x v="44"/>
    <n v="46295"/>
    <n v="24492"/>
    <n v="21791"/>
    <n v="12"/>
  </r>
  <r>
    <x v="0"/>
    <x v="0"/>
    <x v="5"/>
    <x v="2"/>
    <n v="4"/>
    <n v="4"/>
    <s v=""/>
    <s v=""/>
  </r>
  <r>
    <x v="0"/>
    <x v="0"/>
    <x v="6"/>
    <x v="0"/>
    <n v="46474"/>
    <n v="24306"/>
    <n v="22157"/>
    <n v="11"/>
  </r>
  <r>
    <x v="0"/>
    <x v="0"/>
    <x v="6"/>
    <x v="7"/>
    <n v="2"/>
    <n v="1"/>
    <n v="1"/>
    <s v=""/>
  </r>
  <r>
    <x v="0"/>
    <x v="0"/>
    <x v="6"/>
    <x v="9"/>
    <n v="1"/>
    <n v="1"/>
    <s v=""/>
    <s v=""/>
  </r>
  <r>
    <x v="0"/>
    <x v="0"/>
    <x v="6"/>
    <x v="34"/>
    <n v="1"/>
    <s v=""/>
    <n v="1"/>
    <s v=""/>
  </r>
  <r>
    <x v="0"/>
    <x v="0"/>
    <x v="6"/>
    <x v="45"/>
    <n v="1"/>
    <s v=""/>
    <n v="1"/>
    <s v=""/>
  </r>
  <r>
    <x v="0"/>
    <x v="0"/>
    <x v="6"/>
    <x v="22"/>
    <n v="1"/>
    <s v=""/>
    <n v="1"/>
    <s v=""/>
  </r>
  <r>
    <x v="0"/>
    <x v="0"/>
    <x v="6"/>
    <x v="46"/>
    <n v="1"/>
    <n v="1"/>
    <s v=""/>
    <s v=""/>
  </r>
  <r>
    <x v="0"/>
    <x v="0"/>
    <x v="6"/>
    <x v="47"/>
    <n v="1"/>
    <s v=""/>
    <n v="1"/>
    <s v=""/>
  </r>
  <r>
    <x v="0"/>
    <x v="0"/>
    <x v="6"/>
    <x v="48"/>
    <n v="2"/>
    <n v="2"/>
    <s v=""/>
    <s v=""/>
  </r>
  <r>
    <x v="0"/>
    <x v="0"/>
    <x v="6"/>
    <x v="49"/>
    <n v="4"/>
    <n v="2"/>
    <n v="2"/>
    <s v=""/>
  </r>
  <r>
    <x v="0"/>
    <x v="0"/>
    <x v="6"/>
    <x v="1"/>
    <n v="3"/>
    <n v="2"/>
    <n v="1"/>
    <s v=""/>
  </r>
  <r>
    <x v="0"/>
    <x v="0"/>
    <x v="6"/>
    <x v="5"/>
    <n v="1"/>
    <n v="1"/>
    <s v=""/>
    <s v=""/>
  </r>
  <r>
    <x v="0"/>
    <x v="0"/>
    <x v="6"/>
    <x v="18"/>
    <n v="2"/>
    <n v="2"/>
    <s v=""/>
    <s v=""/>
  </r>
  <r>
    <x v="0"/>
    <x v="0"/>
    <x v="6"/>
    <x v="30"/>
    <n v="7"/>
    <n v="6"/>
    <n v="1"/>
    <s v=""/>
  </r>
  <r>
    <x v="0"/>
    <x v="0"/>
    <x v="6"/>
    <x v="44"/>
    <n v="263"/>
    <n v="167"/>
    <n v="96"/>
    <s v=""/>
  </r>
  <r>
    <x v="0"/>
    <x v="0"/>
    <x v="6"/>
    <x v="50"/>
    <n v="46183"/>
    <n v="24120"/>
    <n v="22052"/>
    <n v="11"/>
  </r>
  <r>
    <x v="0"/>
    <x v="0"/>
    <x v="6"/>
    <x v="2"/>
    <n v="1"/>
    <n v="1"/>
    <s v=""/>
    <s v=""/>
  </r>
  <r>
    <x v="0"/>
    <x v="0"/>
    <x v="7"/>
    <x v="0"/>
    <n v="46884"/>
    <n v="24444"/>
    <n v="22424"/>
    <n v="16"/>
  </r>
  <r>
    <x v="0"/>
    <x v="0"/>
    <x v="7"/>
    <x v="8"/>
    <n v="5"/>
    <n v="2"/>
    <n v="3"/>
    <s v=""/>
  </r>
  <r>
    <x v="0"/>
    <x v="0"/>
    <x v="7"/>
    <x v="9"/>
    <n v="1"/>
    <n v="1"/>
    <s v=""/>
    <s v=""/>
  </r>
  <r>
    <x v="0"/>
    <x v="0"/>
    <x v="7"/>
    <x v="51"/>
    <n v="1"/>
    <s v=""/>
    <n v="1"/>
    <s v=""/>
  </r>
  <r>
    <x v="0"/>
    <x v="0"/>
    <x v="7"/>
    <x v="15"/>
    <n v="1"/>
    <s v=""/>
    <n v="1"/>
    <s v=""/>
  </r>
  <r>
    <x v="0"/>
    <x v="0"/>
    <x v="7"/>
    <x v="52"/>
    <n v="2"/>
    <s v=""/>
    <n v="2"/>
    <s v=""/>
  </r>
  <r>
    <x v="0"/>
    <x v="0"/>
    <x v="7"/>
    <x v="53"/>
    <n v="1"/>
    <s v=""/>
    <n v="1"/>
    <s v=""/>
  </r>
  <r>
    <x v="0"/>
    <x v="0"/>
    <x v="7"/>
    <x v="54"/>
    <n v="1"/>
    <s v=""/>
    <n v="1"/>
    <s v=""/>
  </r>
  <r>
    <x v="0"/>
    <x v="0"/>
    <x v="7"/>
    <x v="55"/>
    <n v="2"/>
    <n v="1"/>
    <n v="1"/>
    <s v=""/>
  </r>
  <r>
    <x v="0"/>
    <x v="0"/>
    <x v="7"/>
    <x v="56"/>
    <n v="1"/>
    <n v="1"/>
    <s v=""/>
    <s v=""/>
  </r>
  <r>
    <x v="0"/>
    <x v="0"/>
    <x v="7"/>
    <x v="28"/>
    <n v="1"/>
    <s v=""/>
    <n v="1"/>
    <s v=""/>
  </r>
  <r>
    <x v="0"/>
    <x v="0"/>
    <x v="7"/>
    <x v="43"/>
    <n v="2"/>
    <n v="1"/>
    <n v="1"/>
    <s v=""/>
  </r>
  <r>
    <x v="0"/>
    <x v="0"/>
    <x v="7"/>
    <x v="4"/>
    <n v="9"/>
    <n v="3"/>
    <n v="6"/>
    <s v=""/>
  </r>
  <r>
    <x v="0"/>
    <x v="0"/>
    <x v="7"/>
    <x v="5"/>
    <n v="1"/>
    <n v="1"/>
    <s v=""/>
    <s v=""/>
  </r>
  <r>
    <x v="0"/>
    <x v="0"/>
    <x v="7"/>
    <x v="18"/>
    <n v="7"/>
    <n v="3"/>
    <n v="4"/>
    <s v=""/>
  </r>
  <r>
    <x v="0"/>
    <x v="0"/>
    <x v="7"/>
    <x v="30"/>
    <n v="2"/>
    <n v="1"/>
    <n v="1"/>
    <s v=""/>
  </r>
  <r>
    <x v="0"/>
    <x v="0"/>
    <x v="7"/>
    <x v="44"/>
    <n v="3"/>
    <n v="2"/>
    <n v="1"/>
    <s v=""/>
  </r>
  <r>
    <x v="0"/>
    <x v="0"/>
    <x v="7"/>
    <x v="50"/>
    <n v="187"/>
    <n v="103"/>
    <n v="84"/>
    <s v=""/>
  </r>
  <r>
    <x v="0"/>
    <x v="0"/>
    <x v="7"/>
    <x v="57"/>
    <n v="46656"/>
    <n v="24324"/>
    <n v="22316"/>
    <n v="16"/>
  </r>
  <r>
    <x v="0"/>
    <x v="0"/>
    <x v="7"/>
    <x v="2"/>
    <n v="1"/>
    <n v="1"/>
    <s v=""/>
    <s v=""/>
  </r>
  <r>
    <x v="0"/>
    <x v="0"/>
    <x v="8"/>
    <x v="0"/>
    <n v="46773"/>
    <n v="24309"/>
    <n v="22450"/>
    <n v="14"/>
  </r>
  <r>
    <x v="0"/>
    <x v="0"/>
    <x v="8"/>
    <x v="58"/>
    <n v="7"/>
    <n v="4"/>
    <n v="3"/>
    <s v=""/>
  </r>
  <r>
    <x v="0"/>
    <x v="0"/>
    <x v="8"/>
    <x v="8"/>
    <n v="1"/>
    <s v=""/>
    <n v="1"/>
    <s v=""/>
  </r>
  <r>
    <x v="0"/>
    <x v="0"/>
    <x v="8"/>
    <x v="59"/>
    <n v="1"/>
    <s v=""/>
    <n v="1"/>
    <s v=""/>
  </r>
  <r>
    <x v="0"/>
    <x v="0"/>
    <x v="8"/>
    <x v="9"/>
    <n v="2"/>
    <s v=""/>
    <n v="2"/>
    <s v=""/>
  </r>
  <r>
    <x v="0"/>
    <x v="0"/>
    <x v="8"/>
    <x v="60"/>
    <n v="2"/>
    <n v="2"/>
    <s v=""/>
    <s v=""/>
  </r>
  <r>
    <x v="0"/>
    <x v="0"/>
    <x v="8"/>
    <x v="46"/>
    <n v="1"/>
    <n v="1"/>
    <s v=""/>
    <s v=""/>
  </r>
  <r>
    <x v="0"/>
    <x v="0"/>
    <x v="8"/>
    <x v="61"/>
    <n v="3"/>
    <n v="1"/>
    <n v="2"/>
    <s v=""/>
  </r>
  <r>
    <x v="0"/>
    <x v="0"/>
    <x v="8"/>
    <x v="62"/>
    <n v="9"/>
    <n v="4"/>
    <n v="5"/>
    <s v=""/>
  </r>
  <r>
    <x v="0"/>
    <x v="0"/>
    <x v="8"/>
    <x v="63"/>
    <n v="1"/>
    <n v="1"/>
    <s v=""/>
    <s v=""/>
  </r>
  <r>
    <x v="0"/>
    <x v="0"/>
    <x v="8"/>
    <x v="64"/>
    <n v="1"/>
    <s v=""/>
    <n v="1"/>
    <s v=""/>
  </r>
  <r>
    <x v="0"/>
    <x v="0"/>
    <x v="8"/>
    <x v="65"/>
    <n v="1"/>
    <s v=""/>
    <n v="1"/>
    <s v=""/>
  </r>
  <r>
    <x v="0"/>
    <x v="0"/>
    <x v="8"/>
    <x v="27"/>
    <n v="2"/>
    <n v="2"/>
    <s v=""/>
    <s v=""/>
  </r>
  <r>
    <x v="0"/>
    <x v="0"/>
    <x v="8"/>
    <x v="66"/>
    <n v="5"/>
    <n v="4"/>
    <n v="1"/>
    <s v=""/>
  </r>
  <r>
    <x v="0"/>
    <x v="0"/>
    <x v="8"/>
    <x v="67"/>
    <n v="2"/>
    <n v="1"/>
    <n v="1"/>
    <s v=""/>
  </r>
  <r>
    <x v="0"/>
    <x v="0"/>
    <x v="8"/>
    <x v="68"/>
    <n v="1"/>
    <s v=""/>
    <n v="1"/>
    <s v=""/>
  </r>
  <r>
    <x v="0"/>
    <x v="0"/>
    <x v="8"/>
    <x v="29"/>
    <n v="1"/>
    <s v=""/>
    <n v="1"/>
    <s v=""/>
  </r>
  <r>
    <x v="0"/>
    <x v="0"/>
    <x v="8"/>
    <x v="1"/>
    <n v="3"/>
    <n v="1"/>
    <n v="2"/>
    <s v=""/>
  </r>
  <r>
    <x v="0"/>
    <x v="0"/>
    <x v="8"/>
    <x v="4"/>
    <n v="1"/>
    <n v="1"/>
    <s v=""/>
    <s v=""/>
  </r>
  <r>
    <x v="0"/>
    <x v="0"/>
    <x v="8"/>
    <x v="18"/>
    <n v="3"/>
    <n v="2"/>
    <n v="1"/>
    <s v=""/>
  </r>
  <r>
    <x v="0"/>
    <x v="0"/>
    <x v="8"/>
    <x v="44"/>
    <n v="3"/>
    <n v="1"/>
    <n v="2"/>
    <s v=""/>
  </r>
  <r>
    <x v="0"/>
    <x v="0"/>
    <x v="8"/>
    <x v="50"/>
    <n v="7"/>
    <n v="4"/>
    <n v="3"/>
    <s v=""/>
  </r>
  <r>
    <x v="0"/>
    <x v="0"/>
    <x v="8"/>
    <x v="57"/>
    <n v="246"/>
    <n v="141"/>
    <n v="105"/>
    <s v=""/>
  </r>
  <r>
    <x v="0"/>
    <x v="0"/>
    <x v="8"/>
    <x v="69"/>
    <n v="46470"/>
    <n v="24139"/>
    <n v="22317"/>
    <n v="14"/>
  </r>
  <r>
    <x v="0"/>
    <x v="0"/>
    <x v="9"/>
    <x v="0"/>
    <n v="46601"/>
    <n v="24103"/>
    <n v="22486"/>
    <n v="12"/>
  </r>
  <r>
    <x v="0"/>
    <x v="0"/>
    <x v="9"/>
    <x v="70"/>
    <n v="1"/>
    <s v=""/>
    <n v="1"/>
    <s v=""/>
  </r>
  <r>
    <x v="0"/>
    <x v="0"/>
    <x v="9"/>
    <x v="24"/>
    <n v="1"/>
    <n v="1"/>
    <s v=""/>
    <s v=""/>
  </r>
  <r>
    <x v="0"/>
    <x v="0"/>
    <x v="9"/>
    <x v="63"/>
    <n v="1"/>
    <n v="1"/>
    <s v=""/>
    <s v=""/>
  </r>
  <r>
    <x v="0"/>
    <x v="0"/>
    <x v="9"/>
    <x v="3"/>
    <n v="2"/>
    <n v="1"/>
    <n v="1"/>
    <s v=""/>
  </r>
  <r>
    <x v="0"/>
    <x v="0"/>
    <x v="9"/>
    <x v="4"/>
    <n v="1"/>
    <n v="1"/>
    <s v=""/>
    <s v=""/>
  </r>
  <r>
    <x v="0"/>
    <x v="0"/>
    <x v="9"/>
    <x v="5"/>
    <n v="1"/>
    <n v="1"/>
    <s v=""/>
    <s v=""/>
  </r>
  <r>
    <x v="0"/>
    <x v="0"/>
    <x v="9"/>
    <x v="30"/>
    <n v="2"/>
    <n v="1"/>
    <n v="1"/>
    <s v=""/>
  </r>
  <r>
    <x v="0"/>
    <x v="0"/>
    <x v="9"/>
    <x v="44"/>
    <n v="1"/>
    <n v="1"/>
    <s v=""/>
    <s v=""/>
  </r>
  <r>
    <x v="0"/>
    <x v="0"/>
    <x v="9"/>
    <x v="69"/>
    <n v="186"/>
    <n v="110"/>
    <n v="76"/>
    <s v=""/>
  </r>
  <r>
    <x v="0"/>
    <x v="0"/>
    <x v="9"/>
    <x v="71"/>
    <n v="46403"/>
    <n v="23984"/>
    <n v="22407"/>
    <n v="12"/>
  </r>
  <r>
    <x v="0"/>
    <x v="0"/>
    <x v="9"/>
    <x v="2"/>
    <n v="2"/>
    <n v="2"/>
    <s v=""/>
    <s v=""/>
  </r>
  <r>
    <x v="0"/>
    <x v="0"/>
    <x v="10"/>
    <x v="0"/>
    <n v="46029"/>
    <n v="23574"/>
    <n v="22447"/>
    <n v="8"/>
  </r>
  <r>
    <x v="0"/>
    <x v="0"/>
    <x v="10"/>
    <x v="72"/>
    <n v="1"/>
    <n v="1"/>
    <s v=""/>
    <s v=""/>
  </r>
  <r>
    <x v="0"/>
    <x v="0"/>
    <x v="10"/>
    <x v="4"/>
    <n v="1"/>
    <n v="1"/>
    <s v=""/>
    <s v=""/>
  </r>
  <r>
    <x v="0"/>
    <x v="0"/>
    <x v="10"/>
    <x v="18"/>
    <n v="1"/>
    <n v="1"/>
    <s v=""/>
    <s v=""/>
  </r>
  <r>
    <x v="0"/>
    <x v="0"/>
    <x v="10"/>
    <x v="30"/>
    <n v="1"/>
    <n v="1"/>
    <s v=""/>
    <s v=""/>
  </r>
  <r>
    <x v="0"/>
    <x v="0"/>
    <x v="10"/>
    <x v="69"/>
    <n v="1"/>
    <s v=""/>
    <n v="1"/>
    <s v=""/>
  </r>
  <r>
    <x v="0"/>
    <x v="0"/>
    <x v="10"/>
    <x v="71"/>
    <n v="205"/>
    <n v="130"/>
    <n v="75"/>
    <s v=""/>
  </r>
  <r>
    <x v="0"/>
    <x v="0"/>
    <x v="10"/>
    <x v="73"/>
    <n v="45819"/>
    <n v="23440"/>
    <n v="22371"/>
    <n v="8"/>
  </r>
  <r>
    <x v="0"/>
    <x v="0"/>
    <x v="11"/>
    <x v="0"/>
    <n v="46627"/>
    <n v="23886"/>
    <n v="22728"/>
    <n v="13"/>
  </r>
  <r>
    <x v="0"/>
    <x v="0"/>
    <x v="11"/>
    <x v="42"/>
    <n v="1"/>
    <n v="1"/>
    <s v=""/>
    <s v=""/>
  </r>
  <r>
    <x v="0"/>
    <x v="0"/>
    <x v="11"/>
    <x v="50"/>
    <n v="1"/>
    <s v=""/>
    <n v="1"/>
    <s v=""/>
  </r>
  <r>
    <x v="0"/>
    <x v="0"/>
    <x v="11"/>
    <x v="71"/>
    <n v="1"/>
    <n v="1"/>
    <s v=""/>
    <s v=""/>
  </r>
  <r>
    <x v="0"/>
    <x v="0"/>
    <x v="11"/>
    <x v="73"/>
    <n v="213"/>
    <n v="118"/>
    <n v="95"/>
    <s v=""/>
  </r>
  <r>
    <x v="0"/>
    <x v="0"/>
    <x v="11"/>
    <x v="74"/>
    <n v="46411"/>
    <n v="23766"/>
    <n v="22632"/>
    <n v="13"/>
  </r>
  <r>
    <x v="0"/>
    <x v="0"/>
    <x v="12"/>
    <x v="0"/>
    <n v="46984"/>
    <n v="23987"/>
    <n v="22988"/>
    <n v="9"/>
  </r>
  <r>
    <x v="0"/>
    <x v="0"/>
    <x v="12"/>
    <x v="75"/>
    <n v="1"/>
    <n v="1"/>
    <s v=""/>
    <s v=""/>
  </r>
  <r>
    <x v="0"/>
    <x v="0"/>
    <x v="12"/>
    <x v="76"/>
    <n v="1"/>
    <n v="1"/>
    <s v=""/>
    <s v=""/>
  </r>
  <r>
    <x v="0"/>
    <x v="0"/>
    <x v="12"/>
    <x v="5"/>
    <n v="1"/>
    <n v="1"/>
    <s v=""/>
    <s v=""/>
  </r>
  <r>
    <x v="0"/>
    <x v="0"/>
    <x v="12"/>
    <x v="44"/>
    <n v="1"/>
    <n v="1"/>
    <s v=""/>
    <s v=""/>
  </r>
  <r>
    <x v="0"/>
    <x v="0"/>
    <x v="12"/>
    <x v="57"/>
    <n v="1"/>
    <n v="1"/>
    <s v=""/>
    <s v=""/>
  </r>
  <r>
    <x v="0"/>
    <x v="0"/>
    <x v="12"/>
    <x v="71"/>
    <n v="1"/>
    <n v="1"/>
    <s v=""/>
    <s v=""/>
  </r>
  <r>
    <x v="0"/>
    <x v="0"/>
    <x v="12"/>
    <x v="73"/>
    <n v="5"/>
    <n v="1"/>
    <n v="4"/>
    <s v=""/>
  </r>
  <r>
    <x v="0"/>
    <x v="0"/>
    <x v="12"/>
    <x v="74"/>
    <n v="250"/>
    <n v="147"/>
    <n v="103"/>
    <s v=""/>
  </r>
  <r>
    <x v="0"/>
    <x v="0"/>
    <x v="12"/>
    <x v="77"/>
    <n v="46722"/>
    <n v="23832"/>
    <n v="22881"/>
    <n v="9"/>
  </r>
  <r>
    <x v="0"/>
    <x v="0"/>
    <x v="12"/>
    <x v="2"/>
    <n v="1"/>
    <n v="1"/>
    <s v=""/>
    <s v=""/>
  </r>
  <r>
    <x v="0"/>
    <x v="0"/>
    <x v="13"/>
    <x v="0"/>
    <n v="48586"/>
    <n v="24972"/>
    <n v="23605"/>
    <n v="9"/>
  </r>
  <r>
    <x v="0"/>
    <x v="0"/>
    <x v="13"/>
    <x v="75"/>
    <n v="1"/>
    <s v=""/>
    <n v="1"/>
    <s v=""/>
  </r>
  <r>
    <x v="0"/>
    <x v="0"/>
    <x v="13"/>
    <x v="48"/>
    <n v="1"/>
    <s v=""/>
    <n v="1"/>
    <s v=""/>
  </r>
  <r>
    <x v="0"/>
    <x v="0"/>
    <x v="13"/>
    <x v="5"/>
    <n v="1"/>
    <n v="1"/>
    <s v=""/>
    <s v=""/>
  </r>
  <r>
    <x v="0"/>
    <x v="0"/>
    <x v="13"/>
    <x v="71"/>
    <n v="1"/>
    <n v="1"/>
    <s v=""/>
    <s v=""/>
  </r>
  <r>
    <x v="0"/>
    <x v="0"/>
    <x v="13"/>
    <x v="73"/>
    <n v="4"/>
    <n v="1"/>
    <n v="3"/>
    <s v=""/>
  </r>
  <r>
    <x v="0"/>
    <x v="0"/>
    <x v="13"/>
    <x v="74"/>
    <n v="5"/>
    <n v="4"/>
    <n v="1"/>
    <s v=""/>
  </r>
  <r>
    <x v="0"/>
    <x v="0"/>
    <x v="13"/>
    <x v="77"/>
    <n v="224"/>
    <n v="126"/>
    <n v="98"/>
    <s v=""/>
  </r>
  <r>
    <x v="0"/>
    <x v="0"/>
    <x v="13"/>
    <x v="78"/>
    <n v="48349"/>
    <n v="24839"/>
    <n v="23501"/>
    <n v="9"/>
  </r>
  <r>
    <x v="0"/>
    <x v="0"/>
    <x v="14"/>
    <x v="0"/>
    <n v="48950"/>
    <n v="24919"/>
    <n v="24018"/>
    <n v="13"/>
  </r>
  <r>
    <x v="0"/>
    <x v="0"/>
    <x v="14"/>
    <x v="72"/>
    <n v="1"/>
    <s v=""/>
    <n v="1"/>
    <s v=""/>
  </r>
  <r>
    <x v="0"/>
    <x v="0"/>
    <x v="14"/>
    <x v="73"/>
    <n v="2"/>
    <n v="1"/>
    <n v="1"/>
    <s v=""/>
  </r>
  <r>
    <x v="0"/>
    <x v="0"/>
    <x v="14"/>
    <x v="74"/>
    <n v="5"/>
    <n v="2"/>
    <n v="3"/>
    <s v=""/>
  </r>
  <r>
    <x v="0"/>
    <x v="0"/>
    <x v="14"/>
    <x v="77"/>
    <n v="7"/>
    <n v="6"/>
    <n v="1"/>
    <s v=""/>
  </r>
  <r>
    <x v="0"/>
    <x v="0"/>
    <x v="14"/>
    <x v="78"/>
    <n v="272"/>
    <n v="191"/>
    <n v="81"/>
    <s v=""/>
  </r>
  <r>
    <x v="0"/>
    <x v="0"/>
    <x v="14"/>
    <x v="79"/>
    <n v="48663"/>
    <n v="24719"/>
    <n v="23931"/>
    <n v="13"/>
  </r>
  <r>
    <x v="0"/>
    <x v="0"/>
    <x v="15"/>
    <x v="0"/>
    <n v="49882"/>
    <n v="25428"/>
    <n v="24443"/>
    <n v="11"/>
  </r>
  <r>
    <x v="0"/>
    <x v="0"/>
    <x v="15"/>
    <x v="44"/>
    <n v="1"/>
    <n v="1"/>
    <s v=""/>
    <s v=""/>
  </r>
  <r>
    <x v="0"/>
    <x v="0"/>
    <x v="15"/>
    <x v="57"/>
    <n v="3"/>
    <n v="3"/>
    <s v=""/>
    <s v=""/>
  </r>
  <r>
    <x v="0"/>
    <x v="0"/>
    <x v="15"/>
    <x v="73"/>
    <n v="1"/>
    <s v=""/>
    <n v="1"/>
    <s v=""/>
  </r>
  <r>
    <x v="0"/>
    <x v="0"/>
    <x v="15"/>
    <x v="77"/>
    <n v="1"/>
    <n v="1"/>
    <s v=""/>
    <s v=""/>
  </r>
  <r>
    <x v="0"/>
    <x v="0"/>
    <x v="15"/>
    <x v="78"/>
    <n v="3"/>
    <n v="2"/>
    <n v="1"/>
    <s v=""/>
  </r>
  <r>
    <x v="0"/>
    <x v="0"/>
    <x v="15"/>
    <x v="79"/>
    <n v="216"/>
    <n v="125"/>
    <n v="91"/>
    <s v=""/>
  </r>
  <r>
    <x v="0"/>
    <x v="0"/>
    <x v="15"/>
    <x v="80"/>
    <n v="49657"/>
    <n v="25296"/>
    <n v="24350"/>
    <n v="11"/>
  </r>
  <r>
    <x v="0"/>
    <x v="0"/>
    <x v="16"/>
    <x v="0"/>
    <n v="49894"/>
    <n v="25472"/>
    <n v="24407"/>
    <n v="15"/>
  </r>
  <r>
    <x v="0"/>
    <x v="0"/>
    <x v="16"/>
    <x v="57"/>
    <n v="1"/>
    <n v="1"/>
    <s v=""/>
    <s v=""/>
  </r>
  <r>
    <x v="0"/>
    <x v="0"/>
    <x v="16"/>
    <x v="73"/>
    <n v="4"/>
    <n v="3"/>
    <n v="1"/>
    <s v=""/>
  </r>
  <r>
    <x v="0"/>
    <x v="0"/>
    <x v="16"/>
    <x v="74"/>
    <n v="2"/>
    <n v="2"/>
    <s v=""/>
    <s v=""/>
  </r>
  <r>
    <x v="0"/>
    <x v="0"/>
    <x v="16"/>
    <x v="78"/>
    <n v="2"/>
    <n v="2"/>
    <s v=""/>
    <s v=""/>
  </r>
  <r>
    <x v="0"/>
    <x v="0"/>
    <x v="16"/>
    <x v="79"/>
    <n v="1"/>
    <n v="1"/>
    <s v=""/>
    <s v=""/>
  </r>
  <r>
    <x v="0"/>
    <x v="0"/>
    <x v="16"/>
    <x v="80"/>
    <n v="368"/>
    <n v="244"/>
    <n v="124"/>
    <s v=""/>
  </r>
  <r>
    <x v="0"/>
    <x v="0"/>
    <x v="16"/>
    <x v="81"/>
    <n v="49516"/>
    <n v="25219"/>
    <n v="24282"/>
    <n v="15"/>
  </r>
  <r>
    <x v="0"/>
    <x v="0"/>
    <x v="17"/>
    <x v="0"/>
    <n v="51465"/>
    <n v="26188"/>
    <n v="25262"/>
    <n v="15"/>
  </r>
  <r>
    <x v="0"/>
    <x v="0"/>
    <x v="17"/>
    <x v="73"/>
    <n v="1"/>
    <n v="1"/>
    <s v=""/>
    <s v=""/>
  </r>
  <r>
    <x v="0"/>
    <x v="0"/>
    <x v="17"/>
    <x v="77"/>
    <n v="1"/>
    <n v="1"/>
    <s v=""/>
    <s v=""/>
  </r>
  <r>
    <x v="0"/>
    <x v="0"/>
    <x v="17"/>
    <x v="78"/>
    <n v="1"/>
    <s v=""/>
    <n v="1"/>
    <s v=""/>
  </r>
  <r>
    <x v="0"/>
    <x v="0"/>
    <x v="17"/>
    <x v="80"/>
    <n v="4"/>
    <n v="4"/>
    <s v=""/>
    <s v=""/>
  </r>
  <r>
    <x v="0"/>
    <x v="0"/>
    <x v="17"/>
    <x v="81"/>
    <n v="440"/>
    <n v="322"/>
    <n v="117"/>
    <n v="1"/>
  </r>
  <r>
    <x v="0"/>
    <x v="0"/>
    <x v="17"/>
    <x v="82"/>
    <n v="51018"/>
    <n v="25860"/>
    <n v="25144"/>
    <n v="14"/>
  </r>
  <r>
    <x v="0"/>
    <x v="0"/>
    <x v="18"/>
    <x v="0"/>
    <n v="52404"/>
    <n v="26781"/>
    <n v="25610"/>
    <n v="13"/>
  </r>
  <r>
    <x v="0"/>
    <x v="0"/>
    <x v="18"/>
    <x v="74"/>
    <n v="1"/>
    <n v="1"/>
    <s v=""/>
    <s v=""/>
  </r>
  <r>
    <x v="0"/>
    <x v="0"/>
    <x v="18"/>
    <x v="78"/>
    <n v="1"/>
    <n v="1"/>
    <s v=""/>
    <s v=""/>
  </r>
  <r>
    <x v="0"/>
    <x v="0"/>
    <x v="18"/>
    <x v="79"/>
    <n v="112"/>
    <n v="94"/>
    <n v="18"/>
    <s v=""/>
  </r>
  <r>
    <x v="0"/>
    <x v="0"/>
    <x v="18"/>
    <x v="80"/>
    <n v="106"/>
    <n v="84"/>
    <n v="22"/>
    <s v=""/>
  </r>
  <r>
    <x v="0"/>
    <x v="0"/>
    <x v="18"/>
    <x v="81"/>
    <n v="6"/>
    <n v="4"/>
    <n v="2"/>
    <s v=""/>
  </r>
  <r>
    <x v="0"/>
    <x v="0"/>
    <x v="18"/>
    <x v="82"/>
    <n v="384"/>
    <n v="287"/>
    <n v="97"/>
    <s v=""/>
  </r>
  <r>
    <x v="0"/>
    <x v="0"/>
    <x v="18"/>
    <x v="83"/>
    <n v="51794"/>
    <n v="26310"/>
    <n v="25471"/>
    <n v="13"/>
  </r>
  <r>
    <x v="0"/>
    <x v="0"/>
    <x v="19"/>
    <x v="0"/>
    <n v="53801"/>
    <n v="27424"/>
    <n v="26368"/>
    <n v="9"/>
  </r>
  <r>
    <x v="0"/>
    <x v="0"/>
    <x v="19"/>
    <x v="74"/>
    <n v="1"/>
    <n v="1"/>
    <s v=""/>
    <s v=""/>
  </r>
  <r>
    <x v="0"/>
    <x v="0"/>
    <x v="19"/>
    <x v="78"/>
    <n v="1"/>
    <n v="1"/>
    <s v=""/>
    <s v=""/>
  </r>
  <r>
    <x v="0"/>
    <x v="0"/>
    <x v="19"/>
    <x v="79"/>
    <n v="17"/>
    <n v="11"/>
    <n v="6"/>
    <s v=""/>
  </r>
  <r>
    <x v="0"/>
    <x v="0"/>
    <x v="19"/>
    <x v="80"/>
    <n v="10"/>
    <n v="8"/>
    <n v="2"/>
    <s v=""/>
  </r>
  <r>
    <x v="0"/>
    <x v="0"/>
    <x v="19"/>
    <x v="81"/>
    <n v="10"/>
    <n v="3"/>
    <n v="7"/>
    <s v=""/>
  </r>
  <r>
    <x v="0"/>
    <x v="0"/>
    <x v="19"/>
    <x v="82"/>
    <n v="2"/>
    <n v="1"/>
    <n v="1"/>
    <s v=""/>
  </r>
  <r>
    <x v="0"/>
    <x v="0"/>
    <x v="19"/>
    <x v="83"/>
    <n v="398"/>
    <n v="302"/>
    <n v="96"/>
    <s v=""/>
  </r>
  <r>
    <x v="0"/>
    <x v="0"/>
    <x v="19"/>
    <x v="84"/>
    <n v="53360"/>
    <n v="27095"/>
    <n v="26256"/>
    <n v="9"/>
  </r>
  <r>
    <x v="0"/>
    <x v="0"/>
    <x v="19"/>
    <x v="2"/>
    <n v="2"/>
    <n v="2"/>
    <s v=""/>
    <s v=""/>
  </r>
  <r>
    <x v="0"/>
    <x v="0"/>
    <x v="20"/>
    <x v="0"/>
    <n v="55106"/>
    <n v="28098"/>
    <n v="26998"/>
    <n v="10"/>
  </r>
  <r>
    <x v="0"/>
    <x v="0"/>
    <x v="20"/>
    <x v="79"/>
    <n v="1"/>
    <n v="1"/>
    <s v=""/>
    <s v=""/>
  </r>
  <r>
    <x v="0"/>
    <x v="0"/>
    <x v="20"/>
    <x v="81"/>
    <n v="2"/>
    <n v="2"/>
    <s v=""/>
    <s v=""/>
  </r>
  <r>
    <x v="0"/>
    <x v="0"/>
    <x v="20"/>
    <x v="83"/>
    <n v="2"/>
    <n v="1"/>
    <n v="1"/>
    <s v=""/>
  </r>
  <r>
    <x v="0"/>
    <x v="0"/>
    <x v="20"/>
    <x v="84"/>
    <n v="417"/>
    <n v="296"/>
    <n v="120"/>
    <n v="1"/>
  </r>
  <r>
    <x v="0"/>
    <x v="0"/>
    <x v="20"/>
    <x v="85"/>
    <n v="54684"/>
    <n v="27798"/>
    <n v="26877"/>
    <n v="9"/>
  </r>
  <r>
    <x v="0"/>
    <x v="0"/>
    <x v="21"/>
    <x v="0"/>
    <n v="54629"/>
    <n v="28306"/>
    <n v="26298"/>
    <n v="25"/>
  </r>
  <r>
    <x v="0"/>
    <x v="0"/>
    <x v="21"/>
    <x v="74"/>
    <n v="2"/>
    <n v="1"/>
    <n v="1"/>
    <s v=""/>
  </r>
  <r>
    <x v="0"/>
    <x v="0"/>
    <x v="21"/>
    <x v="81"/>
    <n v="1"/>
    <s v=""/>
    <n v="1"/>
    <s v=""/>
  </r>
  <r>
    <x v="0"/>
    <x v="0"/>
    <x v="21"/>
    <x v="84"/>
    <n v="1"/>
    <n v="1"/>
    <s v=""/>
    <s v=""/>
  </r>
  <r>
    <x v="0"/>
    <x v="0"/>
    <x v="21"/>
    <x v="85"/>
    <n v="658"/>
    <n v="451"/>
    <n v="206"/>
    <n v="1"/>
  </r>
  <r>
    <x v="0"/>
    <x v="0"/>
    <x v="21"/>
    <x v="86"/>
    <n v="53967"/>
    <n v="27853"/>
    <n v="26090"/>
    <n v="24"/>
  </r>
  <r>
    <x v="0"/>
    <x v="0"/>
    <x v="22"/>
    <x v="0"/>
    <n v="55995"/>
    <n v="28862"/>
    <n v="27119"/>
    <n v="14"/>
  </r>
  <r>
    <x v="0"/>
    <x v="0"/>
    <x v="22"/>
    <x v="48"/>
    <n v="1"/>
    <s v=""/>
    <n v="1"/>
    <s v=""/>
  </r>
  <r>
    <x v="0"/>
    <x v="0"/>
    <x v="22"/>
    <x v="77"/>
    <n v="1"/>
    <n v="1"/>
    <s v=""/>
    <s v=""/>
  </r>
  <r>
    <x v="0"/>
    <x v="0"/>
    <x v="22"/>
    <x v="83"/>
    <n v="1"/>
    <n v="1"/>
    <s v=""/>
    <s v=""/>
  </r>
  <r>
    <x v="0"/>
    <x v="0"/>
    <x v="22"/>
    <x v="85"/>
    <n v="4"/>
    <n v="1"/>
    <n v="3"/>
    <s v=""/>
  </r>
  <r>
    <x v="0"/>
    <x v="0"/>
    <x v="22"/>
    <x v="86"/>
    <n v="532"/>
    <n v="406"/>
    <n v="126"/>
    <s v=""/>
  </r>
  <r>
    <x v="0"/>
    <x v="0"/>
    <x v="22"/>
    <x v="87"/>
    <n v="55456"/>
    <n v="28453"/>
    <n v="26989"/>
    <n v="14"/>
  </r>
  <r>
    <x v="0"/>
    <x v="0"/>
    <x v="23"/>
    <x v="0"/>
    <n v="57142"/>
    <n v="29692"/>
    <n v="27433"/>
    <n v="17"/>
  </r>
  <r>
    <x v="0"/>
    <x v="0"/>
    <x v="23"/>
    <x v="42"/>
    <n v="1"/>
    <n v="1"/>
    <s v=""/>
    <s v=""/>
  </r>
  <r>
    <x v="0"/>
    <x v="0"/>
    <x v="23"/>
    <x v="73"/>
    <n v="1"/>
    <n v="1"/>
    <s v=""/>
    <s v=""/>
  </r>
  <r>
    <x v="0"/>
    <x v="0"/>
    <x v="23"/>
    <x v="80"/>
    <n v="1"/>
    <n v="1"/>
    <s v=""/>
    <s v=""/>
  </r>
  <r>
    <x v="0"/>
    <x v="0"/>
    <x v="23"/>
    <x v="86"/>
    <n v="3"/>
    <n v="1"/>
    <s v=""/>
    <n v="2"/>
  </r>
  <r>
    <x v="0"/>
    <x v="0"/>
    <x v="23"/>
    <x v="87"/>
    <n v="591"/>
    <n v="434"/>
    <n v="154"/>
    <n v="3"/>
  </r>
  <r>
    <x v="0"/>
    <x v="0"/>
    <x v="23"/>
    <x v="88"/>
    <n v="56545"/>
    <n v="29254"/>
    <n v="27279"/>
    <n v="12"/>
  </r>
  <r>
    <x v="0"/>
    <x v="0"/>
    <x v="24"/>
    <x v="0"/>
    <n v="58870"/>
    <n v="30361"/>
    <n v="28492"/>
    <n v="17"/>
  </r>
  <r>
    <x v="0"/>
    <x v="0"/>
    <x v="24"/>
    <x v="18"/>
    <n v="1"/>
    <s v=""/>
    <n v="1"/>
    <s v=""/>
  </r>
  <r>
    <x v="0"/>
    <x v="0"/>
    <x v="24"/>
    <x v="79"/>
    <n v="2"/>
    <n v="2"/>
    <s v=""/>
    <s v=""/>
  </r>
  <r>
    <x v="0"/>
    <x v="0"/>
    <x v="24"/>
    <x v="81"/>
    <n v="1"/>
    <s v=""/>
    <n v="1"/>
    <s v=""/>
  </r>
  <r>
    <x v="0"/>
    <x v="0"/>
    <x v="24"/>
    <x v="82"/>
    <n v="1"/>
    <n v="1"/>
    <s v=""/>
    <s v=""/>
  </r>
  <r>
    <x v="0"/>
    <x v="0"/>
    <x v="24"/>
    <x v="84"/>
    <n v="1"/>
    <n v="1"/>
    <s v=""/>
    <s v=""/>
  </r>
  <r>
    <x v="0"/>
    <x v="0"/>
    <x v="24"/>
    <x v="85"/>
    <n v="6"/>
    <n v="5"/>
    <n v="1"/>
    <s v=""/>
  </r>
  <r>
    <x v="0"/>
    <x v="0"/>
    <x v="24"/>
    <x v="86"/>
    <n v="9"/>
    <n v="8"/>
    <n v="1"/>
    <s v=""/>
  </r>
  <r>
    <x v="0"/>
    <x v="0"/>
    <x v="24"/>
    <x v="87"/>
    <n v="1"/>
    <n v="1"/>
    <s v=""/>
    <s v=""/>
  </r>
  <r>
    <x v="0"/>
    <x v="0"/>
    <x v="24"/>
    <x v="88"/>
    <n v="577"/>
    <n v="418"/>
    <n v="158"/>
    <n v="1"/>
  </r>
  <r>
    <x v="0"/>
    <x v="0"/>
    <x v="24"/>
    <x v="89"/>
    <n v="58271"/>
    <n v="29925"/>
    <n v="28330"/>
    <n v="16"/>
  </r>
  <r>
    <x v="0"/>
    <x v="0"/>
    <x v="25"/>
    <x v="0"/>
    <n v="59484"/>
    <n v="30596"/>
    <n v="28875"/>
    <n v="13"/>
  </r>
  <r>
    <x v="0"/>
    <x v="0"/>
    <x v="25"/>
    <x v="85"/>
    <n v="1"/>
    <n v="1"/>
    <s v=""/>
    <s v=""/>
  </r>
  <r>
    <x v="0"/>
    <x v="0"/>
    <x v="25"/>
    <x v="87"/>
    <n v="1"/>
    <s v=""/>
    <n v="1"/>
    <s v=""/>
  </r>
  <r>
    <x v="0"/>
    <x v="0"/>
    <x v="25"/>
    <x v="88"/>
    <n v="2"/>
    <n v="2"/>
    <s v=""/>
    <s v=""/>
  </r>
  <r>
    <x v="0"/>
    <x v="0"/>
    <x v="25"/>
    <x v="89"/>
    <n v="508"/>
    <n v="374"/>
    <n v="133"/>
    <n v="1"/>
  </r>
  <r>
    <x v="0"/>
    <x v="0"/>
    <x v="25"/>
    <x v="90"/>
    <n v="58972"/>
    <n v="30219"/>
    <n v="28741"/>
    <n v="12"/>
  </r>
  <r>
    <x v="0"/>
    <x v="0"/>
    <x v="26"/>
    <x v="0"/>
    <n v="62230"/>
    <n v="32430"/>
    <n v="29792"/>
    <n v="8"/>
  </r>
  <r>
    <x v="0"/>
    <x v="0"/>
    <x v="26"/>
    <x v="15"/>
    <n v="1"/>
    <s v=""/>
    <n v="1"/>
    <s v=""/>
  </r>
  <r>
    <x v="0"/>
    <x v="0"/>
    <x v="26"/>
    <x v="23"/>
    <n v="1"/>
    <s v=""/>
    <n v="1"/>
    <s v=""/>
  </r>
  <r>
    <x v="0"/>
    <x v="0"/>
    <x v="26"/>
    <x v="81"/>
    <n v="1"/>
    <n v="1"/>
    <s v=""/>
    <s v=""/>
  </r>
  <r>
    <x v="0"/>
    <x v="0"/>
    <x v="26"/>
    <x v="82"/>
    <n v="4"/>
    <n v="4"/>
    <s v=""/>
    <s v=""/>
  </r>
  <r>
    <x v="0"/>
    <x v="0"/>
    <x v="26"/>
    <x v="84"/>
    <n v="6"/>
    <n v="5"/>
    <n v="1"/>
    <s v=""/>
  </r>
  <r>
    <x v="0"/>
    <x v="0"/>
    <x v="26"/>
    <x v="85"/>
    <n v="9"/>
    <n v="7"/>
    <n v="2"/>
    <s v=""/>
  </r>
  <r>
    <x v="0"/>
    <x v="0"/>
    <x v="26"/>
    <x v="86"/>
    <n v="3"/>
    <n v="3"/>
    <s v=""/>
    <s v=""/>
  </r>
  <r>
    <x v="0"/>
    <x v="0"/>
    <x v="26"/>
    <x v="87"/>
    <n v="2"/>
    <n v="2"/>
    <s v=""/>
    <s v=""/>
  </r>
  <r>
    <x v="0"/>
    <x v="0"/>
    <x v="26"/>
    <x v="88"/>
    <n v="12"/>
    <n v="4"/>
    <n v="8"/>
    <s v=""/>
  </r>
  <r>
    <x v="0"/>
    <x v="0"/>
    <x v="26"/>
    <x v="89"/>
    <n v="6"/>
    <n v="4"/>
    <n v="1"/>
    <n v="1"/>
  </r>
  <r>
    <x v="0"/>
    <x v="0"/>
    <x v="26"/>
    <x v="90"/>
    <n v="408"/>
    <n v="284"/>
    <n v="124"/>
    <s v=""/>
  </r>
  <r>
    <x v="0"/>
    <x v="0"/>
    <x v="26"/>
    <x v="91"/>
    <n v="61776"/>
    <n v="32115"/>
    <n v="29654"/>
    <n v="7"/>
  </r>
  <r>
    <x v="0"/>
    <x v="0"/>
    <x v="26"/>
    <x v="2"/>
    <n v="1"/>
    <n v="1"/>
    <s v=""/>
    <s v=""/>
  </r>
  <r>
    <x v="0"/>
    <x v="0"/>
    <x v="27"/>
    <x v="0"/>
    <n v="61984"/>
    <n v="31856"/>
    <n v="30122"/>
    <n v="6"/>
  </r>
  <r>
    <x v="0"/>
    <x v="0"/>
    <x v="27"/>
    <x v="77"/>
    <n v="1"/>
    <s v=""/>
    <n v="1"/>
    <s v=""/>
  </r>
  <r>
    <x v="0"/>
    <x v="0"/>
    <x v="27"/>
    <x v="84"/>
    <n v="1"/>
    <n v="1"/>
    <s v=""/>
    <s v=""/>
  </r>
  <r>
    <x v="0"/>
    <x v="0"/>
    <x v="27"/>
    <x v="88"/>
    <n v="1"/>
    <s v=""/>
    <n v="1"/>
    <s v=""/>
  </r>
  <r>
    <x v="0"/>
    <x v="0"/>
    <x v="27"/>
    <x v="89"/>
    <n v="1"/>
    <s v=""/>
    <n v="1"/>
    <s v=""/>
  </r>
  <r>
    <x v="0"/>
    <x v="0"/>
    <x v="27"/>
    <x v="90"/>
    <n v="2"/>
    <n v="1"/>
    <n v="1"/>
    <s v=""/>
  </r>
  <r>
    <x v="0"/>
    <x v="0"/>
    <x v="27"/>
    <x v="91"/>
    <n v="262"/>
    <n v="156"/>
    <n v="106"/>
    <s v=""/>
  </r>
  <r>
    <x v="0"/>
    <x v="0"/>
    <x v="27"/>
    <x v="92"/>
    <n v="61716"/>
    <n v="31698"/>
    <n v="30012"/>
    <n v="6"/>
  </r>
  <r>
    <x v="0"/>
    <x v="0"/>
    <x v="28"/>
    <x v="0"/>
    <n v="63213"/>
    <n v="32592"/>
    <n v="30615"/>
    <n v="6"/>
  </r>
  <r>
    <x v="0"/>
    <x v="0"/>
    <x v="28"/>
    <x v="85"/>
    <n v="1"/>
    <s v=""/>
    <n v="1"/>
    <s v=""/>
  </r>
  <r>
    <x v="0"/>
    <x v="0"/>
    <x v="28"/>
    <x v="89"/>
    <n v="1"/>
    <n v="1"/>
    <s v=""/>
    <s v=""/>
  </r>
  <r>
    <x v="0"/>
    <x v="0"/>
    <x v="28"/>
    <x v="91"/>
    <n v="2"/>
    <n v="1"/>
    <n v="1"/>
    <s v=""/>
  </r>
  <r>
    <x v="0"/>
    <x v="0"/>
    <x v="28"/>
    <x v="92"/>
    <n v="323"/>
    <n v="189"/>
    <n v="134"/>
    <s v=""/>
  </r>
  <r>
    <x v="0"/>
    <x v="0"/>
    <x v="28"/>
    <x v="93"/>
    <n v="62885"/>
    <n v="32401"/>
    <n v="30478"/>
    <n v="6"/>
  </r>
  <r>
    <x v="0"/>
    <x v="0"/>
    <x v="28"/>
    <x v="2"/>
    <n v="1"/>
    <s v=""/>
    <n v="1"/>
    <s v=""/>
  </r>
  <r>
    <x v="0"/>
    <x v="0"/>
    <x v="29"/>
    <x v="0"/>
    <n v="63334"/>
    <n v="33024"/>
    <n v="30308"/>
    <n v="2"/>
  </r>
  <r>
    <x v="0"/>
    <x v="0"/>
    <x v="29"/>
    <x v="85"/>
    <n v="1"/>
    <s v=""/>
    <n v="1"/>
    <s v=""/>
  </r>
  <r>
    <x v="0"/>
    <x v="0"/>
    <x v="29"/>
    <x v="87"/>
    <n v="1"/>
    <n v="1"/>
    <s v=""/>
    <s v=""/>
  </r>
  <r>
    <x v="0"/>
    <x v="0"/>
    <x v="29"/>
    <x v="88"/>
    <n v="1"/>
    <n v="1"/>
    <s v=""/>
    <s v=""/>
  </r>
  <r>
    <x v="0"/>
    <x v="0"/>
    <x v="29"/>
    <x v="92"/>
    <n v="1"/>
    <n v="1"/>
    <s v=""/>
    <s v=""/>
  </r>
  <r>
    <x v="0"/>
    <x v="0"/>
    <x v="29"/>
    <x v="93"/>
    <n v="363"/>
    <n v="220"/>
    <n v="143"/>
    <s v=""/>
  </r>
  <r>
    <x v="0"/>
    <x v="0"/>
    <x v="29"/>
    <x v="94"/>
    <n v="62967"/>
    <n v="32801"/>
    <n v="30164"/>
    <n v="2"/>
  </r>
  <r>
    <x v="0"/>
    <x v="0"/>
    <x v="30"/>
    <x v="0"/>
    <n v="107292"/>
    <n v="61938"/>
    <n v="45353"/>
    <n v="1"/>
  </r>
  <r>
    <x v="0"/>
    <x v="0"/>
    <x v="30"/>
    <x v="94"/>
    <n v="321"/>
    <n v="192"/>
    <n v="129"/>
    <s v=""/>
  </r>
  <r>
    <x v="0"/>
    <x v="0"/>
    <x v="30"/>
    <x v="95"/>
    <n v="106968"/>
    <n v="61745"/>
    <n v="45222"/>
    <n v="1"/>
  </r>
  <r>
    <x v="0"/>
    <x v="0"/>
    <x v="30"/>
    <x v="2"/>
    <n v="3"/>
    <n v="1"/>
    <n v="2"/>
    <s v=""/>
  </r>
  <r>
    <x v="0"/>
    <x v="0"/>
    <x v="31"/>
    <x v="0"/>
    <n v="100363"/>
    <n v="55694"/>
    <n v="44664"/>
    <n v="5"/>
  </r>
  <r>
    <x v="0"/>
    <x v="0"/>
    <x v="31"/>
    <x v="88"/>
    <n v="1"/>
    <s v=""/>
    <n v="1"/>
    <s v=""/>
  </r>
  <r>
    <x v="0"/>
    <x v="0"/>
    <x v="31"/>
    <x v="93"/>
    <n v="1"/>
    <n v="1"/>
    <s v=""/>
    <s v=""/>
  </r>
  <r>
    <x v="0"/>
    <x v="0"/>
    <x v="31"/>
    <x v="95"/>
    <n v="574"/>
    <n v="373"/>
    <n v="201"/>
    <s v=""/>
  </r>
  <r>
    <x v="0"/>
    <x v="0"/>
    <x v="31"/>
    <x v="96"/>
    <n v="99785"/>
    <n v="55319"/>
    <n v="44461"/>
    <n v="5"/>
  </r>
  <r>
    <x v="0"/>
    <x v="0"/>
    <x v="31"/>
    <x v="2"/>
    <n v="2"/>
    <n v="1"/>
    <n v="1"/>
    <s v=""/>
  </r>
  <r>
    <x v="0"/>
    <x v="0"/>
    <x v="32"/>
    <x v="0"/>
    <n v="69455"/>
    <n v="35782"/>
    <n v="33669"/>
    <n v="4"/>
  </r>
  <r>
    <x v="0"/>
    <x v="0"/>
    <x v="32"/>
    <x v="81"/>
    <n v="20"/>
    <n v="16"/>
    <n v="4"/>
    <s v=""/>
  </r>
  <r>
    <x v="0"/>
    <x v="0"/>
    <x v="32"/>
    <x v="82"/>
    <n v="16"/>
    <n v="13"/>
    <n v="3"/>
    <s v=""/>
  </r>
  <r>
    <x v="0"/>
    <x v="0"/>
    <x v="32"/>
    <x v="83"/>
    <n v="17"/>
    <n v="12"/>
    <n v="5"/>
    <s v=""/>
  </r>
  <r>
    <x v="0"/>
    <x v="0"/>
    <x v="32"/>
    <x v="84"/>
    <n v="38"/>
    <n v="26"/>
    <n v="12"/>
    <s v=""/>
  </r>
  <r>
    <x v="0"/>
    <x v="0"/>
    <x v="32"/>
    <x v="85"/>
    <n v="16"/>
    <n v="10"/>
    <n v="6"/>
    <s v=""/>
  </r>
  <r>
    <x v="0"/>
    <x v="0"/>
    <x v="32"/>
    <x v="94"/>
    <n v="14"/>
    <n v="10"/>
    <n v="4"/>
    <s v=""/>
  </r>
  <r>
    <x v="0"/>
    <x v="0"/>
    <x v="32"/>
    <x v="95"/>
    <n v="9"/>
    <n v="2"/>
    <n v="7"/>
    <s v=""/>
  </r>
  <r>
    <x v="0"/>
    <x v="0"/>
    <x v="32"/>
    <x v="96"/>
    <n v="230"/>
    <n v="130"/>
    <n v="100"/>
    <s v=""/>
  </r>
  <r>
    <x v="0"/>
    <x v="0"/>
    <x v="32"/>
    <x v="97"/>
    <n v="69095"/>
    <n v="35563"/>
    <n v="33528"/>
    <n v="4"/>
  </r>
  <r>
    <x v="0"/>
    <x v="0"/>
    <x v="33"/>
    <x v="0"/>
    <n v="65291"/>
    <n v="33563"/>
    <n v="31727"/>
    <n v="1"/>
  </r>
  <r>
    <x v="0"/>
    <x v="0"/>
    <x v="33"/>
    <x v="91"/>
    <n v="1"/>
    <s v=""/>
    <n v="1"/>
    <s v=""/>
  </r>
  <r>
    <x v="0"/>
    <x v="0"/>
    <x v="33"/>
    <x v="92"/>
    <n v="1"/>
    <n v="1"/>
    <s v=""/>
    <s v=""/>
  </r>
  <r>
    <x v="0"/>
    <x v="0"/>
    <x v="33"/>
    <x v="93"/>
    <n v="1"/>
    <n v="1"/>
    <s v=""/>
    <s v=""/>
  </r>
  <r>
    <x v="0"/>
    <x v="0"/>
    <x v="33"/>
    <x v="94"/>
    <n v="1"/>
    <n v="1"/>
    <s v=""/>
    <s v=""/>
  </r>
  <r>
    <x v="0"/>
    <x v="0"/>
    <x v="33"/>
    <x v="96"/>
    <n v="3"/>
    <n v="2"/>
    <n v="1"/>
    <s v=""/>
  </r>
  <r>
    <x v="0"/>
    <x v="0"/>
    <x v="33"/>
    <x v="97"/>
    <n v="232"/>
    <n v="132"/>
    <n v="100"/>
    <s v=""/>
  </r>
  <r>
    <x v="0"/>
    <x v="0"/>
    <x v="33"/>
    <x v="98"/>
    <n v="65051"/>
    <n v="33426"/>
    <n v="31624"/>
    <n v="1"/>
  </r>
  <r>
    <x v="0"/>
    <x v="0"/>
    <x v="33"/>
    <x v="2"/>
    <n v="1"/>
    <s v=""/>
    <n v="1"/>
    <s v=""/>
  </r>
  <r>
    <x v="0"/>
    <x v="0"/>
    <x v="34"/>
    <x v="0"/>
    <n v="67080"/>
    <n v="34610"/>
    <n v="32467"/>
    <n v="3"/>
  </r>
  <r>
    <x v="0"/>
    <x v="0"/>
    <x v="34"/>
    <x v="57"/>
    <n v="1"/>
    <n v="1"/>
    <s v=""/>
    <s v=""/>
  </r>
  <r>
    <x v="0"/>
    <x v="0"/>
    <x v="34"/>
    <x v="95"/>
    <n v="3"/>
    <n v="2"/>
    <n v="1"/>
    <s v=""/>
  </r>
  <r>
    <x v="0"/>
    <x v="0"/>
    <x v="34"/>
    <x v="96"/>
    <n v="4"/>
    <n v="1"/>
    <n v="3"/>
    <s v=""/>
  </r>
  <r>
    <x v="0"/>
    <x v="0"/>
    <x v="34"/>
    <x v="97"/>
    <n v="2"/>
    <n v="2"/>
    <s v=""/>
    <s v=""/>
  </r>
  <r>
    <x v="0"/>
    <x v="0"/>
    <x v="34"/>
    <x v="98"/>
    <n v="255"/>
    <n v="146"/>
    <n v="109"/>
    <s v=""/>
  </r>
  <r>
    <x v="0"/>
    <x v="0"/>
    <x v="34"/>
    <x v="99"/>
    <n v="66814"/>
    <n v="34457"/>
    <n v="32354"/>
    <n v="3"/>
  </r>
  <r>
    <x v="0"/>
    <x v="0"/>
    <x v="34"/>
    <x v="2"/>
    <n v="1"/>
    <n v="1"/>
    <s v=""/>
    <s v=""/>
  </r>
  <r>
    <x v="1"/>
    <x v="1"/>
    <x v="0"/>
    <x v="0"/>
    <n v="5657"/>
    <n v="3177"/>
    <n v="2464"/>
    <n v="16"/>
  </r>
  <r>
    <x v="1"/>
    <x v="1"/>
    <x v="0"/>
    <x v="1"/>
    <n v="5654"/>
    <n v="3176"/>
    <n v="2462"/>
    <n v="16"/>
  </r>
  <r>
    <x v="1"/>
    <x v="1"/>
    <x v="0"/>
    <x v="2"/>
    <n v="3"/>
    <n v="1"/>
    <n v="2"/>
    <s v=""/>
  </r>
  <r>
    <x v="1"/>
    <x v="1"/>
    <x v="1"/>
    <x v="0"/>
    <n v="5082"/>
    <n v="2850"/>
    <n v="2218"/>
    <n v="14"/>
  </r>
  <r>
    <x v="1"/>
    <x v="1"/>
    <x v="1"/>
    <x v="3"/>
    <n v="1"/>
    <s v=""/>
    <n v="1"/>
    <s v=""/>
  </r>
  <r>
    <x v="1"/>
    <x v="1"/>
    <x v="1"/>
    <x v="1"/>
    <n v="1"/>
    <s v=""/>
    <n v="1"/>
    <s v=""/>
  </r>
  <r>
    <x v="1"/>
    <x v="1"/>
    <x v="1"/>
    <x v="4"/>
    <n v="5080"/>
    <n v="2850"/>
    <n v="2216"/>
    <n v="14"/>
  </r>
  <r>
    <x v="1"/>
    <x v="1"/>
    <x v="2"/>
    <x v="0"/>
    <n v="4819"/>
    <n v="2728"/>
    <n v="2082"/>
    <n v="9"/>
  </r>
  <r>
    <x v="1"/>
    <x v="1"/>
    <x v="2"/>
    <x v="5"/>
    <n v="4817"/>
    <n v="2727"/>
    <n v="2081"/>
    <n v="9"/>
  </r>
  <r>
    <x v="1"/>
    <x v="1"/>
    <x v="2"/>
    <x v="2"/>
    <n v="2"/>
    <n v="1"/>
    <n v="1"/>
    <s v=""/>
  </r>
  <r>
    <x v="1"/>
    <x v="1"/>
    <x v="3"/>
    <x v="0"/>
    <n v="4180"/>
    <n v="2395"/>
    <n v="1768"/>
    <n v="17"/>
  </r>
  <r>
    <x v="1"/>
    <x v="1"/>
    <x v="3"/>
    <x v="4"/>
    <n v="2"/>
    <n v="1"/>
    <n v="1"/>
    <s v=""/>
  </r>
  <r>
    <x v="1"/>
    <x v="1"/>
    <x v="3"/>
    <x v="5"/>
    <n v="15"/>
    <n v="7"/>
    <n v="8"/>
    <s v=""/>
  </r>
  <r>
    <x v="1"/>
    <x v="1"/>
    <x v="3"/>
    <x v="18"/>
    <n v="4160"/>
    <n v="2387"/>
    <n v="1756"/>
    <n v="17"/>
  </r>
  <r>
    <x v="1"/>
    <x v="1"/>
    <x v="3"/>
    <x v="2"/>
    <n v="3"/>
    <s v=""/>
    <n v="3"/>
    <s v=""/>
  </r>
  <r>
    <x v="1"/>
    <x v="1"/>
    <x v="4"/>
    <x v="0"/>
    <n v="4318"/>
    <n v="2476"/>
    <n v="1825"/>
    <n v="17"/>
  </r>
  <r>
    <x v="1"/>
    <x v="1"/>
    <x v="4"/>
    <x v="22"/>
    <n v="1"/>
    <n v="1"/>
    <s v=""/>
    <s v=""/>
  </r>
  <r>
    <x v="1"/>
    <x v="1"/>
    <x v="4"/>
    <x v="28"/>
    <n v="1"/>
    <n v="1"/>
    <s v=""/>
    <s v=""/>
  </r>
  <r>
    <x v="1"/>
    <x v="1"/>
    <x v="4"/>
    <x v="4"/>
    <n v="1"/>
    <n v="1"/>
    <s v=""/>
    <s v=""/>
  </r>
  <r>
    <x v="1"/>
    <x v="1"/>
    <x v="4"/>
    <x v="18"/>
    <n v="12"/>
    <n v="3"/>
    <n v="9"/>
    <s v=""/>
  </r>
  <r>
    <x v="1"/>
    <x v="1"/>
    <x v="4"/>
    <x v="30"/>
    <n v="4303"/>
    <n v="2470"/>
    <n v="1816"/>
    <n v="17"/>
  </r>
  <r>
    <x v="1"/>
    <x v="1"/>
    <x v="5"/>
    <x v="0"/>
    <n v="4067"/>
    <n v="2304"/>
    <n v="1751"/>
    <n v="12"/>
  </r>
  <r>
    <x v="1"/>
    <x v="1"/>
    <x v="5"/>
    <x v="4"/>
    <n v="1"/>
    <s v=""/>
    <n v="1"/>
    <s v=""/>
  </r>
  <r>
    <x v="1"/>
    <x v="1"/>
    <x v="5"/>
    <x v="18"/>
    <n v="1"/>
    <s v=""/>
    <n v="1"/>
    <s v=""/>
  </r>
  <r>
    <x v="1"/>
    <x v="1"/>
    <x v="5"/>
    <x v="30"/>
    <n v="47"/>
    <n v="30"/>
    <n v="15"/>
    <n v="2"/>
  </r>
  <r>
    <x v="1"/>
    <x v="1"/>
    <x v="5"/>
    <x v="44"/>
    <n v="4018"/>
    <n v="2274"/>
    <n v="1734"/>
    <n v="10"/>
  </r>
  <r>
    <x v="1"/>
    <x v="1"/>
    <x v="6"/>
    <x v="0"/>
    <n v="3868"/>
    <n v="2193"/>
    <n v="1664"/>
    <n v="11"/>
  </r>
  <r>
    <x v="1"/>
    <x v="1"/>
    <x v="6"/>
    <x v="45"/>
    <n v="1"/>
    <s v=""/>
    <n v="1"/>
    <s v=""/>
  </r>
  <r>
    <x v="1"/>
    <x v="1"/>
    <x v="6"/>
    <x v="48"/>
    <n v="1"/>
    <n v="1"/>
    <s v=""/>
    <s v=""/>
  </r>
  <r>
    <x v="1"/>
    <x v="1"/>
    <x v="6"/>
    <x v="49"/>
    <n v="1"/>
    <s v=""/>
    <n v="1"/>
    <s v=""/>
  </r>
  <r>
    <x v="1"/>
    <x v="1"/>
    <x v="6"/>
    <x v="44"/>
    <n v="28"/>
    <n v="18"/>
    <n v="10"/>
    <s v=""/>
  </r>
  <r>
    <x v="1"/>
    <x v="1"/>
    <x v="6"/>
    <x v="50"/>
    <n v="3837"/>
    <n v="2174"/>
    <n v="1652"/>
    <n v="11"/>
  </r>
  <r>
    <x v="1"/>
    <x v="1"/>
    <x v="7"/>
    <x v="0"/>
    <n v="3848"/>
    <n v="2176"/>
    <n v="1659"/>
    <n v="13"/>
  </r>
  <r>
    <x v="1"/>
    <x v="1"/>
    <x v="7"/>
    <x v="9"/>
    <n v="1"/>
    <n v="1"/>
    <s v=""/>
    <s v=""/>
  </r>
  <r>
    <x v="1"/>
    <x v="1"/>
    <x v="7"/>
    <x v="18"/>
    <n v="1"/>
    <s v=""/>
    <n v="1"/>
    <s v=""/>
  </r>
  <r>
    <x v="1"/>
    <x v="1"/>
    <x v="7"/>
    <x v="44"/>
    <n v="1"/>
    <n v="1"/>
    <s v=""/>
    <s v=""/>
  </r>
  <r>
    <x v="1"/>
    <x v="1"/>
    <x v="7"/>
    <x v="50"/>
    <n v="11"/>
    <n v="4"/>
    <n v="7"/>
    <s v=""/>
  </r>
  <r>
    <x v="1"/>
    <x v="1"/>
    <x v="7"/>
    <x v="57"/>
    <n v="3834"/>
    <n v="2170"/>
    <n v="1651"/>
    <n v="13"/>
  </r>
  <r>
    <x v="1"/>
    <x v="1"/>
    <x v="8"/>
    <x v="0"/>
    <n v="3699"/>
    <n v="2022"/>
    <n v="1663"/>
    <n v="14"/>
  </r>
  <r>
    <x v="1"/>
    <x v="1"/>
    <x v="8"/>
    <x v="9"/>
    <n v="1"/>
    <s v=""/>
    <n v="1"/>
    <s v=""/>
  </r>
  <r>
    <x v="1"/>
    <x v="1"/>
    <x v="8"/>
    <x v="62"/>
    <n v="1"/>
    <s v=""/>
    <n v="1"/>
    <s v=""/>
  </r>
  <r>
    <x v="1"/>
    <x v="1"/>
    <x v="8"/>
    <x v="50"/>
    <n v="3"/>
    <n v="1"/>
    <n v="2"/>
    <s v=""/>
  </r>
  <r>
    <x v="1"/>
    <x v="1"/>
    <x v="8"/>
    <x v="57"/>
    <n v="22"/>
    <n v="12"/>
    <n v="10"/>
    <s v=""/>
  </r>
  <r>
    <x v="1"/>
    <x v="1"/>
    <x v="8"/>
    <x v="69"/>
    <n v="3672"/>
    <n v="2009"/>
    <n v="1649"/>
    <n v="14"/>
  </r>
  <r>
    <x v="1"/>
    <x v="1"/>
    <x v="9"/>
    <x v="0"/>
    <n v="3323"/>
    <n v="1836"/>
    <n v="1478"/>
    <n v="9"/>
  </r>
  <r>
    <x v="1"/>
    <x v="1"/>
    <x v="9"/>
    <x v="69"/>
    <n v="11"/>
    <n v="6"/>
    <n v="5"/>
    <s v=""/>
  </r>
  <r>
    <x v="1"/>
    <x v="1"/>
    <x v="9"/>
    <x v="71"/>
    <n v="3312"/>
    <n v="1830"/>
    <n v="1473"/>
    <n v="9"/>
  </r>
  <r>
    <x v="1"/>
    <x v="1"/>
    <x v="10"/>
    <x v="0"/>
    <n v="3127"/>
    <n v="1767"/>
    <n v="1353"/>
    <n v="7"/>
  </r>
  <r>
    <x v="1"/>
    <x v="1"/>
    <x v="10"/>
    <x v="71"/>
    <n v="7"/>
    <n v="5"/>
    <n v="2"/>
    <s v=""/>
  </r>
  <r>
    <x v="1"/>
    <x v="1"/>
    <x v="10"/>
    <x v="73"/>
    <n v="3120"/>
    <n v="1762"/>
    <n v="1351"/>
    <n v="7"/>
  </r>
  <r>
    <x v="1"/>
    <x v="1"/>
    <x v="11"/>
    <x v="0"/>
    <n v="2894"/>
    <n v="1627"/>
    <n v="1254"/>
    <n v="13"/>
  </r>
  <r>
    <x v="1"/>
    <x v="1"/>
    <x v="11"/>
    <x v="73"/>
    <n v="11"/>
    <n v="7"/>
    <n v="4"/>
    <s v=""/>
  </r>
  <r>
    <x v="1"/>
    <x v="1"/>
    <x v="11"/>
    <x v="74"/>
    <n v="2883"/>
    <n v="1620"/>
    <n v="1250"/>
    <n v="13"/>
  </r>
  <r>
    <x v="1"/>
    <x v="1"/>
    <x v="12"/>
    <x v="0"/>
    <n v="2858"/>
    <n v="1592"/>
    <n v="1257"/>
    <n v="9"/>
  </r>
  <r>
    <x v="1"/>
    <x v="1"/>
    <x v="12"/>
    <x v="74"/>
    <n v="13"/>
    <n v="9"/>
    <n v="4"/>
    <s v=""/>
  </r>
  <r>
    <x v="1"/>
    <x v="1"/>
    <x v="12"/>
    <x v="77"/>
    <n v="2845"/>
    <n v="1583"/>
    <n v="1253"/>
    <n v="9"/>
  </r>
  <r>
    <x v="1"/>
    <x v="1"/>
    <x v="13"/>
    <x v="0"/>
    <n v="2807"/>
    <n v="1609"/>
    <n v="1190"/>
    <n v="8"/>
  </r>
  <r>
    <x v="1"/>
    <x v="1"/>
    <x v="13"/>
    <x v="77"/>
    <n v="13"/>
    <n v="6"/>
    <n v="7"/>
    <s v=""/>
  </r>
  <r>
    <x v="1"/>
    <x v="1"/>
    <x v="13"/>
    <x v="78"/>
    <n v="2794"/>
    <n v="1603"/>
    <n v="1183"/>
    <n v="8"/>
  </r>
  <r>
    <x v="1"/>
    <x v="1"/>
    <x v="14"/>
    <x v="0"/>
    <n v="2676"/>
    <n v="1493"/>
    <n v="1171"/>
    <n v="12"/>
  </r>
  <r>
    <x v="1"/>
    <x v="1"/>
    <x v="14"/>
    <x v="78"/>
    <n v="22"/>
    <n v="15"/>
    <n v="7"/>
    <s v=""/>
  </r>
  <r>
    <x v="1"/>
    <x v="1"/>
    <x v="14"/>
    <x v="79"/>
    <n v="2654"/>
    <n v="1478"/>
    <n v="1164"/>
    <n v="12"/>
  </r>
  <r>
    <x v="1"/>
    <x v="1"/>
    <x v="15"/>
    <x v="0"/>
    <n v="2591"/>
    <n v="1447"/>
    <n v="1133"/>
    <n v="11"/>
  </r>
  <r>
    <x v="1"/>
    <x v="1"/>
    <x v="15"/>
    <x v="73"/>
    <n v="1"/>
    <s v=""/>
    <n v="1"/>
    <s v=""/>
  </r>
  <r>
    <x v="1"/>
    <x v="1"/>
    <x v="15"/>
    <x v="79"/>
    <n v="16"/>
    <n v="11"/>
    <n v="5"/>
    <s v=""/>
  </r>
  <r>
    <x v="1"/>
    <x v="1"/>
    <x v="15"/>
    <x v="80"/>
    <n v="2574"/>
    <n v="1436"/>
    <n v="1127"/>
    <n v="11"/>
  </r>
  <r>
    <x v="1"/>
    <x v="1"/>
    <x v="16"/>
    <x v="0"/>
    <n v="2399"/>
    <n v="1338"/>
    <n v="1046"/>
    <n v="15"/>
  </r>
  <r>
    <x v="1"/>
    <x v="1"/>
    <x v="16"/>
    <x v="78"/>
    <n v="1"/>
    <n v="1"/>
    <s v=""/>
    <s v=""/>
  </r>
  <r>
    <x v="1"/>
    <x v="1"/>
    <x v="16"/>
    <x v="80"/>
    <n v="13"/>
    <n v="7"/>
    <n v="6"/>
    <s v=""/>
  </r>
  <r>
    <x v="1"/>
    <x v="1"/>
    <x v="16"/>
    <x v="81"/>
    <n v="2385"/>
    <n v="1330"/>
    <n v="1040"/>
    <n v="15"/>
  </r>
  <r>
    <x v="1"/>
    <x v="1"/>
    <x v="17"/>
    <x v="0"/>
    <n v="2230"/>
    <n v="1246"/>
    <n v="972"/>
    <n v="12"/>
  </r>
  <r>
    <x v="1"/>
    <x v="1"/>
    <x v="17"/>
    <x v="81"/>
    <n v="6"/>
    <n v="3"/>
    <n v="3"/>
    <s v=""/>
  </r>
  <r>
    <x v="1"/>
    <x v="1"/>
    <x v="17"/>
    <x v="82"/>
    <n v="2224"/>
    <n v="1243"/>
    <n v="969"/>
    <n v="12"/>
  </r>
  <r>
    <x v="1"/>
    <x v="1"/>
    <x v="18"/>
    <x v="0"/>
    <n v="2221"/>
    <n v="1263"/>
    <n v="947"/>
    <n v="11"/>
  </r>
  <r>
    <x v="1"/>
    <x v="1"/>
    <x v="18"/>
    <x v="81"/>
    <n v="1"/>
    <s v=""/>
    <n v="1"/>
    <s v=""/>
  </r>
  <r>
    <x v="1"/>
    <x v="1"/>
    <x v="18"/>
    <x v="82"/>
    <n v="4"/>
    <n v="2"/>
    <n v="2"/>
    <s v=""/>
  </r>
  <r>
    <x v="1"/>
    <x v="1"/>
    <x v="18"/>
    <x v="83"/>
    <n v="2216"/>
    <n v="1261"/>
    <n v="944"/>
    <n v="11"/>
  </r>
  <r>
    <x v="1"/>
    <x v="1"/>
    <x v="19"/>
    <x v="0"/>
    <n v="2137"/>
    <n v="1178"/>
    <n v="952"/>
    <n v="7"/>
  </r>
  <r>
    <x v="1"/>
    <x v="1"/>
    <x v="19"/>
    <x v="83"/>
    <n v="2"/>
    <s v=""/>
    <n v="2"/>
    <s v=""/>
  </r>
  <r>
    <x v="1"/>
    <x v="1"/>
    <x v="19"/>
    <x v="84"/>
    <n v="2134"/>
    <n v="1177"/>
    <n v="950"/>
    <n v="7"/>
  </r>
  <r>
    <x v="1"/>
    <x v="1"/>
    <x v="19"/>
    <x v="2"/>
    <n v="1"/>
    <n v="1"/>
    <s v=""/>
    <s v=""/>
  </r>
  <r>
    <x v="1"/>
    <x v="1"/>
    <x v="20"/>
    <x v="0"/>
    <n v="2046"/>
    <n v="1155"/>
    <n v="884"/>
    <n v="7"/>
  </r>
  <r>
    <x v="1"/>
    <x v="1"/>
    <x v="20"/>
    <x v="84"/>
    <n v="6"/>
    <n v="4"/>
    <n v="2"/>
    <s v=""/>
  </r>
  <r>
    <x v="1"/>
    <x v="1"/>
    <x v="20"/>
    <x v="85"/>
    <n v="2040"/>
    <n v="1151"/>
    <n v="882"/>
    <n v="7"/>
  </r>
  <r>
    <x v="1"/>
    <x v="1"/>
    <x v="21"/>
    <x v="0"/>
    <n v="1967"/>
    <n v="1128"/>
    <n v="831"/>
    <n v="8"/>
  </r>
  <r>
    <x v="1"/>
    <x v="1"/>
    <x v="21"/>
    <x v="85"/>
    <n v="4"/>
    <n v="1"/>
    <n v="3"/>
    <s v=""/>
  </r>
  <r>
    <x v="1"/>
    <x v="1"/>
    <x v="21"/>
    <x v="86"/>
    <n v="1963"/>
    <n v="1127"/>
    <n v="828"/>
    <n v="8"/>
  </r>
  <r>
    <x v="1"/>
    <x v="1"/>
    <x v="22"/>
    <x v="0"/>
    <n v="1869"/>
    <n v="984"/>
    <n v="876"/>
    <n v="9"/>
  </r>
  <r>
    <x v="1"/>
    <x v="1"/>
    <x v="22"/>
    <x v="86"/>
    <n v="5"/>
    <n v="4"/>
    <n v="1"/>
    <s v=""/>
  </r>
  <r>
    <x v="1"/>
    <x v="1"/>
    <x v="22"/>
    <x v="87"/>
    <n v="1864"/>
    <n v="980"/>
    <n v="875"/>
    <n v="9"/>
  </r>
  <r>
    <x v="1"/>
    <x v="1"/>
    <x v="23"/>
    <x v="0"/>
    <n v="1767"/>
    <n v="1020"/>
    <n v="740"/>
    <n v="7"/>
  </r>
  <r>
    <x v="1"/>
    <x v="1"/>
    <x v="23"/>
    <x v="87"/>
    <n v="4"/>
    <n v="1"/>
    <n v="3"/>
    <s v=""/>
  </r>
  <r>
    <x v="1"/>
    <x v="1"/>
    <x v="23"/>
    <x v="88"/>
    <n v="1763"/>
    <n v="1019"/>
    <n v="737"/>
    <n v="7"/>
  </r>
  <r>
    <x v="1"/>
    <x v="1"/>
    <x v="24"/>
    <x v="0"/>
    <n v="1555"/>
    <n v="884"/>
    <n v="665"/>
    <n v="6"/>
  </r>
  <r>
    <x v="1"/>
    <x v="1"/>
    <x v="24"/>
    <x v="88"/>
    <n v="3"/>
    <s v=""/>
    <n v="3"/>
    <s v=""/>
  </r>
  <r>
    <x v="1"/>
    <x v="1"/>
    <x v="24"/>
    <x v="89"/>
    <n v="1552"/>
    <n v="884"/>
    <n v="662"/>
    <n v="6"/>
  </r>
  <r>
    <x v="1"/>
    <x v="1"/>
    <x v="25"/>
    <x v="0"/>
    <n v="1580"/>
    <n v="886"/>
    <n v="685"/>
    <n v="9"/>
  </r>
  <r>
    <x v="1"/>
    <x v="1"/>
    <x v="25"/>
    <x v="90"/>
    <n v="1580"/>
    <n v="886"/>
    <n v="685"/>
    <n v="9"/>
  </r>
  <r>
    <x v="1"/>
    <x v="1"/>
    <x v="26"/>
    <x v="0"/>
    <n v="1425"/>
    <n v="784"/>
    <n v="636"/>
    <n v="5"/>
  </r>
  <r>
    <x v="1"/>
    <x v="1"/>
    <x v="26"/>
    <x v="90"/>
    <n v="4"/>
    <n v="2"/>
    <n v="2"/>
    <s v=""/>
  </r>
  <r>
    <x v="1"/>
    <x v="1"/>
    <x v="26"/>
    <x v="91"/>
    <n v="1421"/>
    <n v="782"/>
    <n v="634"/>
    <n v="5"/>
  </r>
  <r>
    <x v="1"/>
    <x v="1"/>
    <x v="27"/>
    <x v="0"/>
    <n v="1386"/>
    <n v="757"/>
    <n v="623"/>
    <n v="6"/>
  </r>
  <r>
    <x v="1"/>
    <x v="1"/>
    <x v="27"/>
    <x v="91"/>
    <n v="1"/>
    <n v="1"/>
    <s v=""/>
    <s v=""/>
  </r>
  <r>
    <x v="1"/>
    <x v="1"/>
    <x v="27"/>
    <x v="92"/>
    <n v="1385"/>
    <n v="756"/>
    <n v="623"/>
    <n v="6"/>
  </r>
  <r>
    <x v="1"/>
    <x v="1"/>
    <x v="28"/>
    <x v="0"/>
    <n v="1226"/>
    <n v="669"/>
    <n v="551"/>
    <n v="6"/>
  </r>
  <r>
    <x v="1"/>
    <x v="1"/>
    <x v="28"/>
    <x v="92"/>
    <n v="3"/>
    <n v="2"/>
    <n v="1"/>
    <s v=""/>
  </r>
  <r>
    <x v="1"/>
    <x v="1"/>
    <x v="28"/>
    <x v="93"/>
    <n v="1223"/>
    <n v="667"/>
    <n v="550"/>
    <n v="6"/>
  </r>
  <r>
    <x v="1"/>
    <x v="1"/>
    <x v="29"/>
    <x v="0"/>
    <n v="1181"/>
    <n v="694"/>
    <n v="485"/>
    <n v="2"/>
  </r>
  <r>
    <x v="1"/>
    <x v="1"/>
    <x v="29"/>
    <x v="94"/>
    <n v="1181"/>
    <n v="694"/>
    <n v="485"/>
    <n v="2"/>
  </r>
  <r>
    <x v="1"/>
    <x v="1"/>
    <x v="30"/>
    <x v="0"/>
    <n v="1105"/>
    <n v="618"/>
    <n v="486"/>
    <n v="1"/>
  </r>
  <r>
    <x v="1"/>
    <x v="1"/>
    <x v="30"/>
    <x v="94"/>
    <n v="1"/>
    <s v=""/>
    <n v="1"/>
    <s v=""/>
  </r>
  <r>
    <x v="1"/>
    <x v="1"/>
    <x v="30"/>
    <x v="95"/>
    <n v="1104"/>
    <n v="618"/>
    <n v="485"/>
    <n v="1"/>
  </r>
  <r>
    <x v="1"/>
    <x v="1"/>
    <x v="31"/>
    <x v="0"/>
    <n v="930"/>
    <n v="496"/>
    <n v="429"/>
    <n v="5"/>
  </r>
  <r>
    <x v="1"/>
    <x v="1"/>
    <x v="31"/>
    <x v="95"/>
    <n v="3"/>
    <n v="1"/>
    <n v="2"/>
    <s v=""/>
  </r>
  <r>
    <x v="1"/>
    <x v="1"/>
    <x v="31"/>
    <x v="96"/>
    <n v="927"/>
    <n v="495"/>
    <n v="427"/>
    <n v="5"/>
  </r>
  <r>
    <x v="1"/>
    <x v="1"/>
    <x v="32"/>
    <x v="0"/>
    <n v="1020"/>
    <n v="557"/>
    <n v="460"/>
    <n v="3"/>
  </r>
  <r>
    <x v="1"/>
    <x v="1"/>
    <x v="32"/>
    <x v="97"/>
    <n v="1020"/>
    <n v="557"/>
    <n v="460"/>
    <n v="3"/>
  </r>
  <r>
    <x v="1"/>
    <x v="1"/>
    <x v="33"/>
    <x v="0"/>
    <n v="1014"/>
    <n v="580"/>
    <n v="433"/>
    <n v="1"/>
  </r>
  <r>
    <x v="1"/>
    <x v="1"/>
    <x v="33"/>
    <x v="98"/>
    <n v="1014"/>
    <n v="580"/>
    <n v="433"/>
    <n v="1"/>
  </r>
  <r>
    <x v="1"/>
    <x v="1"/>
    <x v="34"/>
    <x v="0"/>
    <n v="915"/>
    <n v="523"/>
    <n v="389"/>
    <n v="3"/>
  </r>
  <r>
    <x v="1"/>
    <x v="1"/>
    <x v="34"/>
    <x v="99"/>
    <n v="915"/>
    <n v="523"/>
    <n v="389"/>
    <n v="3"/>
  </r>
  <r>
    <x v="2"/>
    <x v="2"/>
    <x v="0"/>
    <x v="0"/>
    <n v="693"/>
    <n v="390"/>
    <n v="303"/>
    <s v=""/>
  </r>
  <r>
    <x v="2"/>
    <x v="2"/>
    <x v="0"/>
    <x v="1"/>
    <n v="689"/>
    <n v="387"/>
    <n v="302"/>
    <s v=""/>
  </r>
  <r>
    <x v="2"/>
    <x v="2"/>
    <x v="0"/>
    <x v="2"/>
    <n v="4"/>
    <n v="3"/>
    <n v="1"/>
    <s v=""/>
  </r>
  <r>
    <x v="2"/>
    <x v="2"/>
    <x v="1"/>
    <x v="0"/>
    <n v="517"/>
    <n v="279"/>
    <n v="238"/>
    <s v=""/>
  </r>
  <r>
    <x v="2"/>
    <x v="2"/>
    <x v="1"/>
    <x v="4"/>
    <n v="514"/>
    <n v="277"/>
    <n v="237"/>
    <s v=""/>
  </r>
  <r>
    <x v="2"/>
    <x v="2"/>
    <x v="1"/>
    <x v="2"/>
    <n v="3"/>
    <n v="2"/>
    <n v="1"/>
    <s v=""/>
  </r>
  <r>
    <x v="2"/>
    <x v="2"/>
    <x v="2"/>
    <x v="0"/>
    <n v="466"/>
    <n v="251"/>
    <n v="215"/>
    <s v=""/>
  </r>
  <r>
    <x v="2"/>
    <x v="2"/>
    <x v="2"/>
    <x v="5"/>
    <n v="461"/>
    <n v="249"/>
    <n v="212"/>
    <s v=""/>
  </r>
  <r>
    <x v="2"/>
    <x v="2"/>
    <x v="2"/>
    <x v="2"/>
    <n v="5"/>
    <n v="2"/>
    <n v="3"/>
    <s v=""/>
  </r>
  <r>
    <x v="2"/>
    <x v="2"/>
    <x v="3"/>
    <x v="0"/>
    <n v="449"/>
    <n v="257"/>
    <n v="192"/>
    <s v=""/>
  </r>
  <r>
    <x v="2"/>
    <x v="2"/>
    <x v="3"/>
    <x v="5"/>
    <n v="3"/>
    <n v="3"/>
    <s v=""/>
    <s v=""/>
  </r>
  <r>
    <x v="2"/>
    <x v="2"/>
    <x v="3"/>
    <x v="18"/>
    <n v="444"/>
    <n v="252"/>
    <n v="192"/>
    <s v=""/>
  </r>
  <r>
    <x v="2"/>
    <x v="2"/>
    <x v="3"/>
    <x v="2"/>
    <n v="2"/>
    <n v="2"/>
    <s v=""/>
    <s v=""/>
  </r>
  <r>
    <x v="2"/>
    <x v="2"/>
    <x v="4"/>
    <x v="0"/>
    <n v="470"/>
    <n v="244"/>
    <n v="226"/>
    <s v=""/>
  </r>
  <r>
    <x v="2"/>
    <x v="2"/>
    <x v="4"/>
    <x v="18"/>
    <n v="1"/>
    <s v=""/>
    <n v="1"/>
    <s v=""/>
  </r>
  <r>
    <x v="2"/>
    <x v="2"/>
    <x v="4"/>
    <x v="30"/>
    <n v="469"/>
    <n v="244"/>
    <n v="225"/>
    <s v=""/>
  </r>
  <r>
    <x v="2"/>
    <x v="2"/>
    <x v="5"/>
    <x v="0"/>
    <n v="512"/>
    <n v="294"/>
    <n v="218"/>
    <s v=""/>
  </r>
  <r>
    <x v="2"/>
    <x v="2"/>
    <x v="5"/>
    <x v="30"/>
    <n v="4"/>
    <n v="2"/>
    <n v="2"/>
    <s v=""/>
  </r>
  <r>
    <x v="2"/>
    <x v="2"/>
    <x v="5"/>
    <x v="44"/>
    <n v="508"/>
    <n v="292"/>
    <n v="216"/>
    <s v=""/>
  </r>
  <r>
    <x v="2"/>
    <x v="2"/>
    <x v="6"/>
    <x v="0"/>
    <n v="445"/>
    <n v="252"/>
    <n v="193"/>
    <s v=""/>
  </r>
  <r>
    <x v="2"/>
    <x v="2"/>
    <x v="6"/>
    <x v="30"/>
    <n v="1"/>
    <s v=""/>
    <n v="1"/>
    <s v=""/>
  </r>
  <r>
    <x v="2"/>
    <x v="2"/>
    <x v="6"/>
    <x v="44"/>
    <n v="5"/>
    <n v="2"/>
    <n v="3"/>
    <s v=""/>
  </r>
  <r>
    <x v="2"/>
    <x v="2"/>
    <x v="6"/>
    <x v="50"/>
    <n v="439"/>
    <n v="250"/>
    <n v="189"/>
    <s v=""/>
  </r>
  <r>
    <x v="2"/>
    <x v="2"/>
    <x v="7"/>
    <x v="0"/>
    <n v="425"/>
    <n v="210"/>
    <n v="215"/>
    <s v=""/>
  </r>
  <r>
    <x v="2"/>
    <x v="2"/>
    <x v="7"/>
    <x v="30"/>
    <n v="1"/>
    <s v=""/>
    <n v="1"/>
    <s v=""/>
  </r>
  <r>
    <x v="2"/>
    <x v="2"/>
    <x v="7"/>
    <x v="50"/>
    <n v="1"/>
    <s v=""/>
    <n v="1"/>
    <s v=""/>
  </r>
  <r>
    <x v="2"/>
    <x v="2"/>
    <x v="7"/>
    <x v="57"/>
    <n v="423"/>
    <n v="210"/>
    <n v="213"/>
    <s v=""/>
  </r>
  <r>
    <x v="2"/>
    <x v="2"/>
    <x v="8"/>
    <x v="0"/>
    <n v="445"/>
    <n v="225"/>
    <n v="220"/>
    <s v=""/>
  </r>
  <r>
    <x v="2"/>
    <x v="2"/>
    <x v="8"/>
    <x v="50"/>
    <n v="1"/>
    <n v="1"/>
    <s v=""/>
    <s v=""/>
  </r>
  <r>
    <x v="2"/>
    <x v="2"/>
    <x v="8"/>
    <x v="57"/>
    <n v="2"/>
    <s v=""/>
    <n v="2"/>
    <s v=""/>
  </r>
  <r>
    <x v="2"/>
    <x v="2"/>
    <x v="8"/>
    <x v="69"/>
    <n v="442"/>
    <n v="224"/>
    <n v="218"/>
    <s v=""/>
  </r>
  <r>
    <x v="2"/>
    <x v="2"/>
    <x v="9"/>
    <x v="0"/>
    <n v="381"/>
    <n v="212"/>
    <n v="169"/>
    <s v=""/>
  </r>
  <r>
    <x v="2"/>
    <x v="2"/>
    <x v="9"/>
    <x v="69"/>
    <n v="1"/>
    <n v="1"/>
    <s v=""/>
    <s v=""/>
  </r>
  <r>
    <x v="2"/>
    <x v="2"/>
    <x v="9"/>
    <x v="71"/>
    <n v="380"/>
    <n v="211"/>
    <n v="169"/>
    <s v=""/>
  </r>
  <r>
    <x v="2"/>
    <x v="2"/>
    <x v="10"/>
    <x v="0"/>
    <n v="365"/>
    <n v="204"/>
    <n v="160"/>
    <n v="1"/>
  </r>
  <r>
    <x v="2"/>
    <x v="2"/>
    <x v="10"/>
    <x v="73"/>
    <n v="365"/>
    <n v="204"/>
    <n v="160"/>
    <n v="1"/>
  </r>
  <r>
    <x v="2"/>
    <x v="2"/>
    <x v="11"/>
    <x v="0"/>
    <n v="384"/>
    <n v="196"/>
    <n v="188"/>
    <s v=""/>
  </r>
  <r>
    <x v="2"/>
    <x v="2"/>
    <x v="11"/>
    <x v="73"/>
    <n v="1"/>
    <s v=""/>
    <n v="1"/>
    <s v=""/>
  </r>
  <r>
    <x v="2"/>
    <x v="2"/>
    <x v="11"/>
    <x v="74"/>
    <n v="383"/>
    <n v="196"/>
    <n v="187"/>
    <s v=""/>
  </r>
  <r>
    <x v="2"/>
    <x v="2"/>
    <x v="12"/>
    <x v="0"/>
    <n v="368"/>
    <n v="212"/>
    <n v="156"/>
    <s v=""/>
  </r>
  <r>
    <x v="2"/>
    <x v="2"/>
    <x v="12"/>
    <x v="74"/>
    <n v="2"/>
    <n v="2"/>
    <s v=""/>
    <s v=""/>
  </r>
  <r>
    <x v="2"/>
    <x v="2"/>
    <x v="12"/>
    <x v="77"/>
    <n v="366"/>
    <n v="210"/>
    <n v="156"/>
    <s v=""/>
  </r>
  <r>
    <x v="2"/>
    <x v="2"/>
    <x v="13"/>
    <x v="0"/>
    <n v="340"/>
    <n v="189"/>
    <n v="151"/>
    <s v=""/>
  </r>
  <r>
    <x v="2"/>
    <x v="2"/>
    <x v="13"/>
    <x v="78"/>
    <n v="340"/>
    <n v="189"/>
    <n v="151"/>
    <s v=""/>
  </r>
  <r>
    <x v="2"/>
    <x v="2"/>
    <x v="14"/>
    <x v="0"/>
    <n v="349"/>
    <n v="198"/>
    <n v="151"/>
    <s v=""/>
  </r>
  <r>
    <x v="2"/>
    <x v="2"/>
    <x v="14"/>
    <x v="78"/>
    <n v="2"/>
    <n v="2"/>
    <s v=""/>
    <s v=""/>
  </r>
  <r>
    <x v="2"/>
    <x v="2"/>
    <x v="14"/>
    <x v="79"/>
    <n v="347"/>
    <n v="196"/>
    <n v="151"/>
    <s v=""/>
  </r>
  <r>
    <x v="2"/>
    <x v="2"/>
    <x v="15"/>
    <x v="0"/>
    <n v="322"/>
    <n v="168"/>
    <n v="154"/>
    <s v=""/>
  </r>
  <r>
    <x v="2"/>
    <x v="2"/>
    <x v="15"/>
    <x v="79"/>
    <n v="3"/>
    <s v=""/>
    <n v="3"/>
    <s v=""/>
  </r>
  <r>
    <x v="2"/>
    <x v="2"/>
    <x v="15"/>
    <x v="80"/>
    <n v="319"/>
    <n v="168"/>
    <n v="151"/>
    <s v=""/>
  </r>
  <r>
    <x v="2"/>
    <x v="2"/>
    <x v="16"/>
    <x v="0"/>
    <n v="312"/>
    <n v="172"/>
    <n v="140"/>
    <s v=""/>
  </r>
  <r>
    <x v="2"/>
    <x v="2"/>
    <x v="16"/>
    <x v="80"/>
    <n v="2"/>
    <s v=""/>
    <n v="2"/>
    <s v=""/>
  </r>
  <r>
    <x v="2"/>
    <x v="2"/>
    <x v="16"/>
    <x v="81"/>
    <n v="310"/>
    <n v="172"/>
    <n v="138"/>
    <s v=""/>
  </r>
  <r>
    <x v="2"/>
    <x v="2"/>
    <x v="17"/>
    <x v="0"/>
    <n v="339"/>
    <n v="182"/>
    <n v="157"/>
    <s v=""/>
  </r>
  <r>
    <x v="2"/>
    <x v="2"/>
    <x v="17"/>
    <x v="77"/>
    <n v="1"/>
    <n v="1"/>
    <s v=""/>
    <s v=""/>
  </r>
  <r>
    <x v="2"/>
    <x v="2"/>
    <x v="17"/>
    <x v="82"/>
    <n v="338"/>
    <n v="181"/>
    <n v="157"/>
    <s v=""/>
  </r>
  <r>
    <x v="2"/>
    <x v="2"/>
    <x v="18"/>
    <x v="0"/>
    <n v="289"/>
    <n v="155"/>
    <n v="134"/>
    <s v=""/>
  </r>
  <r>
    <x v="2"/>
    <x v="2"/>
    <x v="18"/>
    <x v="82"/>
    <n v="4"/>
    <n v="1"/>
    <n v="3"/>
    <s v=""/>
  </r>
  <r>
    <x v="2"/>
    <x v="2"/>
    <x v="18"/>
    <x v="83"/>
    <n v="285"/>
    <n v="154"/>
    <n v="131"/>
    <s v=""/>
  </r>
  <r>
    <x v="2"/>
    <x v="2"/>
    <x v="19"/>
    <x v="0"/>
    <n v="329"/>
    <n v="172"/>
    <n v="157"/>
    <s v=""/>
  </r>
  <r>
    <x v="2"/>
    <x v="2"/>
    <x v="19"/>
    <x v="84"/>
    <n v="329"/>
    <n v="172"/>
    <n v="157"/>
    <s v=""/>
  </r>
  <r>
    <x v="2"/>
    <x v="2"/>
    <x v="20"/>
    <x v="0"/>
    <n v="296"/>
    <n v="163"/>
    <n v="133"/>
    <s v=""/>
  </r>
  <r>
    <x v="2"/>
    <x v="2"/>
    <x v="20"/>
    <x v="84"/>
    <n v="1"/>
    <n v="1"/>
    <s v=""/>
    <s v=""/>
  </r>
  <r>
    <x v="2"/>
    <x v="2"/>
    <x v="20"/>
    <x v="85"/>
    <n v="295"/>
    <n v="162"/>
    <n v="133"/>
    <s v=""/>
  </r>
  <r>
    <x v="2"/>
    <x v="2"/>
    <x v="21"/>
    <x v="0"/>
    <n v="289"/>
    <n v="169"/>
    <n v="120"/>
    <s v=""/>
  </r>
  <r>
    <x v="2"/>
    <x v="2"/>
    <x v="21"/>
    <x v="85"/>
    <n v="2"/>
    <n v="1"/>
    <n v="1"/>
    <s v=""/>
  </r>
  <r>
    <x v="2"/>
    <x v="2"/>
    <x v="21"/>
    <x v="86"/>
    <n v="287"/>
    <n v="168"/>
    <n v="119"/>
    <s v=""/>
  </r>
  <r>
    <x v="2"/>
    <x v="2"/>
    <x v="22"/>
    <x v="0"/>
    <n v="269"/>
    <n v="150"/>
    <n v="119"/>
    <s v=""/>
  </r>
  <r>
    <x v="2"/>
    <x v="2"/>
    <x v="22"/>
    <x v="87"/>
    <n v="269"/>
    <n v="150"/>
    <n v="119"/>
    <s v=""/>
  </r>
  <r>
    <x v="2"/>
    <x v="2"/>
    <x v="23"/>
    <x v="0"/>
    <n v="254"/>
    <n v="137"/>
    <n v="117"/>
    <s v=""/>
  </r>
  <r>
    <x v="2"/>
    <x v="2"/>
    <x v="23"/>
    <x v="88"/>
    <n v="254"/>
    <n v="137"/>
    <n v="117"/>
    <s v=""/>
  </r>
  <r>
    <x v="2"/>
    <x v="2"/>
    <x v="24"/>
    <x v="0"/>
    <n v="247"/>
    <n v="145"/>
    <n v="102"/>
    <s v=""/>
  </r>
  <r>
    <x v="2"/>
    <x v="2"/>
    <x v="24"/>
    <x v="88"/>
    <n v="2"/>
    <n v="2"/>
    <s v=""/>
    <s v=""/>
  </r>
  <r>
    <x v="2"/>
    <x v="2"/>
    <x v="24"/>
    <x v="89"/>
    <n v="245"/>
    <n v="143"/>
    <n v="102"/>
    <s v=""/>
  </r>
  <r>
    <x v="2"/>
    <x v="2"/>
    <x v="25"/>
    <x v="0"/>
    <n v="217"/>
    <n v="124"/>
    <n v="93"/>
    <s v=""/>
  </r>
  <r>
    <x v="2"/>
    <x v="2"/>
    <x v="25"/>
    <x v="90"/>
    <n v="217"/>
    <n v="124"/>
    <n v="93"/>
    <s v=""/>
  </r>
  <r>
    <x v="2"/>
    <x v="2"/>
    <x v="26"/>
    <x v="0"/>
    <n v="223"/>
    <n v="111"/>
    <n v="112"/>
    <s v=""/>
  </r>
  <r>
    <x v="2"/>
    <x v="2"/>
    <x v="26"/>
    <x v="90"/>
    <n v="1"/>
    <s v=""/>
    <n v="1"/>
    <s v=""/>
  </r>
  <r>
    <x v="2"/>
    <x v="2"/>
    <x v="26"/>
    <x v="91"/>
    <n v="222"/>
    <n v="111"/>
    <n v="111"/>
    <s v=""/>
  </r>
  <r>
    <x v="2"/>
    <x v="2"/>
    <x v="27"/>
    <x v="0"/>
    <n v="242"/>
    <n v="133"/>
    <n v="109"/>
    <s v=""/>
  </r>
  <r>
    <x v="2"/>
    <x v="2"/>
    <x v="27"/>
    <x v="92"/>
    <n v="242"/>
    <n v="133"/>
    <n v="109"/>
    <s v=""/>
  </r>
  <r>
    <x v="2"/>
    <x v="2"/>
    <x v="28"/>
    <x v="0"/>
    <n v="198"/>
    <n v="108"/>
    <n v="90"/>
    <s v=""/>
  </r>
  <r>
    <x v="2"/>
    <x v="2"/>
    <x v="28"/>
    <x v="93"/>
    <n v="198"/>
    <n v="108"/>
    <n v="90"/>
    <s v=""/>
  </r>
  <r>
    <x v="2"/>
    <x v="2"/>
    <x v="29"/>
    <x v="0"/>
    <n v="214"/>
    <n v="108"/>
    <n v="106"/>
    <s v=""/>
  </r>
  <r>
    <x v="2"/>
    <x v="2"/>
    <x v="29"/>
    <x v="93"/>
    <n v="1"/>
    <n v="1"/>
    <s v=""/>
    <s v=""/>
  </r>
  <r>
    <x v="2"/>
    <x v="2"/>
    <x v="29"/>
    <x v="94"/>
    <n v="213"/>
    <n v="107"/>
    <n v="106"/>
    <s v=""/>
  </r>
  <r>
    <x v="2"/>
    <x v="2"/>
    <x v="30"/>
    <x v="0"/>
    <n v="162"/>
    <n v="89"/>
    <n v="73"/>
    <s v=""/>
  </r>
  <r>
    <x v="2"/>
    <x v="2"/>
    <x v="30"/>
    <x v="95"/>
    <n v="162"/>
    <n v="89"/>
    <n v="73"/>
    <s v=""/>
  </r>
  <r>
    <x v="2"/>
    <x v="2"/>
    <x v="31"/>
    <x v="0"/>
    <n v="135"/>
    <n v="75"/>
    <n v="60"/>
    <s v=""/>
  </r>
  <r>
    <x v="2"/>
    <x v="2"/>
    <x v="31"/>
    <x v="96"/>
    <n v="135"/>
    <n v="75"/>
    <n v="60"/>
    <s v=""/>
  </r>
  <r>
    <x v="2"/>
    <x v="2"/>
    <x v="32"/>
    <x v="0"/>
    <n v="139"/>
    <n v="83"/>
    <n v="56"/>
    <s v=""/>
  </r>
  <r>
    <x v="2"/>
    <x v="2"/>
    <x v="32"/>
    <x v="97"/>
    <n v="139"/>
    <n v="83"/>
    <n v="56"/>
    <s v=""/>
  </r>
  <r>
    <x v="2"/>
    <x v="2"/>
    <x v="33"/>
    <x v="0"/>
    <n v="138"/>
    <n v="75"/>
    <n v="63"/>
    <s v=""/>
  </r>
  <r>
    <x v="2"/>
    <x v="2"/>
    <x v="33"/>
    <x v="98"/>
    <n v="138"/>
    <n v="75"/>
    <n v="63"/>
    <s v=""/>
  </r>
  <r>
    <x v="2"/>
    <x v="2"/>
    <x v="34"/>
    <x v="0"/>
    <n v="138"/>
    <n v="73"/>
    <n v="65"/>
    <s v=""/>
  </r>
  <r>
    <x v="2"/>
    <x v="2"/>
    <x v="34"/>
    <x v="99"/>
    <n v="138"/>
    <n v="73"/>
    <n v="65"/>
    <s v=""/>
  </r>
  <r>
    <x v="3"/>
    <x v="3"/>
    <x v="0"/>
    <x v="0"/>
    <n v="311"/>
    <n v="159"/>
    <n v="151"/>
    <n v="1"/>
  </r>
  <r>
    <x v="3"/>
    <x v="3"/>
    <x v="0"/>
    <x v="1"/>
    <n v="308"/>
    <n v="158"/>
    <n v="149"/>
    <n v="1"/>
  </r>
  <r>
    <x v="3"/>
    <x v="3"/>
    <x v="0"/>
    <x v="2"/>
    <n v="3"/>
    <n v="1"/>
    <n v="2"/>
    <s v=""/>
  </r>
  <r>
    <x v="3"/>
    <x v="3"/>
    <x v="1"/>
    <x v="0"/>
    <n v="279"/>
    <n v="166"/>
    <n v="113"/>
    <s v=""/>
  </r>
  <r>
    <x v="3"/>
    <x v="3"/>
    <x v="1"/>
    <x v="4"/>
    <n v="277"/>
    <n v="164"/>
    <n v="113"/>
    <s v=""/>
  </r>
  <r>
    <x v="3"/>
    <x v="3"/>
    <x v="1"/>
    <x v="2"/>
    <n v="2"/>
    <n v="2"/>
    <s v=""/>
    <s v=""/>
  </r>
  <r>
    <x v="3"/>
    <x v="3"/>
    <x v="2"/>
    <x v="0"/>
    <n v="234"/>
    <n v="129"/>
    <n v="104"/>
    <n v="1"/>
  </r>
  <r>
    <x v="3"/>
    <x v="3"/>
    <x v="2"/>
    <x v="5"/>
    <n v="231"/>
    <n v="128"/>
    <n v="103"/>
    <s v=""/>
  </r>
  <r>
    <x v="3"/>
    <x v="3"/>
    <x v="2"/>
    <x v="2"/>
    <n v="3"/>
    <n v="1"/>
    <n v="1"/>
    <n v="1"/>
  </r>
  <r>
    <x v="3"/>
    <x v="3"/>
    <x v="3"/>
    <x v="0"/>
    <n v="246"/>
    <n v="147"/>
    <n v="99"/>
    <s v=""/>
  </r>
  <r>
    <x v="3"/>
    <x v="3"/>
    <x v="3"/>
    <x v="5"/>
    <n v="2"/>
    <n v="1"/>
    <n v="1"/>
    <s v=""/>
  </r>
  <r>
    <x v="3"/>
    <x v="3"/>
    <x v="3"/>
    <x v="18"/>
    <n v="244"/>
    <n v="146"/>
    <n v="98"/>
    <s v=""/>
  </r>
  <r>
    <x v="3"/>
    <x v="3"/>
    <x v="4"/>
    <x v="0"/>
    <n v="226"/>
    <n v="126"/>
    <n v="100"/>
    <s v=""/>
  </r>
  <r>
    <x v="3"/>
    <x v="3"/>
    <x v="4"/>
    <x v="4"/>
    <n v="1"/>
    <s v=""/>
    <n v="1"/>
    <s v=""/>
  </r>
  <r>
    <x v="3"/>
    <x v="3"/>
    <x v="4"/>
    <x v="30"/>
    <n v="225"/>
    <n v="126"/>
    <n v="99"/>
    <s v=""/>
  </r>
  <r>
    <x v="3"/>
    <x v="3"/>
    <x v="5"/>
    <x v="0"/>
    <n v="217"/>
    <n v="134"/>
    <n v="82"/>
    <n v="1"/>
  </r>
  <r>
    <x v="3"/>
    <x v="3"/>
    <x v="5"/>
    <x v="30"/>
    <n v="1"/>
    <s v=""/>
    <n v="1"/>
    <s v=""/>
  </r>
  <r>
    <x v="3"/>
    <x v="3"/>
    <x v="5"/>
    <x v="44"/>
    <n v="216"/>
    <n v="134"/>
    <n v="81"/>
    <n v="1"/>
  </r>
  <r>
    <x v="3"/>
    <x v="3"/>
    <x v="6"/>
    <x v="0"/>
    <n v="242"/>
    <n v="129"/>
    <n v="113"/>
    <s v=""/>
  </r>
  <r>
    <x v="3"/>
    <x v="3"/>
    <x v="6"/>
    <x v="44"/>
    <n v="1"/>
    <n v="1"/>
    <s v=""/>
    <s v=""/>
  </r>
  <r>
    <x v="3"/>
    <x v="3"/>
    <x v="6"/>
    <x v="50"/>
    <n v="241"/>
    <n v="128"/>
    <n v="113"/>
    <s v=""/>
  </r>
  <r>
    <x v="3"/>
    <x v="3"/>
    <x v="7"/>
    <x v="0"/>
    <n v="216"/>
    <n v="119"/>
    <n v="97"/>
    <s v=""/>
  </r>
  <r>
    <x v="3"/>
    <x v="3"/>
    <x v="7"/>
    <x v="57"/>
    <n v="216"/>
    <n v="119"/>
    <n v="97"/>
    <s v=""/>
  </r>
  <r>
    <x v="3"/>
    <x v="3"/>
    <x v="8"/>
    <x v="0"/>
    <n v="196"/>
    <n v="112"/>
    <n v="84"/>
    <s v=""/>
  </r>
  <r>
    <x v="3"/>
    <x v="3"/>
    <x v="8"/>
    <x v="59"/>
    <n v="1"/>
    <s v=""/>
    <n v="1"/>
    <s v=""/>
  </r>
  <r>
    <x v="3"/>
    <x v="3"/>
    <x v="8"/>
    <x v="66"/>
    <n v="1"/>
    <n v="1"/>
    <s v=""/>
    <s v=""/>
  </r>
  <r>
    <x v="3"/>
    <x v="3"/>
    <x v="8"/>
    <x v="69"/>
    <n v="194"/>
    <n v="111"/>
    <n v="83"/>
    <s v=""/>
  </r>
  <r>
    <x v="3"/>
    <x v="3"/>
    <x v="9"/>
    <x v="0"/>
    <n v="170"/>
    <n v="97"/>
    <n v="73"/>
    <s v=""/>
  </r>
  <r>
    <x v="3"/>
    <x v="3"/>
    <x v="9"/>
    <x v="71"/>
    <n v="170"/>
    <n v="97"/>
    <n v="73"/>
    <s v=""/>
  </r>
  <r>
    <x v="3"/>
    <x v="3"/>
    <x v="10"/>
    <x v="0"/>
    <n v="184"/>
    <n v="93"/>
    <n v="91"/>
    <s v=""/>
  </r>
  <r>
    <x v="3"/>
    <x v="3"/>
    <x v="10"/>
    <x v="71"/>
    <n v="1"/>
    <n v="1"/>
    <s v=""/>
    <s v=""/>
  </r>
  <r>
    <x v="3"/>
    <x v="3"/>
    <x v="10"/>
    <x v="73"/>
    <n v="183"/>
    <n v="92"/>
    <n v="91"/>
    <s v=""/>
  </r>
  <r>
    <x v="3"/>
    <x v="3"/>
    <x v="11"/>
    <x v="0"/>
    <n v="172"/>
    <n v="92"/>
    <n v="80"/>
    <s v=""/>
  </r>
  <r>
    <x v="3"/>
    <x v="3"/>
    <x v="11"/>
    <x v="73"/>
    <n v="2"/>
    <n v="1"/>
    <n v="1"/>
    <s v=""/>
  </r>
  <r>
    <x v="3"/>
    <x v="3"/>
    <x v="11"/>
    <x v="74"/>
    <n v="170"/>
    <n v="91"/>
    <n v="79"/>
    <s v=""/>
  </r>
  <r>
    <x v="3"/>
    <x v="3"/>
    <x v="12"/>
    <x v="0"/>
    <n v="167"/>
    <n v="86"/>
    <n v="81"/>
    <s v=""/>
  </r>
  <r>
    <x v="3"/>
    <x v="3"/>
    <x v="12"/>
    <x v="77"/>
    <n v="167"/>
    <n v="86"/>
    <n v="81"/>
    <s v=""/>
  </r>
  <r>
    <x v="3"/>
    <x v="3"/>
    <x v="13"/>
    <x v="0"/>
    <n v="180"/>
    <n v="104"/>
    <n v="76"/>
    <s v=""/>
  </r>
  <r>
    <x v="3"/>
    <x v="3"/>
    <x v="13"/>
    <x v="78"/>
    <n v="180"/>
    <n v="104"/>
    <n v="76"/>
    <s v=""/>
  </r>
  <r>
    <x v="3"/>
    <x v="3"/>
    <x v="14"/>
    <x v="0"/>
    <n v="157"/>
    <n v="83"/>
    <n v="74"/>
    <s v=""/>
  </r>
  <r>
    <x v="3"/>
    <x v="3"/>
    <x v="14"/>
    <x v="79"/>
    <n v="157"/>
    <n v="83"/>
    <n v="74"/>
    <s v=""/>
  </r>
  <r>
    <x v="3"/>
    <x v="3"/>
    <x v="15"/>
    <x v="0"/>
    <n v="185"/>
    <n v="82"/>
    <n v="103"/>
    <s v=""/>
  </r>
  <r>
    <x v="3"/>
    <x v="3"/>
    <x v="15"/>
    <x v="80"/>
    <n v="185"/>
    <n v="82"/>
    <n v="103"/>
    <s v=""/>
  </r>
  <r>
    <x v="3"/>
    <x v="3"/>
    <x v="16"/>
    <x v="0"/>
    <n v="183"/>
    <n v="103"/>
    <n v="80"/>
    <s v=""/>
  </r>
  <r>
    <x v="3"/>
    <x v="3"/>
    <x v="16"/>
    <x v="78"/>
    <n v="1"/>
    <n v="1"/>
    <s v=""/>
    <s v=""/>
  </r>
  <r>
    <x v="3"/>
    <x v="3"/>
    <x v="16"/>
    <x v="80"/>
    <n v="2"/>
    <s v=""/>
    <n v="2"/>
    <s v=""/>
  </r>
  <r>
    <x v="3"/>
    <x v="3"/>
    <x v="16"/>
    <x v="81"/>
    <n v="180"/>
    <n v="102"/>
    <n v="78"/>
    <s v=""/>
  </r>
  <r>
    <x v="3"/>
    <x v="3"/>
    <x v="17"/>
    <x v="0"/>
    <n v="151"/>
    <n v="85"/>
    <n v="66"/>
    <s v=""/>
  </r>
  <r>
    <x v="3"/>
    <x v="3"/>
    <x v="17"/>
    <x v="82"/>
    <n v="151"/>
    <n v="85"/>
    <n v="66"/>
    <s v=""/>
  </r>
  <r>
    <x v="3"/>
    <x v="3"/>
    <x v="18"/>
    <x v="0"/>
    <n v="135"/>
    <n v="70"/>
    <n v="65"/>
    <s v=""/>
  </r>
  <r>
    <x v="3"/>
    <x v="3"/>
    <x v="18"/>
    <x v="82"/>
    <n v="1"/>
    <n v="1"/>
    <s v=""/>
    <s v=""/>
  </r>
  <r>
    <x v="3"/>
    <x v="3"/>
    <x v="18"/>
    <x v="83"/>
    <n v="134"/>
    <n v="69"/>
    <n v="65"/>
    <s v=""/>
  </r>
  <r>
    <x v="3"/>
    <x v="3"/>
    <x v="19"/>
    <x v="0"/>
    <n v="196"/>
    <n v="103"/>
    <n v="93"/>
    <s v=""/>
  </r>
  <r>
    <x v="3"/>
    <x v="3"/>
    <x v="19"/>
    <x v="83"/>
    <n v="2"/>
    <n v="2"/>
    <s v=""/>
    <s v=""/>
  </r>
  <r>
    <x v="3"/>
    <x v="3"/>
    <x v="19"/>
    <x v="84"/>
    <n v="194"/>
    <n v="101"/>
    <n v="93"/>
    <s v=""/>
  </r>
  <r>
    <x v="3"/>
    <x v="3"/>
    <x v="20"/>
    <x v="0"/>
    <n v="179"/>
    <n v="100"/>
    <n v="79"/>
    <s v=""/>
  </r>
  <r>
    <x v="3"/>
    <x v="3"/>
    <x v="20"/>
    <x v="85"/>
    <n v="179"/>
    <n v="100"/>
    <n v="79"/>
    <s v=""/>
  </r>
  <r>
    <x v="3"/>
    <x v="3"/>
    <x v="21"/>
    <x v="0"/>
    <n v="161"/>
    <n v="88"/>
    <n v="73"/>
    <s v=""/>
  </r>
  <r>
    <x v="3"/>
    <x v="3"/>
    <x v="21"/>
    <x v="86"/>
    <n v="161"/>
    <n v="88"/>
    <n v="73"/>
    <s v=""/>
  </r>
  <r>
    <x v="3"/>
    <x v="3"/>
    <x v="22"/>
    <x v="0"/>
    <n v="147"/>
    <n v="79"/>
    <n v="68"/>
    <s v=""/>
  </r>
  <r>
    <x v="3"/>
    <x v="3"/>
    <x v="22"/>
    <x v="86"/>
    <n v="2"/>
    <n v="1"/>
    <n v="1"/>
    <s v=""/>
  </r>
  <r>
    <x v="3"/>
    <x v="3"/>
    <x v="22"/>
    <x v="87"/>
    <n v="145"/>
    <n v="78"/>
    <n v="67"/>
    <s v=""/>
  </r>
  <r>
    <x v="3"/>
    <x v="3"/>
    <x v="23"/>
    <x v="0"/>
    <n v="125"/>
    <n v="58"/>
    <n v="67"/>
    <s v=""/>
  </r>
  <r>
    <x v="3"/>
    <x v="3"/>
    <x v="23"/>
    <x v="87"/>
    <n v="1"/>
    <s v=""/>
    <n v="1"/>
    <s v=""/>
  </r>
  <r>
    <x v="3"/>
    <x v="3"/>
    <x v="23"/>
    <x v="88"/>
    <n v="124"/>
    <n v="58"/>
    <n v="66"/>
    <s v=""/>
  </r>
  <r>
    <x v="3"/>
    <x v="3"/>
    <x v="24"/>
    <x v="0"/>
    <n v="143"/>
    <n v="87"/>
    <n v="56"/>
    <s v=""/>
  </r>
  <r>
    <x v="3"/>
    <x v="3"/>
    <x v="24"/>
    <x v="89"/>
    <n v="143"/>
    <n v="87"/>
    <n v="56"/>
    <s v=""/>
  </r>
  <r>
    <x v="3"/>
    <x v="3"/>
    <x v="25"/>
    <x v="0"/>
    <n v="124"/>
    <n v="67"/>
    <n v="57"/>
    <s v=""/>
  </r>
  <r>
    <x v="3"/>
    <x v="3"/>
    <x v="25"/>
    <x v="90"/>
    <n v="124"/>
    <n v="67"/>
    <n v="57"/>
    <s v=""/>
  </r>
  <r>
    <x v="3"/>
    <x v="3"/>
    <x v="26"/>
    <x v="0"/>
    <n v="137"/>
    <n v="64"/>
    <n v="73"/>
    <s v=""/>
  </r>
  <r>
    <x v="3"/>
    <x v="3"/>
    <x v="26"/>
    <x v="90"/>
    <n v="3"/>
    <n v="2"/>
    <n v="1"/>
    <s v=""/>
  </r>
  <r>
    <x v="3"/>
    <x v="3"/>
    <x v="26"/>
    <x v="91"/>
    <n v="134"/>
    <n v="62"/>
    <n v="72"/>
    <s v=""/>
  </r>
  <r>
    <x v="3"/>
    <x v="3"/>
    <x v="27"/>
    <x v="0"/>
    <n v="128"/>
    <n v="61"/>
    <n v="67"/>
    <s v=""/>
  </r>
  <r>
    <x v="3"/>
    <x v="3"/>
    <x v="27"/>
    <x v="92"/>
    <n v="128"/>
    <n v="61"/>
    <n v="67"/>
    <s v=""/>
  </r>
  <r>
    <x v="3"/>
    <x v="3"/>
    <x v="28"/>
    <x v="0"/>
    <n v="124"/>
    <n v="74"/>
    <n v="50"/>
    <s v=""/>
  </r>
  <r>
    <x v="3"/>
    <x v="3"/>
    <x v="28"/>
    <x v="93"/>
    <n v="124"/>
    <n v="74"/>
    <n v="50"/>
    <s v=""/>
  </r>
  <r>
    <x v="3"/>
    <x v="3"/>
    <x v="29"/>
    <x v="0"/>
    <n v="111"/>
    <n v="57"/>
    <n v="54"/>
    <s v=""/>
  </r>
  <r>
    <x v="3"/>
    <x v="3"/>
    <x v="29"/>
    <x v="93"/>
    <n v="1"/>
    <n v="1"/>
    <s v=""/>
    <s v=""/>
  </r>
  <r>
    <x v="3"/>
    <x v="3"/>
    <x v="29"/>
    <x v="94"/>
    <n v="110"/>
    <n v="56"/>
    <n v="54"/>
    <s v=""/>
  </r>
  <r>
    <x v="3"/>
    <x v="3"/>
    <x v="30"/>
    <x v="0"/>
    <n v="101"/>
    <n v="68"/>
    <n v="33"/>
    <s v=""/>
  </r>
  <r>
    <x v="3"/>
    <x v="3"/>
    <x v="30"/>
    <x v="94"/>
    <n v="1"/>
    <n v="1"/>
    <s v=""/>
    <s v=""/>
  </r>
  <r>
    <x v="3"/>
    <x v="3"/>
    <x v="30"/>
    <x v="95"/>
    <n v="100"/>
    <n v="67"/>
    <n v="33"/>
    <s v=""/>
  </r>
  <r>
    <x v="3"/>
    <x v="3"/>
    <x v="31"/>
    <x v="0"/>
    <n v="108"/>
    <n v="49"/>
    <n v="59"/>
    <s v=""/>
  </r>
  <r>
    <x v="3"/>
    <x v="3"/>
    <x v="31"/>
    <x v="96"/>
    <n v="108"/>
    <n v="49"/>
    <n v="59"/>
    <s v=""/>
  </r>
  <r>
    <x v="3"/>
    <x v="3"/>
    <x v="32"/>
    <x v="0"/>
    <n v="111"/>
    <n v="64"/>
    <n v="47"/>
    <s v=""/>
  </r>
  <r>
    <x v="3"/>
    <x v="3"/>
    <x v="32"/>
    <x v="96"/>
    <n v="1"/>
    <s v=""/>
    <n v="1"/>
    <s v=""/>
  </r>
  <r>
    <x v="3"/>
    <x v="3"/>
    <x v="32"/>
    <x v="97"/>
    <n v="110"/>
    <n v="64"/>
    <n v="46"/>
    <s v=""/>
  </r>
  <r>
    <x v="3"/>
    <x v="3"/>
    <x v="33"/>
    <x v="0"/>
    <n v="101"/>
    <n v="56"/>
    <n v="45"/>
    <s v=""/>
  </r>
  <r>
    <x v="3"/>
    <x v="3"/>
    <x v="33"/>
    <x v="97"/>
    <n v="2"/>
    <n v="1"/>
    <n v="1"/>
    <s v=""/>
  </r>
  <r>
    <x v="3"/>
    <x v="3"/>
    <x v="33"/>
    <x v="98"/>
    <n v="99"/>
    <n v="55"/>
    <n v="44"/>
    <s v=""/>
  </r>
  <r>
    <x v="3"/>
    <x v="3"/>
    <x v="34"/>
    <x v="0"/>
    <n v="94"/>
    <n v="47"/>
    <n v="47"/>
    <s v=""/>
  </r>
  <r>
    <x v="3"/>
    <x v="3"/>
    <x v="34"/>
    <x v="98"/>
    <n v="1"/>
    <n v="1"/>
    <s v=""/>
    <s v=""/>
  </r>
  <r>
    <x v="3"/>
    <x v="3"/>
    <x v="34"/>
    <x v="99"/>
    <n v="93"/>
    <n v="46"/>
    <n v="47"/>
    <s v=""/>
  </r>
  <r>
    <x v="4"/>
    <x v="4"/>
    <x v="0"/>
    <x v="0"/>
    <n v="296"/>
    <n v="177"/>
    <n v="119"/>
    <s v=""/>
  </r>
  <r>
    <x v="4"/>
    <x v="4"/>
    <x v="0"/>
    <x v="1"/>
    <n v="292"/>
    <n v="174"/>
    <n v="118"/>
    <s v=""/>
  </r>
  <r>
    <x v="4"/>
    <x v="4"/>
    <x v="0"/>
    <x v="2"/>
    <n v="4"/>
    <n v="3"/>
    <n v="1"/>
    <s v=""/>
  </r>
  <r>
    <x v="4"/>
    <x v="4"/>
    <x v="1"/>
    <x v="0"/>
    <n v="294"/>
    <n v="181"/>
    <n v="113"/>
    <s v=""/>
  </r>
  <r>
    <x v="4"/>
    <x v="4"/>
    <x v="1"/>
    <x v="4"/>
    <n v="292"/>
    <n v="180"/>
    <n v="112"/>
    <s v=""/>
  </r>
  <r>
    <x v="4"/>
    <x v="4"/>
    <x v="1"/>
    <x v="2"/>
    <n v="2"/>
    <n v="1"/>
    <n v="1"/>
    <s v=""/>
  </r>
  <r>
    <x v="4"/>
    <x v="4"/>
    <x v="2"/>
    <x v="0"/>
    <n v="286"/>
    <n v="168"/>
    <n v="118"/>
    <s v=""/>
  </r>
  <r>
    <x v="4"/>
    <x v="4"/>
    <x v="2"/>
    <x v="5"/>
    <n v="284"/>
    <n v="166"/>
    <n v="118"/>
    <s v=""/>
  </r>
  <r>
    <x v="4"/>
    <x v="4"/>
    <x v="2"/>
    <x v="2"/>
    <n v="2"/>
    <n v="2"/>
    <s v=""/>
    <s v=""/>
  </r>
  <r>
    <x v="4"/>
    <x v="4"/>
    <x v="3"/>
    <x v="0"/>
    <n v="232"/>
    <n v="143"/>
    <n v="89"/>
    <s v=""/>
  </r>
  <r>
    <x v="4"/>
    <x v="4"/>
    <x v="3"/>
    <x v="18"/>
    <n v="232"/>
    <n v="143"/>
    <n v="89"/>
    <s v=""/>
  </r>
  <r>
    <x v="4"/>
    <x v="4"/>
    <x v="4"/>
    <x v="0"/>
    <n v="231"/>
    <n v="155"/>
    <n v="76"/>
    <s v=""/>
  </r>
  <r>
    <x v="4"/>
    <x v="4"/>
    <x v="4"/>
    <x v="18"/>
    <n v="1"/>
    <n v="1"/>
    <s v=""/>
    <s v=""/>
  </r>
  <r>
    <x v="4"/>
    <x v="4"/>
    <x v="4"/>
    <x v="30"/>
    <n v="230"/>
    <n v="154"/>
    <n v="76"/>
    <s v=""/>
  </r>
  <r>
    <x v="4"/>
    <x v="4"/>
    <x v="5"/>
    <x v="0"/>
    <n v="263"/>
    <n v="148"/>
    <n v="115"/>
    <s v=""/>
  </r>
  <r>
    <x v="4"/>
    <x v="4"/>
    <x v="5"/>
    <x v="30"/>
    <n v="3"/>
    <n v="3"/>
    <s v=""/>
    <s v=""/>
  </r>
  <r>
    <x v="4"/>
    <x v="4"/>
    <x v="5"/>
    <x v="44"/>
    <n v="260"/>
    <n v="145"/>
    <n v="115"/>
    <s v=""/>
  </r>
  <r>
    <x v="4"/>
    <x v="4"/>
    <x v="6"/>
    <x v="0"/>
    <n v="229"/>
    <n v="134"/>
    <n v="95"/>
    <s v=""/>
  </r>
  <r>
    <x v="4"/>
    <x v="4"/>
    <x v="6"/>
    <x v="44"/>
    <n v="1"/>
    <s v=""/>
    <n v="1"/>
    <s v=""/>
  </r>
  <r>
    <x v="4"/>
    <x v="4"/>
    <x v="6"/>
    <x v="50"/>
    <n v="228"/>
    <n v="134"/>
    <n v="94"/>
    <s v=""/>
  </r>
  <r>
    <x v="4"/>
    <x v="4"/>
    <x v="7"/>
    <x v="0"/>
    <n v="243"/>
    <n v="146"/>
    <n v="97"/>
    <s v=""/>
  </r>
  <r>
    <x v="4"/>
    <x v="4"/>
    <x v="7"/>
    <x v="8"/>
    <n v="1"/>
    <n v="1"/>
    <s v=""/>
    <s v=""/>
  </r>
  <r>
    <x v="4"/>
    <x v="4"/>
    <x v="7"/>
    <x v="50"/>
    <n v="2"/>
    <n v="1"/>
    <n v="1"/>
    <s v=""/>
  </r>
  <r>
    <x v="4"/>
    <x v="4"/>
    <x v="7"/>
    <x v="57"/>
    <n v="240"/>
    <n v="144"/>
    <n v="96"/>
    <s v=""/>
  </r>
  <r>
    <x v="4"/>
    <x v="4"/>
    <x v="8"/>
    <x v="0"/>
    <n v="244"/>
    <n v="142"/>
    <n v="102"/>
    <s v=""/>
  </r>
  <r>
    <x v="4"/>
    <x v="4"/>
    <x v="8"/>
    <x v="57"/>
    <n v="1"/>
    <s v=""/>
    <n v="1"/>
    <s v=""/>
  </r>
  <r>
    <x v="4"/>
    <x v="4"/>
    <x v="8"/>
    <x v="69"/>
    <n v="243"/>
    <n v="142"/>
    <n v="101"/>
    <s v=""/>
  </r>
  <r>
    <x v="4"/>
    <x v="4"/>
    <x v="9"/>
    <x v="0"/>
    <n v="206"/>
    <n v="118"/>
    <n v="88"/>
    <s v=""/>
  </r>
  <r>
    <x v="4"/>
    <x v="4"/>
    <x v="9"/>
    <x v="69"/>
    <n v="1"/>
    <n v="1"/>
    <s v=""/>
    <s v=""/>
  </r>
  <r>
    <x v="4"/>
    <x v="4"/>
    <x v="9"/>
    <x v="71"/>
    <n v="205"/>
    <n v="117"/>
    <n v="88"/>
    <s v=""/>
  </r>
  <r>
    <x v="4"/>
    <x v="4"/>
    <x v="10"/>
    <x v="0"/>
    <n v="218"/>
    <n v="131"/>
    <n v="87"/>
    <s v=""/>
  </r>
  <r>
    <x v="4"/>
    <x v="4"/>
    <x v="10"/>
    <x v="71"/>
    <n v="2"/>
    <n v="2"/>
    <s v=""/>
    <s v=""/>
  </r>
  <r>
    <x v="4"/>
    <x v="4"/>
    <x v="10"/>
    <x v="73"/>
    <n v="216"/>
    <n v="129"/>
    <n v="87"/>
    <s v=""/>
  </r>
  <r>
    <x v="4"/>
    <x v="4"/>
    <x v="11"/>
    <x v="0"/>
    <n v="224"/>
    <n v="127"/>
    <n v="97"/>
    <s v=""/>
  </r>
  <r>
    <x v="4"/>
    <x v="4"/>
    <x v="11"/>
    <x v="71"/>
    <n v="1"/>
    <n v="1"/>
    <s v=""/>
    <s v=""/>
  </r>
  <r>
    <x v="4"/>
    <x v="4"/>
    <x v="11"/>
    <x v="73"/>
    <n v="1"/>
    <s v=""/>
    <n v="1"/>
    <s v=""/>
  </r>
  <r>
    <x v="4"/>
    <x v="4"/>
    <x v="11"/>
    <x v="74"/>
    <n v="222"/>
    <n v="126"/>
    <n v="96"/>
    <s v=""/>
  </r>
  <r>
    <x v="4"/>
    <x v="4"/>
    <x v="12"/>
    <x v="0"/>
    <n v="211"/>
    <n v="121"/>
    <n v="90"/>
    <s v=""/>
  </r>
  <r>
    <x v="4"/>
    <x v="4"/>
    <x v="12"/>
    <x v="77"/>
    <n v="211"/>
    <n v="121"/>
    <n v="90"/>
    <s v=""/>
  </r>
  <r>
    <x v="4"/>
    <x v="4"/>
    <x v="13"/>
    <x v="0"/>
    <n v="228"/>
    <n v="137"/>
    <n v="91"/>
    <s v=""/>
  </r>
  <r>
    <x v="4"/>
    <x v="4"/>
    <x v="13"/>
    <x v="77"/>
    <n v="2"/>
    <s v=""/>
    <n v="2"/>
    <s v=""/>
  </r>
  <r>
    <x v="4"/>
    <x v="4"/>
    <x v="13"/>
    <x v="78"/>
    <n v="226"/>
    <n v="137"/>
    <n v="89"/>
    <s v=""/>
  </r>
  <r>
    <x v="4"/>
    <x v="4"/>
    <x v="14"/>
    <x v="0"/>
    <n v="195"/>
    <n v="125"/>
    <n v="70"/>
    <s v=""/>
  </r>
  <r>
    <x v="4"/>
    <x v="4"/>
    <x v="14"/>
    <x v="79"/>
    <n v="195"/>
    <n v="125"/>
    <n v="70"/>
    <s v=""/>
  </r>
  <r>
    <x v="4"/>
    <x v="4"/>
    <x v="15"/>
    <x v="0"/>
    <n v="213"/>
    <n v="104"/>
    <n v="109"/>
    <s v=""/>
  </r>
  <r>
    <x v="4"/>
    <x v="4"/>
    <x v="15"/>
    <x v="79"/>
    <n v="2"/>
    <n v="1"/>
    <n v="1"/>
    <s v=""/>
  </r>
  <r>
    <x v="4"/>
    <x v="4"/>
    <x v="15"/>
    <x v="80"/>
    <n v="211"/>
    <n v="103"/>
    <n v="108"/>
    <s v=""/>
  </r>
  <r>
    <x v="4"/>
    <x v="4"/>
    <x v="16"/>
    <x v="0"/>
    <n v="178"/>
    <n v="110"/>
    <n v="68"/>
    <s v=""/>
  </r>
  <r>
    <x v="4"/>
    <x v="4"/>
    <x v="16"/>
    <x v="81"/>
    <n v="178"/>
    <n v="110"/>
    <n v="68"/>
    <s v=""/>
  </r>
  <r>
    <x v="4"/>
    <x v="4"/>
    <x v="17"/>
    <x v="0"/>
    <n v="165"/>
    <n v="92"/>
    <n v="73"/>
    <s v=""/>
  </r>
  <r>
    <x v="4"/>
    <x v="4"/>
    <x v="17"/>
    <x v="80"/>
    <n v="1"/>
    <n v="1"/>
    <s v=""/>
    <s v=""/>
  </r>
  <r>
    <x v="4"/>
    <x v="4"/>
    <x v="17"/>
    <x v="81"/>
    <n v="1"/>
    <n v="1"/>
    <s v=""/>
    <s v=""/>
  </r>
  <r>
    <x v="4"/>
    <x v="4"/>
    <x v="17"/>
    <x v="82"/>
    <n v="163"/>
    <n v="90"/>
    <n v="73"/>
    <s v=""/>
  </r>
  <r>
    <x v="4"/>
    <x v="4"/>
    <x v="18"/>
    <x v="0"/>
    <n v="203"/>
    <n v="111"/>
    <n v="92"/>
    <s v=""/>
  </r>
  <r>
    <x v="4"/>
    <x v="4"/>
    <x v="18"/>
    <x v="80"/>
    <n v="1"/>
    <n v="1"/>
    <s v=""/>
    <s v=""/>
  </r>
  <r>
    <x v="4"/>
    <x v="4"/>
    <x v="18"/>
    <x v="82"/>
    <n v="1"/>
    <s v=""/>
    <n v="1"/>
    <s v=""/>
  </r>
  <r>
    <x v="4"/>
    <x v="4"/>
    <x v="18"/>
    <x v="83"/>
    <n v="201"/>
    <n v="110"/>
    <n v="91"/>
    <s v=""/>
  </r>
  <r>
    <x v="4"/>
    <x v="4"/>
    <x v="19"/>
    <x v="0"/>
    <n v="205"/>
    <n v="120"/>
    <n v="85"/>
    <s v=""/>
  </r>
  <r>
    <x v="4"/>
    <x v="4"/>
    <x v="19"/>
    <x v="84"/>
    <n v="205"/>
    <n v="120"/>
    <n v="85"/>
    <s v=""/>
  </r>
  <r>
    <x v="4"/>
    <x v="4"/>
    <x v="20"/>
    <x v="0"/>
    <n v="187"/>
    <n v="112"/>
    <n v="75"/>
    <s v=""/>
  </r>
  <r>
    <x v="4"/>
    <x v="4"/>
    <x v="20"/>
    <x v="84"/>
    <n v="1"/>
    <s v=""/>
    <n v="1"/>
    <s v=""/>
  </r>
  <r>
    <x v="4"/>
    <x v="4"/>
    <x v="20"/>
    <x v="85"/>
    <n v="186"/>
    <n v="112"/>
    <n v="74"/>
    <s v=""/>
  </r>
  <r>
    <x v="4"/>
    <x v="4"/>
    <x v="21"/>
    <x v="0"/>
    <n v="173"/>
    <n v="100"/>
    <n v="73"/>
    <s v=""/>
  </r>
  <r>
    <x v="4"/>
    <x v="4"/>
    <x v="21"/>
    <x v="86"/>
    <n v="173"/>
    <n v="100"/>
    <n v="73"/>
    <s v=""/>
  </r>
  <r>
    <x v="4"/>
    <x v="4"/>
    <x v="22"/>
    <x v="0"/>
    <n v="158"/>
    <n v="74"/>
    <n v="84"/>
    <s v=""/>
  </r>
  <r>
    <x v="4"/>
    <x v="4"/>
    <x v="22"/>
    <x v="87"/>
    <n v="158"/>
    <n v="74"/>
    <n v="84"/>
    <s v=""/>
  </r>
  <r>
    <x v="4"/>
    <x v="4"/>
    <x v="23"/>
    <x v="0"/>
    <n v="165"/>
    <n v="101"/>
    <n v="64"/>
    <s v=""/>
  </r>
  <r>
    <x v="4"/>
    <x v="4"/>
    <x v="23"/>
    <x v="88"/>
    <n v="165"/>
    <n v="101"/>
    <n v="64"/>
    <s v=""/>
  </r>
  <r>
    <x v="4"/>
    <x v="4"/>
    <x v="24"/>
    <x v="0"/>
    <n v="170"/>
    <n v="87"/>
    <n v="83"/>
    <s v=""/>
  </r>
  <r>
    <x v="4"/>
    <x v="4"/>
    <x v="24"/>
    <x v="89"/>
    <n v="170"/>
    <n v="87"/>
    <n v="83"/>
    <s v=""/>
  </r>
  <r>
    <x v="4"/>
    <x v="4"/>
    <x v="25"/>
    <x v="0"/>
    <n v="149"/>
    <n v="81"/>
    <n v="68"/>
    <s v=""/>
  </r>
  <r>
    <x v="4"/>
    <x v="4"/>
    <x v="25"/>
    <x v="90"/>
    <n v="149"/>
    <n v="81"/>
    <n v="68"/>
    <s v=""/>
  </r>
  <r>
    <x v="4"/>
    <x v="4"/>
    <x v="26"/>
    <x v="0"/>
    <n v="174"/>
    <n v="86"/>
    <n v="88"/>
    <s v=""/>
  </r>
  <r>
    <x v="4"/>
    <x v="4"/>
    <x v="26"/>
    <x v="90"/>
    <n v="1"/>
    <s v=""/>
    <n v="1"/>
    <s v=""/>
  </r>
  <r>
    <x v="4"/>
    <x v="4"/>
    <x v="26"/>
    <x v="91"/>
    <n v="173"/>
    <n v="86"/>
    <n v="87"/>
    <s v=""/>
  </r>
  <r>
    <x v="4"/>
    <x v="4"/>
    <x v="27"/>
    <x v="0"/>
    <n v="162"/>
    <n v="95"/>
    <n v="67"/>
    <s v=""/>
  </r>
  <r>
    <x v="4"/>
    <x v="4"/>
    <x v="27"/>
    <x v="92"/>
    <n v="162"/>
    <n v="95"/>
    <n v="67"/>
    <s v=""/>
  </r>
  <r>
    <x v="4"/>
    <x v="4"/>
    <x v="28"/>
    <x v="0"/>
    <n v="136"/>
    <n v="69"/>
    <n v="67"/>
    <s v=""/>
  </r>
  <r>
    <x v="4"/>
    <x v="4"/>
    <x v="28"/>
    <x v="92"/>
    <n v="1"/>
    <n v="1"/>
    <s v=""/>
    <s v=""/>
  </r>
  <r>
    <x v="4"/>
    <x v="4"/>
    <x v="28"/>
    <x v="93"/>
    <n v="135"/>
    <n v="68"/>
    <n v="67"/>
    <s v=""/>
  </r>
  <r>
    <x v="4"/>
    <x v="4"/>
    <x v="29"/>
    <x v="0"/>
    <n v="164"/>
    <n v="88"/>
    <n v="76"/>
    <s v=""/>
  </r>
  <r>
    <x v="4"/>
    <x v="4"/>
    <x v="29"/>
    <x v="94"/>
    <n v="164"/>
    <n v="88"/>
    <n v="76"/>
    <s v=""/>
  </r>
  <r>
    <x v="4"/>
    <x v="4"/>
    <x v="30"/>
    <x v="0"/>
    <n v="146"/>
    <n v="86"/>
    <n v="60"/>
    <s v=""/>
  </r>
  <r>
    <x v="4"/>
    <x v="4"/>
    <x v="30"/>
    <x v="95"/>
    <n v="146"/>
    <n v="86"/>
    <n v="60"/>
    <s v=""/>
  </r>
  <r>
    <x v="4"/>
    <x v="4"/>
    <x v="31"/>
    <x v="0"/>
    <n v="160"/>
    <n v="92"/>
    <n v="68"/>
    <s v=""/>
  </r>
  <r>
    <x v="4"/>
    <x v="4"/>
    <x v="31"/>
    <x v="96"/>
    <n v="160"/>
    <n v="92"/>
    <n v="68"/>
    <s v=""/>
  </r>
  <r>
    <x v="4"/>
    <x v="4"/>
    <x v="32"/>
    <x v="0"/>
    <n v="146"/>
    <n v="78"/>
    <n v="68"/>
    <s v=""/>
  </r>
  <r>
    <x v="4"/>
    <x v="4"/>
    <x v="32"/>
    <x v="97"/>
    <n v="146"/>
    <n v="78"/>
    <n v="68"/>
    <s v=""/>
  </r>
  <r>
    <x v="4"/>
    <x v="4"/>
    <x v="33"/>
    <x v="0"/>
    <n v="149"/>
    <n v="73"/>
    <n v="76"/>
    <s v=""/>
  </r>
  <r>
    <x v="4"/>
    <x v="4"/>
    <x v="33"/>
    <x v="98"/>
    <n v="149"/>
    <n v="73"/>
    <n v="76"/>
    <s v=""/>
  </r>
  <r>
    <x v="4"/>
    <x v="4"/>
    <x v="34"/>
    <x v="0"/>
    <n v="139"/>
    <n v="82"/>
    <n v="57"/>
    <s v=""/>
  </r>
  <r>
    <x v="4"/>
    <x v="4"/>
    <x v="34"/>
    <x v="99"/>
    <n v="139"/>
    <n v="82"/>
    <n v="57"/>
    <s v=""/>
  </r>
  <r>
    <x v="5"/>
    <x v="5"/>
    <x v="0"/>
    <x v="0"/>
    <n v="668"/>
    <n v="469"/>
    <n v="199"/>
    <s v=""/>
  </r>
  <r>
    <x v="5"/>
    <x v="5"/>
    <x v="0"/>
    <x v="1"/>
    <n v="659"/>
    <n v="460"/>
    <n v="199"/>
    <s v=""/>
  </r>
  <r>
    <x v="5"/>
    <x v="5"/>
    <x v="0"/>
    <x v="2"/>
    <n v="9"/>
    <n v="9"/>
    <s v=""/>
    <s v=""/>
  </r>
  <r>
    <x v="5"/>
    <x v="5"/>
    <x v="1"/>
    <x v="0"/>
    <n v="726"/>
    <n v="498"/>
    <n v="228"/>
    <s v=""/>
  </r>
  <r>
    <x v="5"/>
    <x v="5"/>
    <x v="1"/>
    <x v="4"/>
    <n v="714"/>
    <n v="487"/>
    <n v="227"/>
    <s v=""/>
  </r>
  <r>
    <x v="5"/>
    <x v="5"/>
    <x v="1"/>
    <x v="2"/>
    <n v="12"/>
    <n v="11"/>
    <n v="1"/>
    <s v=""/>
  </r>
  <r>
    <x v="5"/>
    <x v="5"/>
    <x v="2"/>
    <x v="0"/>
    <n v="734"/>
    <n v="537"/>
    <n v="197"/>
    <s v=""/>
  </r>
  <r>
    <x v="5"/>
    <x v="5"/>
    <x v="2"/>
    <x v="5"/>
    <n v="728"/>
    <n v="532"/>
    <n v="196"/>
    <s v=""/>
  </r>
  <r>
    <x v="5"/>
    <x v="5"/>
    <x v="2"/>
    <x v="2"/>
    <n v="6"/>
    <n v="5"/>
    <n v="1"/>
    <s v=""/>
  </r>
  <r>
    <x v="5"/>
    <x v="5"/>
    <x v="3"/>
    <x v="0"/>
    <n v="696"/>
    <n v="486"/>
    <n v="209"/>
    <n v="1"/>
  </r>
  <r>
    <x v="5"/>
    <x v="5"/>
    <x v="3"/>
    <x v="5"/>
    <n v="1"/>
    <s v=""/>
    <n v="1"/>
    <s v=""/>
  </r>
  <r>
    <x v="5"/>
    <x v="5"/>
    <x v="3"/>
    <x v="18"/>
    <n v="689"/>
    <n v="480"/>
    <n v="208"/>
    <n v="1"/>
  </r>
  <r>
    <x v="5"/>
    <x v="5"/>
    <x v="3"/>
    <x v="2"/>
    <n v="6"/>
    <n v="6"/>
    <s v=""/>
    <s v=""/>
  </r>
  <r>
    <x v="5"/>
    <x v="5"/>
    <x v="4"/>
    <x v="0"/>
    <n v="675"/>
    <n v="460"/>
    <n v="215"/>
    <s v=""/>
  </r>
  <r>
    <x v="5"/>
    <x v="5"/>
    <x v="4"/>
    <x v="18"/>
    <n v="3"/>
    <n v="3"/>
    <s v=""/>
    <s v=""/>
  </r>
  <r>
    <x v="5"/>
    <x v="5"/>
    <x v="4"/>
    <x v="30"/>
    <n v="672"/>
    <n v="457"/>
    <n v="215"/>
    <s v=""/>
  </r>
  <r>
    <x v="5"/>
    <x v="5"/>
    <x v="5"/>
    <x v="0"/>
    <n v="663"/>
    <n v="478"/>
    <n v="185"/>
    <s v=""/>
  </r>
  <r>
    <x v="5"/>
    <x v="5"/>
    <x v="5"/>
    <x v="9"/>
    <n v="1"/>
    <n v="1"/>
    <s v=""/>
    <s v=""/>
  </r>
  <r>
    <x v="5"/>
    <x v="5"/>
    <x v="5"/>
    <x v="37"/>
    <n v="1"/>
    <n v="1"/>
    <s v=""/>
    <s v=""/>
  </r>
  <r>
    <x v="5"/>
    <x v="5"/>
    <x v="5"/>
    <x v="30"/>
    <n v="2"/>
    <n v="1"/>
    <n v="1"/>
    <s v=""/>
  </r>
  <r>
    <x v="5"/>
    <x v="5"/>
    <x v="5"/>
    <x v="44"/>
    <n v="659"/>
    <n v="475"/>
    <n v="184"/>
    <s v=""/>
  </r>
  <r>
    <x v="5"/>
    <x v="5"/>
    <x v="6"/>
    <x v="0"/>
    <n v="652"/>
    <n v="450"/>
    <n v="202"/>
    <s v=""/>
  </r>
  <r>
    <x v="5"/>
    <x v="5"/>
    <x v="6"/>
    <x v="44"/>
    <n v="2"/>
    <n v="2"/>
    <s v=""/>
    <s v=""/>
  </r>
  <r>
    <x v="5"/>
    <x v="5"/>
    <x v="6"/>
    <x v="50"/>
    <n v="649"/>
    <n v="447"/>
    <n v="202"/>
    <s v=""/>
  </r>
  <r>
    <x v="5"/>
    <x v="5"/>
    <x v="6"/>
    <x v="2"/>
    <n v="1"/>
    <n v="1"/>
    <s v=""/>
    <s v=""/>
  </r>
  <r>
    <x v="5"/>
    <x v="5"/>
    <x v="7"/>
    <x v="0"/>
    <n v="609"/>
    <n v="432"/>
    <n v="177"/>
    <s v=""/>
  </r>
  <r>
    <x v="5"/>
    <x v="5"/>
    <x v="7"/>
    <x v="50"/>
    <n v="5"/>
    <n v="4"/>
    <n v="1"/>
    <s v=""/>
  </r>
  <r>
    <x v="5"/>
    <x v="5"/>
    <x v="7"/>
    <x v="57"/>
    <n v="604"/>
    <n v="428"/>
    <n v="176"/>
    <s v=""/>
  </r>
  <r>
    <x v="5"/>
    <x v="5"/>
    <x v="8"/>
    <x v="0"/>
    <n v="574"/>
    <n v="375"/>
    <n v="199"/>
    <s v=""/>
  </r>
  <r>
    <x v="5"/>
    <x v="5"/>
    <x v="8"/>
    <x v="57"/>
    <n v="4"/>
    <n v="4"/>
    <s v=""/>
    <s v=""/>
  </r>
  <r>
    <x v="5"/>
    <x v="5"/>
    <x v="8"/>
    <x v="69"/>
    <n v="570"/>
    <n v="371"/>
    <n v="199"/>
    <s v=""/>
  </r>
  <r>
    <x v="5"/>
    <x v="5"/>
    <x v="9"/>
    <x v="0"/>
    <n v="518"/>
    <n v="350"/>
    <n v="168"/>
    <s v=""/>
  </r>
  <r>
    <x v="5"/>
    <x v="5"/>
    <x v="9"/>
    <x v="69"/>
    <n v="3"/>
    <n v="2"/>
    <n v="1"/>
    <s v=""/>
  </r>
  <r>
    <x v="5"/>
    <x v="5"/>
    <x v="9"/>
    <x v="71"/>
    <n v="514"/>
    <n v="347"/>
    <n v="167"/>
    <s v=""/>
  </r>
  <r>
    <x v="5"/>
    <x v="5"/>
    <x v="9"/>
    <x v="2"/>
    <n v="1"/>
    <n v="1"/>
    <s v=""/>
    <s v=""/>
  </r>
  <r>
    <x v="5"/>
    <x v="5"/>
    <x v="10"/>
    <x v="0"/>
    <n v="509"/>
    <n v="340"/>
    <n v="169"/>
    <s v=""/>
  </r>
  <r>
    <x v="5"/>
    <x v="5"/>
    <x v="10"/>
    <x v="71"/>
    <n v="2"/>
    <n v="2"/>
    <s v=""/>
    <s v=""/>
  </r>
  <r>
    <x v="5"/>
    <x v="5"/>
    <x v="10"/>
    <x v="73"/>
    <n v="507"/>
    <n v="338"/>
    <n v="169"/>
    <s v=""/>
  </r>
  <r>
    <x v="5"/>
    <x v="5"/>
    <x v="11"/>
    <x v="0"/>
    <n v="538"/>
    <n v="351"/>
    <n v="187"/>
    <s v=""/>
  </r>
  <r>
    <x v="5"/>
    <x v="5"/>
    <x v="11"/>
    <x v="73"/>
    <n v="3"/>
    <n v="1"/>
    <n v="2"/>
    <s v=""/>
  </r>
  <r>
    <x v="5"/>
    <x v="5"/>
    <x v="11"/>
    <x v="74"/>
    <n v="535"/>
    <n v="350"/>
    <n v="185"/>
    <s v=""/>
  </r>
  <r>
    <x v="5"/>
    <x v="5"/>
    <x v="12"/>
    <x v="0"/>
    <n v="566"/>
    <n v="398"/>
    <n v="168"/>
    <s v=""/>
  </r>
  <r>
    <x v="5"/>
    <x v="5"/>
    <x v="12"/>
    <x v="74"/>
    <n v="2"/>
    <s v=""/>
    <n v="2"/>
    <s v=""/>
  </r>
  <r>
    <x v="5"/>
    <x v="5"/>
    <x v="12"/>
    <x v="77"/>
    <n v="564"/>
    <n v="398"/>
    <n v="166"/>
    <s v=""/>
  </r>
  <r>
    <x v="5"/>
    <x v="5"/>
    <x v="13"/>
    <x v="0"/>
    <n v="549"/>
    <n v="374"/>
    <n v="175"/>
    <s v=""/>
  </r>
  <r>
    <x v="5"/>
    <x v="5"/>
    <x v="13"/>
    <x v="77"/>
    <n v="2"/>
    <n v="1"/>
    <n v="1"/>
    <s v=""/>
  </r>
  <r>
    <x v="5"/>
    <x v="5"/>
    <x v="13"/>
    <x v="78"/>
    <n v="547"/>
    <n v="373"/>
    <n v="174"/>
    <s v=""/>
  </r>
  <r>
    <x v="5"/>
    <x v="5"/>
    <x v="14"/>
    <x v="0"/>
    <n v="471"/>
    <n v="327"/>
    <n v="144"/>
    <s v=""/>
  </r>
  <r>
    <x v="5"/>
    <x v="5"/>
    <x v="14"/>
    <x v="79"/>
    <n v="471"/>
    <n v="327"/>
    <n v="144"/>
    <s v=""/>
  </r>
  <r>
    <x v="5"/>
    <x v="5"/>
    <x v="15"/>
    <x v="0"/>
    <n v="513"/>
    <n v="362"/>
    <n v="151"/>
    <s v=""/>
  </r>
  <r>
    <x v="5"/>
    <x v="5"/>
    <x v="15"/>
    <x v="79"/>
    <n v="2"/>
    <n v="1"/>
    <n v="1"/>
    <s v=""/>
  </r>
  <r>
    <x v="5"/>
    <x v="5"/>
    <x v="15"/>
    <x v="80"/>
    <n v="511"/>
    <n v="361"/>
    <n v="150"/>
    <s v=""/>
  </r>
  <r>
    <x v="5"/>
    <x v="5"/>
    <x v="16"/>
    <x v="0"/>
    <n v="457"/>
    <n v="316"/>
    <n v="141"/>
    <s v=""/>
  </r>
  <r>
    <x v="5"/>
    <x v="5"/>
    <x v="16"/>
    <x v="80"/>
    <n v="3"/>
    <n v="2"/>
    <n v="1"/>
    <s v=""/>
  </r>
  <r>
    <x v="5"/>
    <x v="5"/>
    <x v="16"/>
    <x v="81"/>
    <n v="454"/>
    <n v="314"/>
    <n v="140"/>
    <s v=""/>
  </r>
  <r>
    <x v="5"/>
    <x v="5"/>
    <x v="17"/>
    <x v="0"/>
    <n v="472"/>
    <n v="320"/>
    <n v="152"/>
    <s v=""/>
  </r>
  <r>
    <x v="5"/>
    <x v="5"/>
    <x v="17"/>
    <x v="81"/>
    <n v="6"/>
    <n v="5"/>
    <n v="1"/>
    <s v=""/>
  </r>
  <r>
    <x v="5"/>
    <x v="5"/>
    <x v="17"/>
    <x v="82"/>
    <n v="466"/>
    <n v="315"/>
    <n v="151"/>
    <s v=""/>
  </r>
  <r>
    <x v="5"/>
    <x v="5"/>
    <x v="18"/>
    <x v="0"/>
    <n v="498"/>
    <n v="333"/>
    <n v="165"/>
    <s v=""/>
  </r>
  <r>
    <x v="5"/>
    <x v="5"/>
    <x v="18"/>
    <x v="80"/>
    <n v="1"/>
    <n v="1"/>
    <s v=""/>
    <s v=""/>
  </r>
  <r>
    <x v="5"/>
    <x v="5"/>
    <x v="18"/>
    <x v="82"/>
    <n v="2"/>
    <n v="1"/>
    <n v="1"/>
    <s v=""/>
  </r>
  <r>
    <x v="5"/>
    <x v="5"/>
    <x v="18"/>
    <x v="83"/>
    <n v="495"/>
    <n v="331"/>
    <n v="164"/>
    <s v=""/>
  </r>
  <r>
    <x v="5"/>
    <x v="5"/>
    <x v="19"/>
    <x v="0"/>
    <n v="469"/>
    <n v="317"/>
    <n v="152"/>
    <s v=""/>
  </r>
  <r>
    <x v="5"/>
    <x v="5"/>
    <x v="19"/>
    <x v="83"/>
    <n v="2"/>
    <n v="1"/>
    <n v="1"/>
    <s v=""/>
  </r>
  <r>
    <x v="5"/>
    <x v="5"/>
    <x v="19"/>
    <x v="84"/>
    <n v="467"/>
    <n v="316"/>
    <n v="151"/>
    <s v=""/>
  </r>
  <r>
    <x v="5"/>
    <x v="5"/>
    <x v="20"/>
    <x v="0"/>
    <n v="517"/>
    <n v="355"/>
    <n v="162"/>
    <s v=""/>
  </r>
  <r>
    <x v="5"/>
    <x v="5"/>
    <x v="20"/>
    <x v="84"/>
    <n v="5"/>
    <n v="2"/>
    <n v="3"/>
    <s v=""/>
  </r>
  <r>
    <x v="5"/>
    <x v="5"/>
    <x v="20"/>
    <x v="85"/>
    <n v="512"/>
    <n v="353"/>
    <n v="159"/>
    <s v=""/>
  </r>
  <r>
    <x v="5"/>
    <x v="5"/>
    <x v="21"/>
    <x v="0"/>
    <n v="530"/>
    <n v="358"/>
    <n v="172"/>
    <s v=""/>
  </r>
  <r>
    <x v="5"/>
    <x v="5"/>
    <x v="21"/>
    <x v="85"/>
    <n v="8"/>
    <n v="4"/>
    <n v="4"/>
    <s v=""/>
  </r>
  <r>
    <x v="5"/>
    <x v="5"/>
    <x v="21"/>
    <x v="86"/>
    <n v="522"/>
    <n v="354"/>
    <n v="168"/>
    <s v=""/>
  </r>
  <r>
    <x v="5"/>
    <x v="5"/>
    <x v="22"/>
    <x v="0"/>
    <n v="503"/>
    <n v="326"/>
    <n v="177"/>
    <s v=""/>
  </r>
  <r>
    <x v="5"/>
    <x v="5"/>
    <x v="22"/>
    <x v="86"/>
    <n v="3"/>
    <n v="3"/>
    <s v=""/>
    <s v=""/>
  </r>
  <r>
    <x v="5"/>
    <x v="5"/>
    <x v="22"/>
    <x v="87"/>
    <n v="500"/>
    <n v="323"/>
    <n v="177"/>
    <s v=""/>
  </r>
  <r>
    <x v="5"/>
    <x v="5"/>
    <x v="23"/>
    <x v="0"/>
    <n v="405"/>
    <n v="280"/>
    <n v="124"/>
    <n v="1"/>
  </r>
  <r>
    <x v="5"/>
    <x v="5"/>
    <x v="23"/>
    <x v="86"/>
    <n v="1"/>
    <s v=""/>
    <s v=""/>
    <n v="1"/>
  </r>
  <r>
    <x v="5"/>
    <x v="5"/>
    <x v="23"/>
    <x v="87"/>
    <n v="5"/>
    <n v="3"/>
    <n v="2"/>
    <s v=""/>
  </r>
  <r>
    <x v="5"/>
    <x v="5"/>
    <x v="23"/>
    <x v="88"/>
    <n v="399"/>
    <n v="277"/>
    <n v="122"/>
    <s v=""/>
  </r>
  <r>
    <x v="5"/>
    <x v="5"/>
    <x v="24"/>
    <x v="0"/>
    <n v="447"/>
    <n v="278"/>
    <n v="169"/>
    <s v=""/>
  </r>
  <r>
    <x v="5"/>
    <x v="5"/>
    <x v="24"/>
    <x v="88"/>
    <n v="5"/>
    <n v="4"/>
    <n v="1"/>
    <s v=""/>
  </r>
  <r>
    <x v="5"/>
    <x v="5"/>
    <x v="24"/>
    <x v="89"/>
    <n v="442"/>
    <n v="274"/>
    <n v="168"/>
    <s v=""/>
  </r>
  <r>
    <x v="5"/>
    <x v="5"/>
    <x v="25"/>
    <x v="0"/>
    <n v="380"/>
    <n v="261"/>
    <n v="119"/>
    <s v=""/>
  </r>
  <r>
    <x v="5"/>
    <x v="5"/>
    <x v="25"/>
    <x v="89"/>
    <n v="4"/>
    <n v="4"/>
    <s v=""/>
    <s v=""/>
  </r>
  <r>
    <x v="5"/>
    <x v="5"/>
    <x v="25"/>
    <x v="90"/>
    <n v="376"/>
    <n v="257"/>
    <n v="119"/>
    <s v=""/>
  </r>
  <r>
    <x v="5"/>
    <x v="5"/>
    <x v="26"/>
    <x v="0"/>
    <n v="402"/>
    <n v="291"/>
    <n v="111"/>
    <s v=""/>
  </r>
  <r>
    <x v="5"/>
    <x v="5"/>
    <x v="26"/>
    <x v="91"/>
    <n v="402"/>
    <n v="291"/>
    <n v="111"/>
    <s v=""/>
  </r>
  <r>
    <x v="5"/>
    <x v="5"/>
    <x v="27"/>
    <x v="0"/>
    <n v="485"/>
    <n v="350"/>
    <n v="135"/>
    <s v=""/>
  </r>
  <r>
    <x v="5"/>
    <x v="5"/>
    <x v="27"/>
    <x v="91"/>
    <n v="1"/>
    <n v="1"/>
    <s v=""/>
    <s v=""/>
  </r>
  <r>
    <x v="5"/>
    <x v="5"/>
    <x v="27"/>
    <x v="92"/>
    <n v="484"/>
    <n v="349"/>
    <n v="135"/>
    <s v=""/>
  </r>
  <r>
    <x v="5"/>
    <x v="5"/>
    <x v="28"/>
    <x v="0"/>
    <n v="431"/>
    <n v="297"/>
    <n v="134"/>
    <s v=""/>
  </r>
  <r>
    <x v="5"/>
    <x v="5"/>
    <x v="28"/>
    <x v="93"/>
    <n v="431"/>
    <n v="297"/>
    <n v="134"/>
    <s v=""/>
  </r>
  <r>
    <x v="5"/>
    <x v="5"/>
    <x v="29"/>
    <x v="0"/>
    <n v="404"/>
    <n v="292"/>
    <n v="112"/>
    <s v=""/>
  </r>
  <r>
    <x v="5"/>
    <x v="5"/>
    <x v="29"/>
    <x v="93"/>
    <n v="2"/>
    <n v="2"/>
    <s v=""/>
    <s v=""/>
  </r>
  <r>
    <x v="5"/>
    <x v="5"/>
    <x v="29"/>
    <x v="94"/>
    <n v="402"/>
    <n v="290"/>
    <n v="112"/>
    <s v=""/>
  </r>
  <r>
    <x v="5"/>
    <x v="5"/>
    <x v="30"/>
    <x v="0"/>
    <n v="410"/>
    <n v="284"/>
    <n v="126"/>
    <s v=""/>
  </r>
  <r>
    <x v="5"/>
    <x v="5"/>
    <x v="30"/>
    <x v="95"/>
    <n v="410"/>
    <n v="284"/>
    <n v="126"/>
    <s v=""/>
  </r>
  <r>
    <x v="5"/>
    <x v="5"/>
    <x v="31"/>
    <x v="0"/>
    <n v="417"/>
    <n v="289"/>
    <n v="128"/>
    <s v=""/>
  </r>
  <r>
    <x v="5"/>
    <x v="5"/>
    <x v="31"/>
    <x v="96"/>
    <n v="417"/>
    <n v="289"/>
    <n v="128"/>
    <s v=""/>
  </r>
  <r>
    <x v="5"/>
    <x v="5"/>
    <x v="32"/>
    <x v="0"/>
    <n v="414"/>
    <n v="273"/>
    <n v="141"/>
    <s v=""/>
  </r>
  <r>
    <x v="5"/>
    <x v="5"/>
    <x v="32"/>
    <x v="96"/>
    <n v="1"/>
    <s v=""/>
    <n v="1"/>
    <s v=""/>
  </r>
  <r>
    <x v="5"/>
    <x v="5"/>
    <x v="32"/>
    <x v="97"/>
    <n v="413"/>
    <n v="273"/>
    <n v="140"/>
    <s v=""/>
  </r>
  <r>
    <x v="5"/>
    <x v="5"/>
    <x v="33"/>
    <x v="0"/>
    <n v="406"/>
    <n v="278"/>
    <n v="128"/>
    <s v=""/>
  </r>
  <r>
    <x v="5"/>
    <x v="5"/>
    <x v="33"/>
    <x v="97"/>
    <n v="1"/>
    <n v="1"/>
    <s v=""/>
    <s v=""/>
  </r>
  <r>
    <x v="5"/>
    <x v="5"/>
    <x v="33"/>
    <x v="98"/>
    <n v="405"/>
    <n v="277"/>
    <n v="128"/>
    <s v=""/>
  </r>
  <r>
    <x v="5"/>
    <x v="5"/>
    <x v="34"/>
    <x v="0"/>
    <n v="462"/>
    <n v="322"/>
    <n v="140"/>
    <s v=""/>
  </r>
  <r>
    <x v="5"/>
    <x v="5"/>
    <x v="34"/>
    <x v="98"/>
    <n v="4"/>
    <n v="3"/>
    <n v="1"/>
    <s v=""/>
  </r>
  <r>
    <x v="5"/>
    <x v="5"/>
    <x v="34"/>
    <x v="99"/>
    <n v="458"/>
    <n v="319"/>
    <n v="139"/>
    <s v=""/>
  </r>
  <r>
    <x v="6"/>
    <x v="6"/>
    <x v="0"/>
    <x v="0"/>
    <n v="947"/>
    <n v="706"/>
    <n v="240"/>
    <n v="1"/>
  </r>
  <r>
    <x v="6"/>
    <x v="6"/>
    <x v="0"/>
    <x v="1"/>
    <n v="930"/>
    <n v="693"/>
    <n v="237"/>
    <s v=""/>
  </r>
  <r>
    <x v="6"/>
    <x v="6"/>
    <x v="0"/>
    <x v="2"/>
    <n v="17"/>
    <n v="13"/>
    <n v="3"/>
    <n v="1"/>
  </r>
  <r>
    <x v="6"/>
    <x v="6"/>
    <x v="1"/>
    <x v="0"/>
    <n v="1011"/>
    <n v="746"/>
    <n v="265"/>
    <s v=""/>
  </r>
  <r>
    <x v="6"/>
    <x v="6"/>
    <x v="1"/>
    <x v="4"/>
    <n v="990"/>
    <n v="726"/>
    <n v="264"/>
    <s v=""/>
  </r>
  <r>
    <x v="6"/>
    <x v="6"/>
    <x v="1"/>
    <x v="2"/>
    <n v="21"/>
    <n v="20"/>
    <n v="1"/>
    <s v=""/>
  </r>
  <r>
    <x v="6"/>
    <x v="6"/>
    <x v="2"/>
    <x v="0"/>
    <n v="1072"/>
    <n v="812"/>
    <n v="260"/>
    <s v=""/>
  </r>
  <r>
    <x v="6"/>
    <x v="6"/>
    <x v="2"/>
    <x v="5"/>
    <n v="1059"/>
    <n v="802"/>
    <n v="257"/>
    <s v=""/>
  </r>
  <r>
    <x v="6"/>
    <x v="6"/>
    <x v="2"/>
    <x v="2"/>
    <n v="13"/>
    <n v="10"/>
    <n v="3"/>
    <s v=""/>
  </r>
  <r>
    <x v="6"/>
    <x v="6"/>
    <x v="3"/>
    <x v="0"/>
    <n v="1026"/>
    <n v="750"/>
    <n v="276"/>
    <s v=""/>
  </r>
  <r>
    <x v="6"/>
    <x v="6"/>
    <x v="3"/>
    <x v="9"/>
    <n v="1"/>
    <s v=""/>
    <n v="1"/>
    <s v=""/>
  </r>
  <r>
    <x v="6"/>
    <x v="6"/>
    <x v="3"/>
    <x v="13"/>
    <n v="1"/>
    <n v="1"/>
    <s v=""/>
    <s v=""/>
  </r>
  <r>
    <x v="6"/>
    <x v="6"/>
    <x v="3"/>
    <x v="5"/>
    <n v="8"/>
    <n v="7"/>
    <n v="1"/>
    <s v=""/>
  </r>
  <r>
    <x v="6"/>
    <x v="6"/>
    <x v="3"/>
    <x v="18"/>
    <n v="998"/>
    <n v="727"/>
    <n v="271"/>
    <s v=""/>
  </r>
  <r>
    <x v="6"/>
    <x v="6"/>
    <x v="3"/>
    <x v="2"/>
    <n v="18"/>
    <n v="15"/>
    <n v="3"/>
    <s v=""/>
  </r>
  <r>
    <x v="6"/>
    <x v="6"/>
    <x v="4"/>
    <x v="0"/>
    <n v="1038"/>
    <n v="785"/>
    <n v="253"/>
    <s v=""/>
  </r>
  <r>
    <x v="6"/>
    <x v="6"/>
    <x v="4"/>
    <x v="23"/>
    <n v="1"/>
    <n v="1"/>
    <s v=""/>
    <s v=""/>
  </r>
  <r>
    <x v="6"/>
    <x v="6"/>
    <x v="4"/>
    <x v="18"/>
    <n v="4"/>
    <n v="2"/>
    <n v="2"/>
    <s v=""/>
  </r>
  <r>
    <x v="6"/>
    <x v="6"/>
    <x v="4"/>
    <x v="30"/>
    <n v="1033"/>
    <n v="782"/>
    <n v="251"/>
    <s v=""/>
  </r>
  <r>
    <x v="6"/>
    <x v="6"/>
    <x v="5"/>
    <x v="0"/>
    <n v="1081"/>
    <n v="828"/>
    <n v="253"/>
    <s v=""/>
  </r>
  <r>
    <x v="6"/>
    <x v="6"/>
    <x v="5"/>
    <x v="32"/>
    <n v="1"/>
    <n v="1"/>
    <s v=""/>
    <s v=""/>
  </r>
  <r>
    <x v="6"/>
    <x v="6"/>
    <x v="5"/>
    <x v="38"/>
    <n v="1"/>
    <n v="1"/>
    <s v=""/>
    <s v=""/>
  </r>
  <r>
    <x v="6"/>
    <x v="6"/>
    <x v="5"/>
    <x v="16"/>
    <n v="1"/>
    <n v="1"/>
    <s v=""/>
    <s v=""/>
  </r>
  <r>
    <x v="6"/>
    <x v="6"/>
    <x v="5"/>
    <x v="41"/>
    <n v="1"/>
    <s v=""/>
    <n v="1"/>
    <s v=""/>
  </r>
  <r>
    <x v="6"/>
    <x v="6"/>
    <x v="5"/>
    <x v="4"/>
    <n v="1"/>
    <n v="1"/>
    <s v=""/>
    <s v=""/>
  </r>
  <r>
    <x v="6"/>
    <x v="6"/>
    <x v="5"/>
    <x v="30"/>
    <n v="14"/>
    <n v="8"/>
    <n v="6"/>
    <s v=""/>
  </r>
  <r>
    <x v="6"/>
    <x v="6"/>
    <x v="5"/>
    <x v="44"/>
    <n v="1062"/>
    <n v="816"/>
    <n v="246"/>
    <s v=""/>
  </r>
  <r>
    <x v="6"/>
    <x v="6"/>
    <x v="6"/>
    <x v="0"/>
    <n v="1027"/>
    <n v="795"/>
    <n v="232"/>
    <s v=""/>
  </r>
  <r>
    <x v="6"/>
    <x v="6"/>
    <x v="6"/>
    <x v="44"/>
    <n v="7"/>
    <n v="5"/>
    <n v="2"/>
    <s v=""/>
  </r>
  <r>
    <x v="6"/>
    <x v="6"/>
    <x v="6"/>
    <x v="50"/>
    <n v="1020"/>
    <n v="790"/>
    <n v="230"/>
    <s v=""/>
  </r>
  <r>
    <x v="6"/>
    <x v="6"/>
    <x v="7"/>
    <x v="0"/>
    <n v="965"/>
    <n v="748"/>
    <n v="217"/>
    <s v=""/>
  </r>
  <r>
    <x v="6"/>
    <x v="6"/>
    <x v="7"/>
    <x v="4"/>
    <n v="1"/>
    <n v="1"/>
    <s v=""/>
    <s v=""/>
  </r>
  <r>
    <x v="6"/>
    <x v="6"/>
    <x v="7"/>
    <x v="50"/>
    <n v="8"/>
    <n v="7"/>
    <n v="1"/>
    <s v=""/>
  </r>
  <r>
    <x v="6"/>
    <x v="6"/>
    <x v="7"/>
    <x v="57"/>
    <n v="955"/>
    <n v="739"/>
    <n v="216"/>
    <s v=""/>
  </r>
  <r>
    <x v="6"/>
    <x v="6"/>
    <x v="7"/>
    <x v="2"/>
    <n v="1"/>
    <n v="1"/>
    <s v=""/>
    <s v=""/>
  </r>
  <r>
    <x v="6"/>
    <x v="6"/>
    <x v="8"/>
    <x v="0"/>
    <n v="946"/>
    <n v="695"/>
    <n v="251"/>
    <s v=""/>
  </r>
  <r>
    <x v="6"/>
    <x v="6"/>
    <x v="8"/>
    <x v="58"/>
    <n v="1"/>
    <n v="1"/>
    <s v=""/>
    <s v=""/>
  </r>
  <r>
    <x v="6"/>
    <x v="6"/>
    <x v="8"/>
    <x v="57"/>
    <n v="4"/>
    <n v="2"/>
    <n v="2"/>
    <s v=""/>
  </r>
  <r>
    <x v="6"/>
    <x v="6"/>
    <x v="8"/>
    <x v="69"/>
    <n v="941"/>
    <n v="692"/>
    <n v="249"/>
    <s v=""/>
  </r>
  <r>
    <x v="6"/>
    <x v="6"/>
    <x v="9"/>
    <x v="0"/>
    <n v="808"/>
    <n v="601"/>
    <n v="207"/>
    <s v=""/>
  </r>
  <r>
    <x v="6"/>
    <x v="6"/>
    <x v="9"/>
    <x v="69"/>
    <n v="2"/>
    <n v="1"/>
    <n v="1"/>
    <s v=""/>
  </r>
  <r>
    <x v="6"/>
    <x v="6"/>
    <x v="9"/>
    <x v="71"/>
    <n v="806"/>
    <n v="600"/>
    <n v="206"/>
    <s v=""/>
  </r>
  <r>
    <x v="6"/>
    <x v="6"/>
    <x v="10"/>
    <x v="0"/>
    <n v="754"/>
    <n v="544"/>
    <n v="210"/>
    <s v=""/>
  </r>
  <r>
    <x v="6"/>
    <x v="6"/>
    <x v="10"/>
    <x v="71"/>
    <n v="7"/>
    <n v="4"/>
    <n v="3"/>
    <s v=""/>
  </r>
  <r>
    <x v="6"/>
    <x v="6"/>
    <x v="10"/>
    <x v="73"/>
    <n v="747"/>
    <n v="540"/>
    <n v="207"/>
    <s v=""/>
  </r>
  <r>
    <x v="6"/>
    <x v="6"/>
    <x v="11"/>
    <x v="0"/>
    <n v="845"/>
    <n v="588"/>
    <n v="257"/>
    <s v=""/>
  </r>
  <r>
    <x v="6"/>
    <x v="6"/>
    <x v="11"/>
    <x v="73"/>
    <n v="3"/>
    <n v="3"/>
    <s v=""/>
    <s v=""/>
  </r>
  <r>
    <x v="6"/>
    <x v="6"/>
    <x v="11"/>
    <x v="74"/>
    <n v="842"/>
    <n v="585"/>
    <n v="257"/>
    <s v=""/>
  </r>
  <r>
    <x v="6"/>
    <x v="6"/>
    <x v="12"/>
    <x v="0"/>
    <n v="750"/>
    <n v="556"/>
    <n v="194"/>
    <s v=""/>
  </r>
  <r>
    <x v="6"/>
    <x v="6"/>
    <x v="12"/>
    <x v="5"/>
    <n v="1"/>
    <n v="1"/>
    <s v=""/>
    <s v=""/>
  </r>
  <r>
    <x v="6"/>
    <x v="6"/>
    <x v="12"/>
    <x v="74"/>
    <n v="4"/>
    <n v="2"/>
    <n v="2"/>
    <s v=""/>
  </r>
  <r>
    <x v="6"/>
    <x v="6"/>
    <x v="12"/>
    <x v="77"/>
    <n v="745"/>
    <n v="553"/>
    <n v="192"/>
    <s v=""/>
  </r>
  <r>
    <x v="6"/>
    <x v="6"/>
    <x v="13"/>
    <x v="0"/>
    <n v="732"/>
    <n v="538"/>
    <n v="194"/>
    <s v=""/>
  </r>
  <r>
    <x v="6"/>
    <x v="6"/>
    <x v="13"/>
    <x v="74"/>
    <n v="2"/>
    <n v="1"/>
    <n v="1"/>
    <s v=""/>
  </r>
  <r>
    <x v="6"/>
    <x v="6"/>
    <x v="13"/>
    <x v="77"/>
    <n v="7"/>
    <n v="4"/>
    <n v="3"/>
    <s v=""/>
  </r>
  <r>
    <x v="6"/>
    <x v="6"/>
    <x v="13"/>
    <x v="78"/>
    <n v="723"/>
    <n v="533"/>
    <n v="190"/>
    <s v=""/>
  </r>
  <r>
    <x v="6"/>
    <x v="6"/>
    <x v="14"/>
    <x v="0"/>
    <n v="714"/>
    <n v="505"/>
    <n v="209"/>
    <s v=""/>
  </r>
  <r>
    <x v="6"/>
    <x v="6"/>
    <x v="14"/>
    <x v="74"/>
    <n v="1"/>
    <n v="1"/>
    <s v=""/>
    <s v=""/>
  </r>
  <r>
    <x v="6"/>
    <x v="6"/>
    <x v="14"/>
    <x v="78"/>
    <n v="6"/>
    <n v="5"/>
    <n v="1"/>
    <s v=""/>
  </r>
  <r>
    <x v="6"/>
    <x v="6"/>
    <x v="14"/>
    <x v="79"/>
    <n v="707"/>
    <n v="499"/>
    <n v="208"/>
    <s v=""/>
  </r>
  <r>
    <x v="6"/>
    <x v="6"/>
    <x v="15"/>
    <x v="0"/>
    <n v="699"/>
    <n v="516"/>
    <n v="183"/>
    <s v=""/>
  </r>
  <r>
    <x v="6"/>
    <x v="6"/>
    <x v="15"/>
    <x v="79"/>
    <n v="1"/>
    <n v="1"/>
    <s v=""/>
    <s v=""/>
  </r>
  <r>
    <x v="6"/>
    <x v="6"/>
    <x v="15"/>
    <x v="80"/>
    <n v="698"/>
    <n v="515"/>
    <n v="183"/>
    <s v=""/>
  </r>
  <r>
    <x v="6"/>
    <x v="6"/>
    <x v="16"/>
    <x v="0"/>
    <n v="696"/>
    <n v="481"/>
    <n v="215"/>
    <s v=""/>
  </r>
  <r>
    <x v="6"/>
    <x v="6"/>
    <x v="16"/>
    <x v="80"/>
    <n v="8"/>
    <n v="7"/>
    <n v="1"/>
    <s v=""/>
  </r>
  <r>
    <x v="6"/>
    <x v="6"/>
    <x v="16"/>
    <x v="81"/>
    <n v="688"/>
    <n v="474"/>
    <n v="214"/>
    <s v=""/>
  </r>
  <r>
    <x v="6"/>
    <x v="6"/>
    <x v="17"/>
    <x v="0"/>
    <n v="711"/>
    <n v="522"/>
    <n v="189"/>
    <s v=""/>
  </r>
  <r>
    <x v="6"/>
    <x v="6"/>
    <x v="17"/>
    <x v="81"/>
    <n v="17"/>
    <n v="14"/>
    <n v="3"/>
    <s v=""/>
  </r>
  <r>
    <x v="6"/>
    <x v="6"/>
    <x v="17"/>
    <x v="82"/>
    <n v="694"/>
    <n v="508"/>
    <n v="186"/>
    <s v=""/>
  </r>
  <r>
    <x v="6"/>
    <x v="6"/>
    <x v="18"/>
    <x v="0"/>
    <n v="698"/>
    <n v="527"/>
    <n v="171"/>
    <s v=""/>
  </r>
  <r>
    <x v="6"/>
    <x v="6"/>
    <x v="18"/>
    <x v="79"/>
    <n v="1"/>
    <n v="1"/>
    <s v=""/>
    <s v=""/>
  </r>
  <r>
    <x v="6"/>
    <x v="6"/>
    <x v="18"/>
    <x v="80"/>
    <n v="2"/>
    <s v=""/>
    <n v="2"/>
    <s v=""/>
  </r>
  <r>
    <x v="6"/>
    <x v="6"/>
    <x v="18"/>
    <x v="82"/>
    <n v="6"/>
    <n v="5"/>
    <n v="1"/>
    <s v=""/>
  </r>
  <r>
    <x v="6"/>
    <x v="6"/>
    <x v="18"/>
    <x v="83"/>
    <n v="689"/>
    <n v="521"/>
    <n v="168"/>
    <s v=""/>
  </r>
  <r>
    <x v="6"/>
    <x v="6"/>
    <x v="19"/>
    <x v="0"/>
    <n v="766"/>
    <n v="564"/>
    <n v="202"/>
    <s v=""/>
  </r>
  <r>
    <x v="6"/>
    <x v="6"/>
    <x v="19"/>
    <x v="83"/>
    <n v="13"/>
    <n v="8"/>
    <n v="5"/>
    <s v=""/>
  </r>
  <r>
    <x v="6"/>
    <x v="6"/>
    <x v="19"/>
    <x v="84"/>
    <n v="753"/>
    <n v="556"/>
    <n v="197"/>
    <s v=""/>
  </r>
  <r>
    <x v="6"/>
    <x v="6"/>
    <x v="20"/>
    <x v="0"/>
    <n v="725"/>
    <n v="542"/>
    <n v="183"/>
    <s v=""/>
  </r>
  <r>
    <x v="6"/>
    <x v="6"/>
    <x v="20"/>
    <x v="81"/>
    <n v="1"/>
    <n v="1"/>
    <s v=""/>
    <s v=""/>
  </r>
  <r>
    <x v="6"/>
    <x v="6"/>
    <x v="20"/>
    <x v="84"/>
    <n v="7"/>
    <n v="5"/>
    <n v="2"/>
    <s v=""/>
  </r>
  <r>
    <x v="6"/>
    <x v="6"/>
    <x v="20"/>
    <x v="85"/>
    <n v="717"/>
    <n v="536"/>
    <n v="181"/>
    <s v=""/>
  </r>
  <r>
    <x v="6"/>
    <x v="6"/>
    <x v="21"/>
    <x v="0"/>
    <n v="727"/>
    <n v="536"/>
    <n v="190"/>
    <n v="1"/>
  </r>
  <r>
    <x v="6"/>
    <x v="6"/>
    <x v="21"/>
    <x v="85"/>
    <n v="12"/>
    <n v="10"/>
    <n v="2"/>
    <s v=""/>
  </r>
  <r>
    <x v="6"/>
    <x v="6"/>
    <x v="21"/>
    <x v="86"/>
    <n v="715"/>
    <n v="526"/>
    <n v="188"/>
    <n v="1"/>
  </r>
  <r>
    <x v="6"/>
    <x v="6"/>
    <x v="22"/>
    <x v="0"/>
    <n v="802"/>
    <n v="595"/>
    <n v="207"/>
    <s v=""/>
  </r>
  <r>
    <x v="6"/>
    <x v="6"/>
    <x v="22"/>
    <x v="86"/>
    <n v="18"/>
    <n v="15"/>
    <n v="3"/>
    <s v=""/>
  </r>
  <r>
    <x v="6"/>
    <x v="6"/>
    <x v="22"/>
    <x v="87"/>
    <n v="784"/>
    <n v="580"/>
    <n v="204"/>
    <s v=""/>
  </r>
  <r>
    <x v="6"/>
    <x v="6"/>
    <x v="23"/>
    <x v="0"/>
    <n v="775"/>
    <n v="593"/>
    <n v="182"/>
    <s v=""/>
  </r>
  <r>
    <x v="6"/>
    <x v="6"/>
    <x v="23"/>
    <x v="87"/>
    <n v="11"/>
    <n v="8"/>
    <n v="3"/>
    <s v=""/>
  </r>
  <r>
    <x v="6"/>
    <x v="6"/>
    <x v="23"/>
    <x v="88"/>
    <n v="764"/>
    <n v="585"/>
    <n v="179"/>
    <s v=""/>
  </r>
  <r>
    <x v="6"/>
    <x v="6"/>
    <x v="24"/>
    <x v="0"/>
    <n v="743"/>
    <n v="555"/>
    <n v="187"/>
    <n v="1"/>
  </r>
  <r>
    <x v="6"/>
    <x v="6"/>
    <x v="24"/>
    <x v="88"/>
    <n v="6"/>
    <n v="3"/>
    <n v="3"/>
    <s v=""/>
  </r>
  <r>
    <x v="6"/>
    <x v="6"/>
    <x v="24"/>
    <x v="89"/>
    <n v="737"/>
    <n v="552"/>
    <n v="184"/>
    <n v="1"/>
  </r>
  <r>
    <x v="6"/>
    <x v="6"/>
    <x v="25"/>
    <x v="0"/>
    <n v="732"/>
    <n v="540"/>
    <n v="192"/>
    <s v=""/>
  </r>
  <r>
    <x v="6"/>
    <x v="6"/>
    <x v="25"/>
    <x v="89"/>
    <n v="8"/>
    <n v="6"/>
    <n v="2"/>
    <s v=""/>
  </r>
  <r>
    <x v="6"/>
    <x v="6"/>
    <x v="25"/>
    <x v="90"/>
    <n v="724"/>
    <n v="534"/>
    <n v="190"/>
    <s v=""/>
  </r>
  <r>
    <x v="6"/>
    <x v="6"/>
    <x v="26"/>
    <x v="0"/>
    <n v="803"/>
    <n v="602"/>
    <n v="201"/>
    <s v=""/>
  </r>
  <r>
    <x v="6"/>
    <x v="6"/>
    <x v="26"/>
    <x v="90"/>
    <n v="7"/>
    <n v="6"/>
    <n v="1"/>
    <s v=""/>
  </r>
  <r>
    <x v="6"/>
    <x v="6"/>
    <x v="26"/>
    <x v="91"/>
    <n v="796"/>
    <n v="596"/>
    <n v="200"/>
    <s v=""/>
  </r>
  <r>
    <x v="6"/>
    <x v="6"/>
    <x v="27"/>
    <x v="0"/>
    <n v="815"/>
    <n v="615"/>
    <n v="200"/>
    <s v=""/>
  </r>
  <r>
    <x v="6"/>
    <x v="6"/>
    <x v="27"/>
    <x v="90"/>
    <n v="1"/>
    <s v=""/>
    <n v="1"/>
    <s v=""/>
  </r>
  <r>
    <x v="6"/>
    <x v="6"/>
    <x v="27"/>
    <x v="92"/>
    <n v="814"/>
    <n v="615"/>
    <n v="199"/>
    <s v=""/>
  </r>
  <r>
    <x v="6"/>
    <x v="6"/>
    <x v="28"/>
    <x v="0"/>
    <n v="801"/>
    <n v="608"/>
    <n v="193"/>
    <s v=""/>
  </r>
  <r>
    <x v="6"/>
    <x v="6"/>
    <x v="28"/>
    <x v="85"/>
    <n v="1"/>
    <s v=""/>
    <n v="1"/>
    <s v=""/>
  </r>
  <r>
    <x v="6"/>
    <x v="6"/>
    <x v="28"/>
    <x v="92"/>
    <n v="4"/>
    <n v="3"/>
    <n v="1"/>
    <s v=""/>
  </r>
  <r>
    <x v="6"/>
    <x v="6"/>
    <x v="28"/>
    <x v="93"/>
    <n v="796"/>
    <n v="605"/>
    <n v="191"/>
    <s v=""/>
  </r>
  <r>
    <x v="6"/>
    <x v="6"/>
    <x v="29"/>
    <x v="0"/>
    <n v="763"/>
    <n v="563"/>
    <n v="200"/>
    <s v=""/>
  </r>
  <r>
    <x v="6"/>
    <x v="6"/>
    <x v="29"/>
    <x v="93"/>
    <n v="2"/>
    <n v="2"/>
    <s v=""/>
    <s v=""/>
  </r>
  <r>
    <x v="6"/>
    <x v="6"/>
    <x v="29"/>
    <x v="94"/>
    <n v="761"/>
    <n v="561"/>
    <n v="200"/>
    <s v=""/>
  </r>
  <r>
    <x v="6"/>
    <x v="6"/>
    <x v="30"/>
    <x v="0"/>
    <n v="819"/>
    <n v="592"/>
    <n v="227"/>
    <s v=""/>
  </r>
  <r>
    <x v="6"/>
    <x v="6"/>
    <x v="30"/>
    <x v="94"/>
    <n v="1"/>
    <n v="1"/>
    <s v=""/>
    <s v=""/>
  </r>
  <r>
    <x v="6"/>
    <x v="6"/>
    <x v="30"/>
    <x v="95"/>
    <n v="818"/>
    <n v="591"/>
    <n v="227"/>
    <s v=""/>
  </r>
  <r>
    <x v="6"/>
    <x v="6"/>
    <x v="31"/>
    <x v="0"/>
    <n v="763"/>
    <n v="560"/>
    <n v="203"/>
    <s v=""/>
  </r>
  <r>
    <x v="6"/>
    <x v="6"/>
    <x v="31"/>
    <x v="95"/>
    <n v="1"/>
    <n v="1"/>
    <s v=""/>
    <s v=""/>
  </r>
  <r>
    <x v="6"/>
    <x v="6"/>
    <x v="31"/>
    <x v="96"/>
    <n v="762"/>
    <n v="559"/>
    <n v="203"/>
    <s v=""/>
  </r>
  <r>
    <x v="6"/>
    <x v="6"/>
    <x v="32"/>
    <x v="0"/>
    <n v="618"/>
    <n v="451"/>
    <n v="167"/>
    <s v=""/>
  </r>
  <r>
    <x v="6"/>
    <x v="6"/>
    <x v="32"/>
    <x v="85"/>
    <n v="1"/>
    <n v="1"/>
    <s v=""/>
    <s v=""/>
  </r>
  <r>
    <x v="6"/>
    <x v="6"/>
    <x v="32"/>
    <x v="96"/>
    <n v="3"/>
    <n v="3"/>
    <s v=""/>
    <s v=""/>
  </r>
  <r>
    <x v="6"/>
    <x v="6"/>
    <x v="32"/>
    <x v="97"/>
    <n v="614"/>
    <n v="447"/>
    <n v="167"/>
    <s v=""/>
  </r>
  <r>
    <x v="6"/>
    <x v="6"/>
    <x v="33"/>
    <x v="0"/>
    <n v="666"/>
    <n v="507"/>
    <n v="159"/>
    <s v=""/>
  </r>
  <r>
    <x v="6"/>
    <x v="6"/>
    <x v="33"/>
    <x v="93"/>
    <n v="1"/>
    <n v="1"/>
    <s v=""/>
    <s v=""/>
  </r>
  <r>
    <x v="6"/>
    <x v="6"/>
    <x v="33"/>
    <x v="97"/>
    <n v="3"/>
    <n v="3"/>
    <s v=""/>
    <s v=""/>
  </r>
  <r>
    <x v="6"/>
    <x v="6"/>
    <x v="33"/>
    <x v="98"/>
    <n v="662"/>
    <n v="503"/>
    <n v="159"/>
    <s v=""/>
  </r>
  <r>
    <x v="6"/>
    <x v="6"/>
    <x v="34"/>
    <x v="0"/>
    <n v="682"/>
    <n v="509"/>
    <n v="173"/>
    <s v=""/>
  </r>
  <r>
    <x v="6"/>
    <x v="6"/>
    <x v="34"/>
    <x v="95"/>
    <n v="1"/>
    <s v=""/>
    <n v="1"/>
    <s v=""/>
  </r>
  <r>
    <x v="6"/>
    <x v="6"/>
    <x v="34"/>
    <x v="97"/>
    <n v="1"/>
    <n v="1"/>
    <s v=""/>
    <s v=""/>
  </r>
  <r>
    <x v="6"/>
    <x v="6"/>
    <x v="34"/>
    <x v="98"/>
    <n v="1"/>
    <s v=""/>
    <n v="1"/>
    <s v=""/>
  </r>
  <r>
    <x v="6"/>
    <x v="6"/>
    <x v="34"/>
    <x v="99"/>
    <n v="679"/>
    <n v="508"/>
    <n v="171"/>
    <s v=""/>
  </r>
  <r>
    <x v="7"/>
    <x v="7"/>
    <x v="0"/>
    <x v="0"/>
    <n v="1179"/>
    <n v="886"/>
    <n v="293"/>
    <s v=""/>
  </r>
  <r>
    <x v="7"/>
    <x v="7"/>
    <x v="0"/>
    <x v="1"/>
    <n v="1147"/>
    <n v="862"/>
    <n v="285"/>
    <s v=""/>
  </r>
  <r>
    <x v="7"/>
    <x v="7"/>
    <x v="0"/>
    <x v="2"/>
    <n v="32"/>
    <n v="24"/>
    <n v="8"/>
    <s v=""/>
  </r>
  <r>
    <x v="7"/>
    <x v="7"/>
    <x v="1"/>
    <x v="0"/>
    <n v="1214"/>
    <n v="911"/>
    <n v="303"/>
    <s v=""/>
  </r>
  <r>
    <x v="7"/>
    <x v="7"/>
    <x v="1"/>
    <x v="4"/>
    <n v="1193"/>
    <n v="892"/>
    <n v="301"/>
    <s v=""/>
  </r>
  <r>
    <x v="7"/>
    <x v="7"/>
    <x v="1"/>
    <x v="2"/>
    <n v="21"/>
    <n v="19"/>
    <n v="2"/>
    <s v=""/>
  </r>
  <r>
    <x v="7"/>
    <x v="7"/>
    <x v="2"/>
    <x v="0"/>
    <n v="1190"/>
    <n v="929"/>
    <n v="261"/>
    <s v=""/>
  </r>
  <r>
    <x v="7"/>
    <x v="7"/>
    <x v="2"/>
    <x v="5"/>
    <n v="1174"/>
    <n v="918"/>
    <n v="256"/>
    <s v=""/>
  </r>
  <r>
    <x v="7"/>
    <x v="7"/>
    <x v="2"/>
    <x v="2"/>
    <n v="16"/>
    <n v="11"/>
    <n v="5"/>
    <s v=""/>
  </r>
  <r>
    <x v="7"/>
    <x v="7"/>
    <x v="3"/>
    <x v="0"/>
    <n v="1164"/>
    <n v="881"/>
    <n v="283"/>
    <s v=""/>
  </r>
  <r>
    <x v="7"/>
    <x v="7"/>
    <x v="3"/>
    <x v="4"/>
    <n v="1"/>
    <n v="1"/>
    <s v=""/>
    <s v=""/>
  </r>
  <r>
    <x v="7"/>
    <x v="7"/>
    <x v="3"/>
    <x v="5"/>
    <n v="6"/>
    <n v="5"/>
    <n v="1"/>
    <s v=""/>
  </r>
  <r>
    <x v="7"/>
    <x v="7"/>
    <x v="3"/>
    <x v="18"/>
    <n v="1143"/>
    <n v="864"/>
    <n v="279"/>
    <s v=""/>
  </r>
  <r>
    <x v="7"/>
    <x v="7"/>
    <x v="3"/>
    <x v="2"/>
    <n v="14"/>
    <n v="11"/>
    <n v="3"/>
    <s v=""/>
  </r>
  <r>
    <x v="7"/>
    <x v="7"/>
    <x v="4"/>
    <x v="0"/>
    <n v="1178"/>
    <n v="891"/>
    <n v="286"/>
    <n v="1"/>
  </r>
  <r>
    <x v="7"/>
    <x v="7"/>
    <x v="4"/>
    <x v="18"/>
    <n v="9"/>
    <n v="7"/>
    <n v="2"/>
    <s v=""/>
  </r>
  <r>
    <x v="7"/>
    <x v="7"/>
    <x v="4"/>
    <x v="30"/>
    <n v="1169"/>
    <n v="884"/>
    <n v="284"/>
    <n v="1"/>
  </r>
  <r>
    <x v="7"/>
    <x v="7"/>
    <x v="5"/>
    <x v="0"/>
    <n v="1251"/>
    <n v="987"/>
    <n v="264"/>
    <s v=""/>
  </r>
  <r>
    <x v="7"/>
    <x v="7"/>
    <x v="5"/>
    <x v="30"/>
    <n v="12"/>
    <n v="11"/>
    <n v="1"/>
    <s v=""/>
  </r>
  <r>
    <x v="7"/>
    <x v="7"/>
    <x v="5"/>
    <x v="44"/>
    <n v="1239"/>
    <n v="976"/>
    <n v="263"/>
    <s v=""/>
  </r>
  <r>
    <x v="7"/>
    <x v="7"/>
    <x v="6"/>
    <x v="0"/>
    <n v="1150"/>
    <n v="888"/>
    <n v="262"/>
    <s v=""/>
  </r>
  <r>
    <x v="7"/>
    <x v="7"/>
    <x v="6"/>
    <x v="46"/>
    <n v="1"/>
    <n v="1"/>
    <s v=""/>
    <s v=""/>
  </r>
  <r>
    <x v="7"/>
    <x v="7"/>
    <x v="6"/>
    <x v="44"/>
    <n v="10"/>
    <n v="9"/>
    <n v="1"/>
    <s v=""/>
  </r>
  <r>
    <x v="7"/>
    <x v="7"/>
    <x v="6"/>
    <x v="50"/>
    <n v="1139"/>
    <n v="878"/>
    <n v="261"/>
    <s v=""/>
  </r>
  <r>
    <x v="7"/>
    <x v="7"/>
    <x v="7"/>
    <x v="0"/>
    <n v="1199"/>
    <n v="904"/>
    <n v="295"/>
    <s v=""/>
  </r>
  <r>
    <x v="7"/>
    <x v="7"/>
    <x v="7"/>
    <x v="5"/>
    <n v="1"/>
    <n v="1"/>
    <s v=""/>
    <s v=""/>
  </r>
  <r>
    <x v="7"/>
    <x v="7"/>
    <x v="7"/>
    <x v="44"/>
    <n v="1"/>
    <n v="1"/>
    <s v=""/>
    <s v=""/>
  </r>
  <r>
    <x v="7"/>
    <x v="7"/>
    <x v="7"/>
    <x v="50"/>
    <n v="9"/>
    <n v="7"/>
    <n v="2"/>
    <s v=""/>
  </r>
  <r>
    <x v="7"/>
    <x v="7"/>
    <x v="7"/>
    <x v="57"/>
    <n v="1188"/>
    <n v="895"/>
    <n v="293"/>
    <s v=""/>
  </r>
  <r>
    <x v="7"/>
    <x v="7"/>
    <x v="8"/>
    <x v="0"/>
    <n v="1131"/>
    <n v="838"/>
    <n v="293"/>
    <s v=""/>
  </r>
  <r>
    <x v="7"/>
    <x v="7"/>
    <x v="8"/>
    <x v="64"/>
    <n v="1"/>
    <s v=""/>
    <n v="1"/>
    <s v=""/>
  </r>
  <r>
    <x v="7"/>
    <x v="7"/>
    <x v="8"/>
    <x v="1"/>
    <n v="1"/>
    <n v="1"/>
    <s v=""/>
    <s v=""/>
  </r>
  <r>
    <x v="7"/>
    <x v="7"/>
    <x v="8"/>
    <x v="18"/>
    <n v="1"/>
    <n v="1"/>
    <s v=""/>
    <s v=""/>
  </r>
  <r>
    <x v="7"/>
    <x v="7"/>
    <x v="8"/>
    <x v="57"/>
    <n v="11"/>
    <n v="9"/>
    <n v="2"/>
    <s v=""/>
  </r>
  <r>
    <x v="7"/>
    <x v="7"/>
    <x v="8"/>
    <x v="69"/>
    <n v="1117"/>
    <n v="827"/>
    <n v="290"/>
    <s v=""/>
  </r>
  <r>
    <x v="7"/>
    <x v="7"/>
    <x v="9"/>
    <x v="0"/>
    <n v="1001"/>
    <n v="759"/>
    <n v="241"/>
    <n v="1"/>
  </r>
  <r>
    <x v="7"/>
    <x v="7"/>
    <x v="9"/>
    <x v="69"/>
    <n v="11"/>
    <n v="10"/>
    <n v="1"/>
    <s v=""/>
  </r>
  <r>
    <x v="7"/>
    <x v="7"/>
    <x v="9"/>
    <x v="71"/>
    <n v="990"/>
    <n v="749"/>
    <n v="240"/>
    <n v="1"/>
  </r>
  <r>
    <x v="7"/>
    <x v="7"/>
    <x v="10"/>
    <x v="0"/>
    <n v="1039"/>
    <n v="780"/>
    <n v="259"/>
    <s v=""/>
  </r>
  <r>
    <x v="7"/>
    <x v="7"/>
    <x v="10"/>
    <x v="71"/>
    <n v="8"/>
    <n v="8"/>
    <s v=""/>
    <s v=""/>
  </r>
  <r>
    <x v="7"/>
    <x v="7"/>
    <x v="10"/>
    <x v="73"/>
    <n v="1031"/>
    <n v="772"/>
    <n v="259"/>
    <s v=""/>
  </r>
  <r>
    <x v="7"/>
    <x v="7"/>
    <x v="11"/>
    <x v="0"/>
    <n v="965"/>
    <n v="731"/>
    <n v="234"/>
    <s v=""/>
  </r>
  <r>
    <x v="7"/>
    <x v="7"/>
    <x v="11"/>
    <x v="73"/>
    <n v="7"/>
    <n v="6"/>
    <n v="1"/>
    <s v=""/>
  </r>
  <r>
    <x v="7"/>
    <x v="7"/>
    <x v="11"/>
    <x v="74"/>
    <n v="958"/>
    <n v="725"/>
    <n v="233"/>
    <s v=""/>
  </r>
  <r>
    <x v="7"/>
    <x v="7"/>
    <x v="12"/>
    <x v="0"/>
    <n v="993"/>
    <n v="746"/>
    <n v="247"/>
    <s v=""/>
  </r>
  <r>
    <x v="7"/>
    <x v="7"/>
    <x v="12"/>
    <x v="74"/>
    <n v="9"/>
    <n v="8"/>
    <n v="1"/>
    <s v=""/>
  </r>
  <r>
    <x v="7"/>
    <x v="7"/>
    <x v="12"/>
    <x v="77"/>
    <n v="984"/>
    <n v="738"/>
    <n v="246"/>
    <s v=""/>
  </r>
  <r>
    <x v="7"/>
    <x v="7"/>
    <x v="13"/>
    <x v="0"/>
    <n v="931"/>
    <n v="663"/>
    <n v="268"/>
    <s v=""/>
  </r>
  <r>
    <x v="7"/>
    <x v="7"/>
    <x v="13"/>
    <x v="48"/>
    <n v="1"/>
    <s v=""/>
    <n v="1"/>
    <s v=""/>
  </r>
  <r>
    <x v="7"/>
    <x v="7"/>
    <x v="13"/>
    <x v="77"/>
    <n v="9"/>
    <n v="7"/>
    <n v="2"/>
    <s v=""/>
  </r>
  <r>
    <x v="7"/>
    <x v="7"/>
    <x v="13"/>
    <x v="78"/>
    <n v="921"/>
    <n v="656"/>
    <n v="265"/>
    <s v=""/>
  </r>
  <r>
    <x v="7"/>
    <x v="7"/>
    <x v="14"/>
    <x v="0"/>
    <n v="821"/>
    <n v="620"/>
    <n v="201"/>
    <s v=""/>
  </r>
  <r>
    <x v="7"/>
    <x v="7"/>
    <x v="14"/>
    <x v="78"/>
    <n v="14"/>
    <n v="14"/>
    <s v=""/>
    <s v=""/>
  </r>
  <r>
    <x v="7"/>
    <x v="7"/>
    <x v="14"/>
    <x v="79"/>
    <n v="807"/>
    <n v="606"/>
    <n v="201"/>
    <s v=""/>
  </r>
  <r>
    <x v="7"/>
    <x v="7"/>
    <x v="15"/>
    <x v="0"/>
    <n v="805"/>
    <n v="592"/>
    <n v="213"/>
    <s v=""/>
  </r>
  <r>
    <x v="7"/>
    <x v="7"/>
    <x v="15"/>
    <x v="77"/>
    <n v="1"/>
    <n v="1"/>
    <s v=""/>
    <s v=""/>
  </r>
  <r>
    <x v="7"/>
    <x v="7"/>
    <x v="15"/>
    <x v="79"/>
    <n v="3"/>
    <n v="3"/>
    <s v=""/>
    <s v=""/>
  </r>
  <r>
    <x v="7"/>
    <x v="7"/>
    <x v="15"/>
    <x v="80"/>
    <n v="801"/>
    <n v="588"/>
    <n v="213"/>
    <s v=""/>
  </r>
  <r>
    <x v="7"/>
    <x v="7"/>
    <x v="16"/>
    <x v="0"/>
    <n v="768"/>
    <n v="558"/>
    <n v="210"/>
    <s v=""/>
  </r>
  <r>
    <x v="7"/>
    <x v="7"/>
    <x v="16"/>
    <x v="73"/>
    <n v="1"/>
    <n v="1"/>
    <s v=""/>
    <s v=""/>
  </r>
  <r>
    <x v="7"/>
    <x v="7"/>
    <x v="16"/>
    <x v="74"/>
    <n v="1"/>
    <n v="1"/>
    <s v=""/>
    <s v=""/>
  </r>
  <r>
    <x v="7"/>
    <x v="7"/>
    <x v="16"/>
    <x v="80"/>
    <n v="13"/>
    <n v="10"/>
    <n v="3"/>
    <s v=""/>
  </r>
  <r>
    <x v="7"/>
    <x v="7"/>
    <x v="16"/>
    <x v="81"/>
    <n v="753"/>
    <n v="546"/>
    <n v="207"/>
    <s v=""/>
  </r>
  <r>
    <x v="7"/>
    <x v="7"/>
    <x v="17"/>
    <x v="0"/>
    <n v="849"/>
    <n v="609"/>
    <n v="240"/>
    <s v=""/>
  </r>
  <r>
    <x v="7"/>
    <x v="7"/>
    <x v="17"/>
    <x v="80"/>
    <n v="1"/>
    <n v="1"/>
    <s v=""/>
    <s v=""/>
  </r>
  <r>
    <x v="7"/>
    <x v="7"/>
    <x v="17"/>
    <x v="81"/>
    <n v="24"/>
    <n v="21"/>
    <n v="3"/>
    <s v=""/>
  </r>
  <r>
    <x v="7"/>
    <x v="7"/>
    <x v="17"/>
    <x v="82"/>
    <n v="824"/>
    <n v="587"/>
    <n v="237"/>
    <s v=""/>
  </r>
  <r>
    <x v="7"/>
    <x v="7"/>
    <x v="18"/>
    <x v="0"/>
    <n v="784"/>
    <n v="552"/>
    <n v="232"/>
    <s v=""/>
  </r>
  <r>
    <x v="7"/>
    <x v="7"/>
    <x v="18"/>
    <x v="79"/>
    <n v="6"/>
    <n v="3"/>
    <n v="3"/>
    <s v=""/>
  </r>
  <r>
    <x v="7"/>
    <x v="7"/>
    <x v="18"/>
    <x v="80"/>
    <n v="6"/>
    <n v="5"/>
    <n v="1"/>
    <s v=""/>
  </r>
  <r>
    <x v="7"/>
    <x v="7"/>
    <x v="18"/>
    <x v="82"/>
    <n v="16"/>
    <n v="13"/>
    <n v="3"/>
    <s v=""/>
  </r>
  <r>
    <x v="7"/>
    <x v="7"/>
    <x v="18"/>
    <x v="83"/>
    <n v="756"/>
    <n v="531"/>
    <n v="225"/>
    <s v=""/>
  </r>
  <r>
    <x v="7"/>
    <x v="7"/>
    <x v="19"/>
    <x v="0"/>
    <n v="872"/>
    <n v="629"/>
    <n v="243"/>
    <s v=""/>
  </r>
  <r>
    <x v="7"/>
    <x v="7"/>
    <x v="19"/>
    <x v="80"/>
    <n v="1"/>
    <n v="1"/>
    <s v=""/>
    <s v=""/>
  </r>
  <r>
    <x v="7"/>
    <x v="7"/>
    <x v="19"/>
    <x v="83"/>
    <n v="20"/>
    <n v="16"/>
    <n v="4"/>
    <s v=""/>
  </r>
  <r>
    <x v="7"/>
    <x v="7"/>
    <x v="19"/>
    <x v="84"/>
    <n v="851"/>
    <n v="612"/>
    <n v="239"/>
    <s v=""/>
  </r>
  <r>
    <x v="7"/>
    <x v="7"/>
    <x v="20"/>
    <x v="0"/>
    <n v="828"/>
    <n v="643"/>
    <n v="185"/>
    <s v=""/>
  </r>
  <r>
    <x v="7"/>
    <x v="7"/>
    <x v="20"/>
    <x v="84"/>
    <n v="17"/>
    <n v="16"/>
    <n v="1"/>
    <s v=""/>
  </r>
  <r>
    <x v="7"/>
    <x v="7"/>
    <x v="20"/>
    <x v="85"/>
    <n v="811"/>
    <n v="627"/>
    <n v="184"/>
    <s v=""/>
  </r>
  <r>
    <x v="7"/>
    <x v="7"/>
    <x v="21"/>
    <x v="0"/>
    <n v="827"/>
    <n v="613"/>
    <n v="211"/>
    <n v="3"/>
  </r>
  <r>
    <x v="7"/>
    <x v="7"/>
    <x v="21"/>
    <x v="85"/>
    <n v="24"/>
    <n v="15"/>
    <n v="9"/>
    <s v=""/>
  </r>
  <r>
    <x v="7"/>
    <x v="7"/>
    <x v="21"/>
    <x v="86"/>
    <n v="803"/>
    <n v="598"/>
    <n v="202"/>
    <n v="3"/>
  </r>
  <r>
    <x v="7"/>
    <x v="7"/>
    <x v="22"/>
    <x v="0"/>
    <n v="824"/>
    <n v="622"/>
    <n v="202"/>
    <s v=""/>
  </r>
  <r>
    <x v="7"/>
    <x v="7"/>
    <x v="22"/>
    <x v="86"/>
    <n v="16"/>
    <n v="12"/>
    <n v="4"/>
    <s v=""/>
  </r>
  <r>
    <x v="7"/>
    <x v="7"/>
    <x v="22"/>
    <x v="87"/>
    <n v="808"/>
    <n v="610"/>
    <n v="198"/>
    <s v=""/>
  </r>
  <r>
    <x v="7"/>
    <x v="7"/>
    <x v="23"/>
    <x v="0"/>
    <n v="891"/>
    <n v="674"/>
    <n v="217"/>
    <s v=""/>
  </r>
  <r>
    <x v="7"/>
    <x v="7"/>
    <x v="23"/>
    <x v="87"/>
    <n v="22"/>
    <n v="17"/>
    <n v="5"/>
    <s v=""/>
  </r>
  <r>
    <x v="7"/>
    <x v="7"/>
    <x v="23"/>
    <x v="88"/>
    <n v="869"/>
    <n v="657"/>
    <n v="212"/>
    <s v=""/>
  </r>
  <r>
    <x v="7"/>
    <x v="7"/>
    <x v="24"/>
    <x v="0"/>
    <n v="841"/>
    <n v="616"/>
    <n v="223"/>
    <n v="2"/>
  </r>
  <r>
    <x v="7"/>
    <x v="7"/>
    <x v="24"/>
    <x v="88"/>
    <n v="19"/>
    <n v="15"/>
    <n v="4"/>
    <s v=""/>
  </r>
  <r>
    <x v="7"/>
    <x v="7"/>
    <x v="24"/>
    <x v="89"/>
    <n v="822"/>
    <n v="601"/>
    <n v="219"/>
    <n v="2"/>
  </r>
  <r>
    <x v="7"/>
    <x v="7"/>
    <x v="25"/>
    <x v="0"/>
    <n v="852"/>
    <n v="636"/>
    <n v="214"/>
    <n v="2"/>
  </r>
  <r>
    <x v="7"/>
    <x v="7"/>
    <x v="25"/>
    <x v="89"/>
    <n v="20"/>
    <n v="15"/>
    <n v="5"/>
    <s v=""/>
  </r>
  <r>
    <x v="7"/>
    <x v="7"/>
    <x v="25"/>
    <x v="90"/>
    <n v="832"/>
    <n v="621"/>
    <n v="209"/>
    <n v="2"/>
  </r>
  <r>
    <x v="7"/>
    <x v="7"/>
    <x v="26"/>
    <x v="0"/>
    <n v="949"/>
    <n v="707"/>
    <n v="242"/>
    <s v=""/>
  </r>
  <r>
    <x v="7"/>
    <x v="7"/>
    <x v="26"/>
    <x v="89"/>
    <n v="1"/>
    <s v=""/>
    <n v="1"/>
    <s v=""/>
  </r>
  <r>
    <x v="7"/>
    <x v="7"/>
    <x v="26"/>
    <x v="90"/>
    <n v="7"/>
    <n v="6"/>
    <n v="1"/>
    <s v=""/>
  </r>
  <r>
    <x v="7"/>
    <x v="7"/>
    <x v="26"/>
    <x v="91"/>
    <n v="941"/>
    <n v="701"/>
    <n v="240"/>
    <s v=""/>
  </r>
  <r>
    <x v="7"/>
    <x v="7"/>
    <x v="27"/>
    <x v="0"/>
    <n v="946"/>
    <n v="708"/>
    <n v="238"/>
    <s v=""/>
  </r>
  <r>
    <x v="7"/>
    <x v="7"/>
    <x v="27"/>
    <x v="91"/>
    <n v="1"/>
    <n v="1"/>
    <s v=""/>
    <s v=""/>
  </r>
  <r>
    <x v="7"/>
    <x v="7"/>
    <x v="27"/>
    <x v="92"/>
    <n v="945"/>
    <n v="707"/>
    <n v="238"/>
    <s v=""/>
  </r>
  <r>
    <x v="7"/>
    <x v="7"/>
    <x v="28"/>
    <x v="0"/>
    <n v="973"/>
    <n v="745"/>
    <n v="228"/>
    <s v=""/>
  </r>
  <r>
    <x v="7"/>
    <x v="7"/>
    <x v="28"/>
    <x v="92"/>
    <n v="4"/>
    <n v="3"/>
    <n v="1"/>
    <s v=""/>
  </r>
  <r>
    <x v="7"/>
    <x v="7"/>
    <x v="28"/>
    <x v="93"/>
    <n v="969"/>
    <n v="742"/>
    <n v="227"/>
    <s v=""/>
  </r>
  <r>
    <x v="7"/>
    <x v="7"/>
    <x v="29"/>
    <x v="0"/>
    <n v="997"/>
    <n v="750"/>
    <n v="247"/>
    <s v=""/>
  </r>
  <r>
    <x v="7"/>
    <x v="7"/>
    <x v="29"/>
    <x v="93"/>
    <n v="5"/>
    <n v="5"/>
    <s v=""/>
    <s v=""/>
  </r>
  <r>
    <x v="7"/>
    <x v="7"/>
    <x v="29"/>
    <x v="94"/>
    <n v="992"/>
    <n v="745"/>
    <n v="247"/>
    <s v=""/>
  </r>
  <r>
    <x v="7"/>
    <x v="7"/>
    <x v="30"/>
    <x v="0"/>
    <n v="1201"/>
    <n v="897"/>
    <n v="304"/>
    <s v=""/>
  </r>
  <r>
    <x v="7"/>
    <x v="7"/>
    <x v="30"/>
    <x v="94"/>
    <n v="3"/>
    <n v="1"/>
    <n v="2"/>
    <s v=""/>
  </r>
  <r>
    <x v="7"/>
    <x v="7"/>
    <x v="30"/>
    <x v="95"/>
    <n v="1197"/>
    <n v="895"/>
    <n v="302"/>
    <s v=""/>
  </r>
  <r>
    <x v="7"/>
    <x v="7"/>
    <x v="30"/>
    <x v="2"/>
    <n v="1"/>
    <n v="1"/>
    <s v=""/>
    <s v=""/>
  </r>
  <r>
    <x v="7"/>
    <x v="7"/>
    <x v="31"/>
    <x v="0"/>
    <n v="1220"/>
    <n v="884"/>
    <n v="336"/>
    <s v=""/>
  </r>
  <r>
    <x v="7"/>
    <x v="7"/>
    <x v="31"/>
    <x v="95"/>
    <n v="4"/>
    <n v="2"/>
    <n v="2"/>
    <s v=""/>
  </r>
  <r>
    <x v="7"/>
    <x v="7"/>
    <x v="31"/>
    <x v="96"/>
    <n v="1216"/>
    <n v="882"/>
    <n v="334"/>
    <s v=""/>
  </r>
  <r>
    <x v="7"/>
    <x v="7"/>
    <x v="32"/>
    <x v="0"/>
    <n v="881"/>
    <n v="663"/>
    <n v="218"/>
    <s v=""/>
  </r>
  <r>
    <x v="7"/>
    <x v="7"/>
    <x v="32"/>
    <x v="84"/>
    <n v="1"/>
    <n v="1"/>
    <s v=""/>
    <s v=""/>
  </r>
  <r>
    <x v="7"/>
    <x v="7"/>
    <x v="32"/>
    <x v="94"/>
    <n v="1"/>
    <n v="1"/>
    <s v=""/>
    <s v=""/>
  </r>
  <r>
    <x v="7"/>
    <x v="7"/>
    <x v="32"/>
    <x v="96"/>
    <n v="3"/>
    <n v="3"/>
    <s v=""/>
    <s v=""/>
  </r>
  <r>
    <x v="7"/>
    <x v="7"/>
    <x v="32"/>
    <x v="97"/>
    <n v="876"/>
    <n v="658"/>
    <n v="218"/>
    <s v=""/>
  </r>
  <r>
    <x v="7"/>
    <x v="7"/>
    <x v="33"/>
    <x v="0"/>
    <n v="877"/>
    <n v="684"/>
    <n v="193"/>
    <s v=""/>
  </r>
  <r>
    <x v="7"/>
    <x v="7"/>
    <x v="33"/>
    <x v="97"/>
    <n v="4"/>
    <n v="3"/>
    <n v="1"/>
    <s v=""/>
  </r>
  <r>
    <x v="7"/>
    <x v="7"/>
    <x v="33"/>
    <x v="98"/>
    <n v="872"/>
    <n v="681"/>
    <n v="191"/>
    <s v=""/>
  </r>
  <r>
    <x v="7"/>
    <x v="7"/>
    <x v="33"/>
    <x v="2"/>
    <n v="1"/>
    <s v=""/>
    <n v="1"/>
    <s v=""/>
  </r>
  <r>
    <x v="7"/>
    <x v="7"/>
    <x v="34"/>
    <x v="0"/>
    <n v="821"/>
    <n v="634"/>
    <n v="187"/>
    <s v=""/>
  </r>
  <r>
    <x v="7"/>
    <x v="7"/>
    <x v="34"/>
    <x v="98"/>
    <n v="6"/>
    <n v="5"/>
    <n v="1"/>
    <s v=""/>
  </r>
  <r>
    <x v="7"/>
    <x v="7"/>
    <x v="34"/>
    <x v="99"/>
    <n v="815"/>
    <n v="629"/>
    <n v="186"/>
    <s v=""/>
  </r>
  <r>
    <x v="8"/>
    <x v="8"/>
    <x v="0"/>
    <x v="0"/>
    <n v="1176"/>
    <n v="862"/>
    <n v="312"/>
    <n v="2"/>
  </r>
  <r>
    <x v="8"/>
    <x v="8"/>
    <x v="0"/>
    <x v="1"/>
    <n v="1163"/>
    <n v="851"/>
    <n v="310"/>
    <n v="2"/>
  </r>
  <r>
    <x v="8"/>
    <x v="8"/>
    <x v="0"/>
    <x v="2"/>
    <n v="13"/>
    <n v="11"/>
    <n v="2"/>
    <s v=""/>
  </r>
  <r>
    <x v="8"/>
    <x v="8"/>
    <x v="1"/>
    <x v="0"/>
    <n v="1332"/>
    <n v="1006"/>
    <n v="326"/>
    <s v=""/>
  </r>
  <r>
    <x v="8"/>
    <x v="8"/>
    <x v="1"/>
    <x v="4"/>
    <n v="1318"/>
    <n v="994"/>
    <n v="324"/>
    <s v=""/>
  </r>
  <r>
    <x v="8"/>
    <x v="8"/>
    <x v="1"/>
    <x v="2"/>
    <n v="14"/>
    <n v="12"/>
    <n v="2"/>
    <s v=""/>
  </r>
  <r>
    <x v="8"/>
    <x v="8"/>
    <x v="2"/>
    <x v="0"/>
    <n v="1333"/>
    <n v="1019"/>
    <n v="314"/>
    <s v=""/>
  </r>
  <r>
    <x v="8"/>
    <x v="8"/>
    <x v="2"/>
    <x v="5"/>
    <n v="1314"/>
    <n v="1002"/>
    <n v="312"/>
    <s v=""/>
  </r>
  <r>
    <x v="8"/>
    <x v="8"/>
    <x v="2"/>
    <x v="2"/>
    <n v="19"/>
    <n v="17"/>
    <n v="2"/>
    <s v=""/>
  </r>
  <r>
    <x v="8"/>
    <x v="8"/>
    <x v="3"/>
    <x v="0"/>
    <n v="1364"/>
    <n v="1034"/>
    <n v="330"/>
    <s v=""/>
  </r>
  <r>
    <x v="8"/>
    <x v="8"/>
    <x v="3"/>
    <x v="17"/>
    <n v="1"/>
    <s v=""/>
    <n v="1"/>
    <s v=""/>
  </r>
  <r>
    <x v="8"/>
    <x v="8"/>
    <x v="3"/>
    <x v="5"/>
    <n v="14"/>
    <n v="14"/>
    <s v=""/>
    <s v=""/>
  </r>
  <r>
    <x v="8"/>
    <x v="8"/>
    <x v="3"/>
    <x v="18"/>
    <n v="1332"/>
    <n v="1004"/>
    <n v="328"/>
    <s v=""/>
  </r>
  <r>
    <x v="8"/>
    <x v="8"/>
    <x v="3"/>
    <x v="2"/>
    <n v="17"/>
    <n v="16"/>
    <n v="1"/>
    <s v=""/>
  </r>
  <r>
    <x v="8"/>
    <x v="8"/>
    <x v="4"/>
    <x v="0"/>
    <n v="1330"/>
    <n v="975"/>
    <n v="355"/>
    <s v=""/>
  </r>
  <r>
    <x v="8"/>
    <x v="8"/>
    <x v="4"/>
    <x v="18"/>
    <n v="11"/>
    <n v="11"/>
    <s v=""/>
    <s v=""/>
  </r>
  <r>
    <x v="8"/>
    <x v="8"/>
    <x v="4"/>
    <x v="30"/>
    <n v="1319"/>
    <n v="964"/>
    <n v="355"/>
    <s v=""/>
  </r>
  <r>
    <x v="8"/>
    <x v="8"/>
    <x v="5"/>
    <x v="0"/>
    <n v="1362"/>
    <n v="1041"/>
    <n v="321"/>
    <s v=""/>
  </r>
  <r>
    <x v="8"/>
    <x v="8"/>
    <x v="5"/>
    <x v="4"/>
    <n v="1"/>
    <n v="1"/>
    <s v=""/>
    <s v=""/>
  </r>
  <r>
    <x v="8"/>
    <x v="8"/>
    <x v="5"/>
    <x v="18"/>
    <n v="1"/>
    <n v="1"/>
    <s v=""/>
    <s v=""/>
  </r>
  <r>
    <x v="8"/>
    <x v="8"/>
    <x v="5"/>
    <x v="30"/>
    <n v="10"/>
    <n v="10"/>
    <s v=""/>
    <s v=""/>
  </r>
  <r>
    <x v="8"/>
    <x v="8"/>
    <x v="5"/>
    <x v="44"/>
    <n v="1350"/>
    <n v="1029"/>
    <n v="321"/>
    <s v=""/>
  </r>
  <r>
    <x v="8"/>
    <x v="8"/>
    <x v="6"/>
    <x v="0"/>
    <n v="1307"/>
    <n v="993"/>
    <n v="314"/>
    <s v=""/>
  </r>
  <r>
    <x v="8"/>
    <x v="8"/>
    <x v="6"/>
    <x v="30"/>
    <n v="1"/>
    <n v="1"/>
    <s v=""/>
    <s v=""/>
  </r>
  <r>
    <x v="8"/>
    <x v="8"/>
    <x v="6"/>
    <x v="44"/>
    <n v="12"/>
    <n v="12"/>
    <s v=""/>
    <s v=""/>
  </r>
  <r>
    <x v="8"/>
    <x v="8"/>
    <x v="6"/>
    <x v="50"/>
    <n v="1294"/>
    <n v="980"/>
    <n v="314"/>
    <s v=""/>
  </r>
  <r>
    <x v="8"/>
    <x v="8"/>
    <x v="7"/>
    <x v="0"/>
    <n v="1244"/>
    <n v="925"/>
    <n v="319"/>
    <s v=""/>
  </r>
  <r>
    <x v="8"/>
    <x v="8"/>
    <x v="7"/>
    <x v="54"/>
    <n v="1"/>
    <s v=""/>
    <n v="1"/>
    <s v=""/>
  </r>
  <r>
    <x v="8"/>
    <x v="8"/>
    <x v="7"/>
    <x v="50"/>
    <n v="4"/>
    <n v="2"/>
    <n v="2"/>
    <s v=""/>
  </r>
  <r>
    <x v="8"/>
    <x v="8"/>
    <x v="7"/>
    <x v="57"/>
    <n v="1239"/>
    <n v="923"/>
    <n v="316"/>
    <s v=""/>
  </r>
  <r>
    <x v="8"/>
    <x v="8"/>
    <x v="8"/>
    <x v="0"/>
    <n v="1263"/>
    <n v="927"/>
    <n v="336"/>
    <s v=""/>
  </r>
  <r>
    <x v="8"/>
    <x v="8"/>
    <x v="8"/>
    <x v="9"/>
    <n v="1"/>
    <s v=""/>
    <n v="1"/>
    <s v=""/>
  </r>
  <r>
    <x v="8"/>
    <x v="8"/>
    <x v="8"/>
    <x v="50"/>
    <n v="1"/>
    <n v="1"/>
    <s v=""/>
    <s v=""/>
  </r>
  <r>
    <x v="8"/>
    <x v="8"/>
    <x v="8"/>
    <x v="57"/>
    <n v="12"/>
    <n v="8"/>
    <n v="4"/>
    <s v=""/>
  </r>
  <r>
    <x v="8"/>
    <x v="8"/>
    <x v="8"/>
    <x v="69"/>
    <n v="1249"/>
    <n v="918"/>
    <n v="331"/>
    <s v=""/>
  </r>
  <r>
    <x v="8"/>
    <x v="8"/>
    <x v="9"/>
    <x v="0"/>
    <n v="1124"/>
    <n v="824"/>
    <n v="300"/>
    <s v=""/>
  </r>
  <r>
    <x v="8"/>
    <x v="8"/>
    <x v="9"/>
    <x v="24"/>
    <n v="1"/>
    <n v="1"/>
    <s v=""/>
    <s v=""/>
  </r>
  <r>
    <x v="8"/>
    <x v="8"/>
    <x v="9"/>
    <x v="69"/>
    <n v="3"/>
    <n v="2"/>
    <n v="1"/>
    <s v=""/>
  </r>
  <r>
    <x v="8"/>
    <x v="8"/>
    <x v="9"/>
    <x v="71"/>
    <n v="1120"/>
    <n v="821"/>
    <n v="299"/>
    <s v=""/>
  </r>
  <r>
    <x v="8"/>
    <x v="8"/>
    <x v="10"/>
    <x v="0"/>
    <n v="1135"/>
    <n v="864"/>
    <n v="271"/>
    <s v=""/>
  </r>
  <r>
    <x v="8"/>
    <x v="8"/>
    <x v="10"/>
    <x v="4"/>
    <n v="1"/>
    <n v="1"/>
    <s v=""/>
    <s v=""/>
  </r>
  <r>
    <x v="8"/>
    <x v="8"/>
    <x v="10"/>
    <x v="71"/>
    <n v="9"/>
    <n v="6"/>
    <n v="3"/>
    <s v=""/>
  </r>
  <r>
    <x v="8"/>
    <x v="8"/>
    <x v="10"/>
    <x v="73"/>
    <n v="1125"/>
    <n v="857"/>
    <n v="268"/>
    <s v=""/>
  </r>
  <r>
    <x v="8"/>
    <x v="8"/>
    <x v="11"/>
    <x v="0"/>
    <n v="1140"/>
    <n v="807"/>
    <n v="333"/>
    <s v=""/>
  </r>
  <r>
    <x v="8"/>
    <x v="8"/>
    <x v="11"/>
    <x v="73"/>
    <n v="15"/>
    <n v="9"/>
    <n v="6"/>
    <s v=""/>
  </r>
  <r>
    <x v="8"/>
    <x v="8"/>
    <x v="11"/>
    <x v="74"/>
    <n v="1125"/>
    <n v="798"/>
    <n v="327"/>
    <s v=""/>
  </r>
  <r>
    <x v="8"/>
    <x v="8"/>
    <x v="12"/>
    <x v="0"/>
    <n v="1078"/>
    <n v="775"/>
    <n v="303"/>
    <s v=""/>
  </r>
  <r>
    <x v="8"/>
    <x v="8"/>
    <x v="12"/>
    <x v="57"/>
    <n v="1"/>
    <n v="1"/>
    <s v=""/>
    <s v=""/>
  </r>
  <r>
    <x v="8"/>
    <x v="8"/>
    <x v="12"/>
    <x v="74"/>
    <n v="13"/>
    <n v="9"/>
    <n v="4"/>
    <s v=""/>
  </r>
  <r>
    <x v="8"/>
    <x v="8"/>
    <x v="12"/>
    <x v="77"/>
    <n v="1064"/>
    <n v="765"/>
    <n v="299"/>
    <s v=""/>
  </r>
  <r>
    <x v="8"/>
    <x v="8"/>
    <x v="13"/>
    <x v="0"/>
    <n v="1142"/>
    <n v="809"/>
    <n v="333"/>
    <s v=""/>
  </r>
  <r>
    <x v="8"/>
    <x v="8"/>
    <x v="13"/>
    <x v="74"/>
    <n v="1"/>
    <n v="1"/>
    <s v=""/>
    <s v=""/>
  </r>
  <r>
    <x v="8"/>
    <x v="8"/>
    <x v="13"/>
    <x v="77"/>
    <n v="14"/>
    <n v="11"/>
    <n v="3"/>
    <s v=""/>
  </r>
  <r>
    <x v="8"/>
    <x v="8"/>
    <x v="13"/>
    <x v="78"/>
    <n v="1127"/>
    <n v="797"/>
    <n v="330"/>
    <s v=""/>
  </r>
  <r>
    <x v="8"/>
    <x v="8"/>
    <x v="14"/>
    <x v="0"/>
    <n v="1054"/>
    <n v="804"/>
    <n v="250"/>
    <s v=""/>
  </r>
  <r>
    <x v="8"/>
    <x v="8"/>
    <x v="14"/>
    <x v="78"/>
    <n v="8"/>
    <n v="8"/>
    <s v=""/>
    <s v=""/>
  </r>
  <r>
    <x v="8"/>
    <x v="8"/>
    <x v="14"/>
    <x v="79"/>
    <n v="1046"/>
    <n v="796"/>
    <n v="250"/>
    <s v=""/>
  </r>
  <r>
    <x v="8"/>
    <x v="8"/>
    <x v="15"/>
    <x v="0"/>
    <n v="1079"/>
    <n v="773"/>
    <n v="306"/>
    <s v=""/>
  </r>
  <r>
    <x v="8"/>
    <x v="8"/>
    <x v="15"/>
    <x v="57"/>
    <n v="2"/>
    <n v="2"/>
    <s v=""/>
    <s v=""/>
  </r>
  <r>
    <x v="8"/>
    <x v="8"/>
    <x v="15"/>
    <x v="79"/>
    <n v="12"/>
    <n v="9"/>
    <n v="3"/>
    <s v=""/>
  </r>
  <r>
    <x v="8"/>
    <x v="8"/>
    <x v="15"/>
    <x v="80"/>
    <n v="1065"/>
    <n v="762"/>
    <n v="303"/>
    <s v=""/>
  </r>
  <r>
    <x v="8"/>
    <x v="8"/>
    <x v="16"/>
    <x v="0"/>
    <n v="1076"/>
    <n v="808"/>
    <n v="268"/>
    <s v=""/>
  </r>
  <r>
    <x v="8"/>
    <x v="8"/>
    <x v="16"/>
    <x v="57"/>
    <n v="1"/>
    <n v="1"/>
    <s v=""/>
    <s v=""/>
  </r>
  <r>
    <x v="8"/>
    <x v="8"/>
    <x v="16"/>
    <x v="80"/>
    <n v="14"/>
    <n v="12"/>
    <n v="2"/>
    <s v=""/>
  </r>
  <r>
    <x v="8"/>
    <x v="8"/>
    <x v="16"/>
    <x v="81"/>
    <n v="1061"/>
    <n v="795"/>
    <n v="266"/>
    <s v=""/>
  </r>
  <r>
    <x v="8"/>
    <x v="8"/>
    <x v="17"/>
    <x v="0"/>
    <n v="1029"/>
    <n v="767"/>
    <n v="262"/>
    <s v=""/>
  </r>
  <r>
    <x v="8"/>
    <x v="8"/>
    <x v="17"/>
    <x v="81"/>
    <n v="25"/>
    <n v="20"/>
    <n v="5"/>
    <s v=""/>
  </r>
  <r>
    <x v="8"/>
    <x v="8"/>
    <x v="17"/>
    <x v="82"/>
    <n v="1004"/>
    <n v="747"/>
    <n v="257"/>
    <s v=""/>
  </r>
  <r>
    <x v="8"/>
    <x v="8"/>
    <x v="18"/>
    <x v="0"/>
    <n v="1037"/>
    <n v="782"/>
    <n v="255"/>
    <s v=""/>
  </r>
  <r>
    <x v="8"/>
    <x v="8"/>
    <x v="18"/>
    <x v="74"/>
    <n v="1"/>
    <n v="1"/>
    <s v=""/>
    <s v=""/>
  </r>
  <r>
    <x v="8"/>
    <x v="8"/>
    <x v="18"/>
    <x v="79"/>
    <n v="13"/>
    <n v="11"/>
    <n v="2"/>
    <s v=""/>
  </r>
  <r>
    <x v="8"/>
    <x v="8"/>
    <x v="18"/>
    <x v="80"/>
    <n v="6"/>
    <n v="6"/>
    <s v=""/>
    <s v=""/>
  </r>
  <r>
    <x v="8"/>
    <x v="8"/>
    <x v="18"/>
    <x v="81"/>
    <n v="1"/>
    <n v="1"/>
    <s v=""/>
    <s v=""/>
  </r>
  <r>
    <x v="8"/>
    <x v="8"/>
    <x v="18"/>
    <x v="82"/>
    <n v="18"/>
    <n v="14"/>
    <n v="4"/>
    <s v=""/>
  </r>
  <r>
    <x v="8"/>
    <x v="8"/>
    <x v="18"/>
    <x v="83"/>
    <n v="998"/>
    <n v="749"/>
    <n v="249"/>
    <s v=""/>
  </r>
  <r>
    <x v="8"/>
    <x v="8"/>
    <x v="19"/>
    <x v="0"/>
    <n v="1101"/>
    <n v="775"/>
    <n v="326"/>
    <s v=""/>
  </r>
  <r>
    <x v="8"/>
    <x v="8"/>
    <x v="19"/>
    <x v="80"/>
    <n v="1"/>
    <n v="1"/>
    <s v=""/>
    <s v=""/>
  </r>
  <r>
    <x v="8"/>
    <x v="8"/>
    <x v="19"/>
    <x v="83"/>
    <n v="21"/>
    <n v="18"/>
    <n v="3"/>
    <s v=""/>
  </r>
  <r>
    <x v="8"/>
    <x v="8"/>
    <x v="19"/>
    <x v="84"/>
    <n v="1079"/>
    <n v="756"/>
    <n v="323"/>
    <s v=""/>
  </r>
  <r>
    <x v="8"/>
    <x v="8"/>
    <x v="20"/>
    <x v="0"/>
    <n v="965"/>
    <n v="701"/>
    <n v="264"/>
    <s v=""/>
  </r>
  <r>
    <x v="8"/>
    <x v="8"/>
    <x v="20"/>
    <x v="84"/>
    <n v="17"/>
    <n v="11"/>
    <n v="6"/>
    <s v=""/>
  </r>
  <r>
    <x v="8"/>
    <x v="8"/>
    <x v="20"/>
    <x v="85"/>
    <n v="948"/>
    <n v="690"/>
    <n v="258"/>
    <s v=""/>
  </r>
  <r>
    <x v="8"/>
    <x v="8"/>
    <x v="21"/>
    <x v="0"/>
    <n v="966"/>
    <n v="701"/>
    <n v="263"/>
    <n v="2"/>
  </r>
  <r>
    <x v="8"/>
    <x v="8"/>
    <x v="21"/>
    <x v="85"/>
    <n v="24"/>
    <n v="19"/>
    <n v="5"/>
    <s v=""/>
  </r>
  <r>
    <x v="8"/>
    <x v="8"/>
    <x v="21"/>
    <x v="86"/>
    <n v="942"/>
    <n v="682"/>
    <n v="258"/>
    <n v="2"/>
  </r>
  <r>
    <x v="8"/>
    <x v="8"/>
    <x v="22"/>
    <x v="0"/>
    <n v="1007"/>
    <n v="722"/>
    <n v="285"/>
    <s v=""/>
  </r>
  <r>
    <x v="8"/>
    <x v="8"/>
    <x v="22"/>
    <x v="86"/>
    <n v="31"/>
    <n v="29"/>
    <n v="2"/>
    <s v=""/>
  </r>
  <r>
    <x v="8"/>
    <x v="8"/>
    <x v="22"/>
    <x v="87"/>
    <n v="976"/>
    <n v="693"/>
    <n v="283"/>
    <s v=""/>
  </r>
  <r>
    <x v="8"/>
    <x v="8"/>
    <x v="23"/>
    <x v="0"/>
    <n v="1016"/>
    <n v="763"/>
    <n v="252"/>
    <n v="1"/>
  </r>
  <r>
    <x v="8"/>
    <x v="8"/>
    <x v="23"/>
    <x v="42"/>
    <n v="1"/>
    <n v="1"/>
    <s v=""/>
    <s v=""/>
  </r>
  <r>
    <x v="8"/>
    <x v="8"/>
    <x v="23"/>
    <x v="87"/>
    <n v="34"/>
    <n v="28"/>
    <n v="5"/>
    <n v="1"/>
  </r>
  <r>
    <x v="8"/>
    <x v="8"/>
    <x v="23"/>
    <x v="88"/>
    <n v="981"/>
    <n v="734"/>
    <n v="247"/>
    <s v=""/>
  </r>
  <r>
    <x v="8"/>
    <x v="8"/>
    <x v="24"/>
    <x v="0"/>
    <n v="1081"/>
    <n v="801"/>
    <n v="278"/>
    <n v="2"/>
  </r>
  <r>
    <x v="8"/>
    <x v="8"/>
    <x v="24"/>
    <x v="82"/>
    <n v="1"/>
    <n v="1"/>
    <s v=""/>
    <s v=""/>
  </r>
  <r>
    <x v="8"/>
    <x v="8"/>
    <x v="24"/>
    <x v="88"/>
    <n v="26"/>
    <n v="18"/>
    <n v="7"/>
    <n v="1"/>
  </r>
  <r>
    <x v="8"/>
    <x v="8"/>
    <x v="24"/>
    <x v="89"/>
    <n v="1054"/>
    <n v="782"/>
    <n v="271"/>
    <n v="1"/>
  </r>
  <r>
    <x v="8"/>
    <x v="8"/>
    <x v="25"/>
    <x v="0"/>
    <n v="986"/>
    <n v="731"/>
    <n v="255"/>
    <s v=""/>
  </r>
  <r>
    <x v="8"/>
    <x v="8"/>
    <x v="25"/>
    <x v="89"/>
    <n v="22"/>
    <n v="20"/>
    <n v="2"/>
    <s v=""/>
  </r>
  <r>
    <x v="8"/>
    <x v="8"/>
    <x v="25"/>
    <x v="90"/>
    <n v="964"/>
    <n v="711"/>
    <n v="253"/>
    <s v=""/>
  </r>
  <r>
    <x v="8"/>
    <x v="8"/>
    <x v="26"/>
    <x v="0"/>
    <n v="1119"/>
    <n v="842"/>
    <n v="277"/>
    <s v=""/>
  </r>
  <r>
    <x v="8"/>
    <x v="8"/>
    <x v="26"/>
    <x v="90"/>
    <n v="15"/>
    <n v="12"/>
    <n v="3"/>
    <s v=""/>
  </r>
  <r>
    <x v="8"/>
    <x v="8"/>
    <x v="26"/>
    <x v="91"/>
    <n v="1104"/>
    <n v="830"/>
    <n v="274"/>
    <s v=""/>
  </r>
  <r>
    <x v="8"/>
    <x v="8"/>
    <x v="27"/>
    <x v="0"/>
    <n v="1037"/>
    <n v="737"/>
    <n v="300"/>
    <s v=""/>
  </r>
  <r>
    <x v="8"/>
    <x v="8"/>
    <x v="27"/>
    <x v="89"/>
    <n v="1"/>
    <s v=""/>
    <n v="1"/>
    <s v=""/>
  </r>
  <r>
    <x v="8"/>
    <x v="8"/>
    <x v="27"/>
    <x v="91"/>
    <n v="5"/>
    <n v="4"/>
    <n v="1"/>
    <s v=""/>
  </r>
  <r>
    <x v="8"/>
    <x v="8"/>
    <x v="27"/>
    <x v="92"/>
    <n v="1031"/>
    <n v="733"/>
    <n v="298"/>
    <s v=""/>
  </r>
  <r>
    <x v="8"/>
    <x v="8"/>
    <x v="28"/>
    <x v="0"/>
    <n v="1074"/>
    <n v="801"/>
    <n v="273"/>
    <s v=""/>
  </r>
  <r>
    <x v="8"/>
    <x v="8"/>
    <x v="28"/>
    <x v="92"/>
    <n v="3"/>
    <n v="1"/>
    <n v="2"/>
    <s v=""/>
  </r>
  <r>
    <x v="8"/>
    <x v="8"/>
    <x v="28"/>
    <x v="93"/>
    <n v="1071"/>
    <n v="800"/>
    <n v="271"/>
    <s v=""/>
  </r>
  <r>
    <x v="8"/>
    <x v="8"/>
    <x v="29"/>
    <x v="0"/>
    <n v="1128"/>
    <n v="869"/>
    <n v="259"/>
    <s v=""/>
  </r>
  <r>
    <x v="8"/>
    <x v="8"/>
    <x v="29"/>
    <x v="93"/>
    <n v="3"/>
    <n v="3"/>
    <s v=""/>
    <s v=""/>
  </r>
  <r>
    <x v="8"/>
    <x v="8"/>
    <x v="29"/>
    <x v="94"/>
    <n v="1125"/>
    <n v="866"/>
    <n v="259"/>
    <s v=""/>
  </r>
  <r>
    <x v="8"/>
    <x v="8"/>
    <x v="30"/>
    <x v="0"/>
    <n v="1686"/>
    <n v="1260"/>
    <n v="426"/>
    <s v=""/>
  </r>
  <r>
    <x v="8"/>
    <x v="8"/>
    <x v="30"/>
    <x v="94"/>
    <n v="2"/>
    <n v="2"/>
    <s v=""/>
    <s v=""/>
  </r>
  <r>
    <x v="8"/>
    <x v="8"/>
    <x v="30"/>
    <x v="95"/>
    <n v="1684"/>
    <n v="1258"/>
    <n v="426"/>
    <s v=""/>
  </r>
  <r>
    <x v="8"/>
    <x v="8"/>
    <x v="31"/>
    <x v="0"/>
    <n v="1658"/>
    <n v="1252"/>
    <n v="406"/>
    <s v=""/>
  </r>
  <r>
    <x v="8"/>
    <x v="8"/>
    <x v="31"/>
    <x v="93"/>
    <n v="1"/>
    <n v="1"/>
    <s v=""/>
    <s v=""/>
  </r>
  <r>
    <x v="8"/>
    <x v="8"/>
    <x v="31"/>
    <x v="95"/>
    <n v="10"/>
    <n v="9"/>
    <n v="1"/>
    <s v=""/>
  </r>
  <r>
    <x v="8"/>
    <x v="8"/>
    <x v="31"/>
    <x v="96"/>
    <n v="1647"/>
    <n v="1242"/>
    <n v="405"/>
    <s v=""/>
  </r>
  <r>
    <x v="8"/>
    <x v="8"/>
    <x v="32"/>
    <x v="0"/>
    <n v="1132"/>
    <n v="833"/>
    <n v="299"/>
    <s v=""/>
  </r>
  <r>
    <x v="8"/>
    <x v="8"/>
    <x v="32"/>
    <x v="81"/>
    <n v="1"/>
    <s v=""/>
    <n v="1"/>
    <s v=""/>
  </r>
  <r>
    <x v="8"/>
    <x v="8"/>
    <x v="32"/>
    <x v="96"/>
    <n v="2"/>
    <n v="2"/>
    <s v=""/>
    <s v=""/>
  </r>
  <r>
    <x v="8"/>
    <x v="8"/>
    <x v="32"/>
    <x v="97"/>
    <n v="1129"/>
    <n v="831"/>
    <n v="298"/>
    <s v=""/>
  </r>
  <r>
    <x v="8"/>
    <x v="8"/>
    <x v="33"/>
    <x v="0"/>
    <n v="1082"/>
    <n v="796"/>
    <n v="286"/>
    <s v=""/>
  </r>
  <r>
    <x v="8"/>
    <x v="8"/>
    <x v="33"/>
    <x v="96"/>
    <n v="1"/>
    <n v="1"/>
    <s v=""/>
    <s v=""/>
  </r>
  <r>
    <x v="8"/>
    <x v="8"/>
    <x v="33"/>
    <x v="97"/>
    <n v="5"/>
    <n v="3"/>
    <n v="2"/>
    <s v=""/>
  </r>
  <r>
    <x v="8"/>
    <x v="8"/>
    <x v="33"/>
    <x v="98"/>
    <n v="1076"/>
    <n v="792"/>
    <n v="284"/>
    <s v=""/>
  </r>
  <r>
    <x v="8"/>
    <x v="8"/>
    <x v="34"/>
    <x v="0"/>
    <n v="1159"/>
    <n v="852"/>
    <n v="307"/>
    <s v=""/>
  </r>
  <r>
    <x v="8"/>
    <x v="8"/>
    <x v="34"/>
    <x v="95"/>
    <n v="1"/>
    <n v="1"/>
    <s v=""/>
    <s v=""/>
  </r>
  <r>
    <x v="8"/>
    <x v="8"/>
    <x v="34"/>
    <x v="98"/>
    <n v="7"/>
    <n v="7"/>
    <s v=""/>
    <s v=""/>
  </r>
  <r>
    <x v="8"/>
    <x v="8"/>
    <x v="34"/>
    <x v="99"/>
    <n v="1151"/>
    <n v="844"/>
    <n v="307"/>
    <s v=""/>
  </r>
  <r>
    <x v="9"/>
    <x v="9"/>
    <x v="0"/>
    <x v="0"/>
    <n v="1326"/>
    <n v="948"/>
    <n v="377"/>
    <n v="1"/>
  </r>
  <r>
    <x v="9"/>
    <x v="9"/>
    <x v="0"/>
    <x v="1"/>
    <n v="1319"/>
    <n v="943"/>
    <n v="375"/>
    <n v="1"/>
  </r>
  <r>
    <x v="9"/>
    <x v="9"/>
    <x v="0"/>
    <x v="2"/>
    <n v="7"/>
    <n v="5"/>
    <n v="2"/>
    <s v=""/>
  </r>
  <r>
    <x v="9"/>
    <x v="9"/>
    <x v="1"/>
    <x v="0"/>
    <n v="1456"/>
    <n v="1038"/>
    <n v="418"/>
    <s v=""/>
  </r>
  <r>
    <x v="9"/>
    <x v="9"/>
    <x v="1"/>
    <x v="4"/>
    <n v="1441"/>
    <n v="1027"/>
    <n v="414"/>
    <s v=""/>
  </r>
  <r>
    <x v="9"/>
    <x v="9"/>
    <x v="1"/>
    <x v="2"/>
    <n v="15"/>
    <n v="11"/>
    <n v="4"/>
    <s v=""/>
  </r>
  <r>
    <x v="9"/>
    <x v="9"/>
    <x v="2"/>
    <x v="0"/>
    <n v="1476"/>
    <n v="1085"/>
    <n v="391"/>
    <s v=""/>
  </r>
  <r>
    <x v="9"/>
    <x v="9"/>
    <x v="2"/>
    <x v="5"/>
    <n v="1464"/>
    <n v="1074"/>
    <n v="390"/>
    <s v=""/>
  </r>
  <r>
    <x v="9"/>
    <x v="9"/>
    <x v="2"/>
    <x v="2"/>
    <n v="12"/>
    <n v="11"/>
    <n v="1"/>
    <s v=""/>
  </r>
  <r>
    <x v="9"/>
    <x v="9"/>
    <x v="3"/>
    <x v="0"/>
    <n v="1515"/>
    <n v="1084"/>
    <n v="431"/>
    <s v=""/>
  </r>
  <r>
    <x v="9"/>
    <x v="9"/>
    <x v="3"/>
    <x v="6"/>
    <n v="1"/>
    <n v="1"/>
    <s v=""/>
    <s v=""/>
  </r>
  <r>
    <x v="9"/>
    <x v="9"/>
    <x v="3"/>
    <x v="15"/>
    <n v="2"/>
    <n v="2"/>
    <s v=""/>
    <s v=""/>
  </r>
  <r>
    <x v="9"/>
    <x v="9"/>
    <x v="3"/>
    <x v="5"/>
    <n v="11"/>
    <n v="11"/>
    <s v=""/>
    <s v=""/>
  </r>
  <r>
    <x v="9"/>
    <x v="9"/>
    <x v="3"/>
    <x v="18"/>
    <n v="1491"/>
    <n v="1062"/>
    <n v="429"/>
    <s v=""/>
  </r>
  <r>
    <x v="9"/>
    <x v="9"/>
    <x v="3"/>
    <x v="2"/>
    <n v="10"/>
    <n v="8"/>
    <n v="2"/>
    <s v=""/>
  </r>
  <r>
    <x v="9"/>
    <x v="9"/>
    <x v="4"/>
    <x v="0"/>
    <n v="1637"/>
    <n v="1190"/>
    <n v="446"/>
    <n v="1"/>
  </r>
  <r>
    <x v="9"/>
    <x v="9"/>
    <x v="4"/>
    <x v="19"/>
    <n v="2"/>
    <n v="1"/>
    <n v="1"/>
    <s v=""/>
  </r>
  <r>
    <x v="9"/>
    <x v="9"/>
    <x v="4"/>
    <x v="23"/>
    <n v="1"/>
    <n v="1"/>
    <s v=""/>
    <s v=""/>
  </r>
  <r>
    <x v="9"/>
    <x v="9"/>
    <x v="4"/>
    <x v="26"/>
    <n v="1"/>
    <n v="1"/>
    <s v=""/>
    <s v=""/>
  </r>
  <r>
    <x v="9"/>
    <x v="9"/>
    <x v="4"/>
    <x v="27"/>
    <n v="1"/>
    <n v="1"/>
    <s v=""/>
    <s v=""/>
  </r>
  <r>
    <x v="9"/>
    <x v="9"/>
    <x v="4"/>
    <x v="18"/>
    <n v="8"/>
    <n v="7"/>
    <n v="1"/>
    <s v=""/>
  </r>
  <r>
    <x v="9"/>
    <x v="9"/>
    <x v="4"/>
    <x v="30"/>
    <n v="1624"/>
    <n v="1179"/>
    <n v="444"/>
    <n v="1"/>
  </r>
  <r>
    <x v="9"/>
    <x v="9"/>
    <x v="5"/>
    <x v="0"/>
    <n v="1580"/>
    <n v="1109"/>
    <n v="470"/>
    <n v="1"/>
  </r>
  <r>
    <x v="9"/>
    <x v="9"/>
    <x v="5"/>
    <x v="36"/>
    <n v="1"/>
    <n v="1"/>
    <s v=""/>
    <s v=""/>
  </r>
  <r>
    <x v="9"/>
    <x v="9"/>
    <x v="5"/>
    <x v="18"/>
    <n v="2"/>
    <n v="2"/>
    <s v=""/>
    <s v=""/>
  </r>
  <r>
    <x v="9"/>
    <x v="9"/>
    <x v="5"/>
    <x v="30"/>
    <n v="13"/>
    <n v="10"/>
    <n v="3"/>
    <s v=""/>
  </r>
  <r>
    <x v="9"/>
    <x v="9"/>
    <x v="5"/>
    <x v="44"/>
    <n v="1563"/>
    <n v="1095"/>
    <n v="467"/>
    <n v="1"/>
  </r>
  <r>
    <x v="9"/>
    <x v="9"/>
    <x v="5"/>
    <x v="2"/>
    <n v="1"/>
    <n v="1"/>
    <s v=""/>
    <s v=""/>
  </r>
  <r>
    <x v="9"/>
    <x v="9"/>
    <x v="6"/>
    <x v="0"/>
    <n v="1445"/>
    <n v="1032"/>
    <n v="413"/>
    <s v=""/>
  </r>
  <r>
    <x v="9"/>
    <x v="9"/>
    <x v="6"/>
    <x v="9"/>
    <n v="1"/>
    <n v="1"/>
    <s v=""/>
    <s v=""/>
  </r>
  <r>
    <x v="9"/>
    <x v="9"/>
    <x v="6"/>
    <x v="44"/>
    <n v="9"/>
    <n v="6"/>
    <n v="3"/>
    <s v=""/>
  </r>
  <r>
    <x v="9"/>
    <x v="9"/>
    <x v="6"/>
    <x v="50"/>
    <n v="1435"/>
    <n v="1025"/>
    <n v="410"/>
    <s v=""/>
  </r>
  <r>
    <x v="9"/>
    <x v="9"/>
    <x v="7"/>
    <x v="0"/>
    <n v="1477"/>
    <n v="1069"/>
    <n v="408"/>
    <s v=""/>
  </r>
  <r>
    <x v="9"/>
    <x v="9"/>
    <x v="7"/>
    <x v="56"/>
    <n v="1"/>
    <n v="1"/>
    <s v=""/>
    <s v=""/>
  </r>
  <r>
    <x v="9"/>
    <x v="9"/>
    <x v="7"/>
    <x v="50"/>
    <n v="15"/>
    <n v="13"/>
    <n v="2"/>
    <s v=""/>
  </r>
  <r>
    <x v="9"/>
    <x v="9"/>
    <x v="7"/>
    <x v="57"/>
    <n v="1461"/>
    <n v="1055"/>
    <n v="406"/>
    <s v=""/>
  </r>
  <r>
    <x v="9"/>
    <x v="9"/>
    <x v="8"/>
    <x v="0"/>
    <n v="1465"/>
    <n v="1063"/>
    <n v="402"/>
    <s v=""/>
  </r>
  <r>
    <x v="9"/>
    <x v="9"/>
    <x v="8"/>
    <x v="46"/>
    <n v="1"/>
    <n v="1"/>
    <s v=""/>
    <s v=""/>
  </r>
  <r>
    <x v="9"/>
    <x v="9"/>
    <x v="8"/>
    <x v="57"/>
    <n v="8"/>
    <n v="8"/>
    <s v=""/>
    <s v=""/>
  </r>
  <r>
    <x v="9"/>
    <x v="9"/>
    <x v="8"/>
    <x v="69"/>
    <n v="1456"/>
    <n v="1054"/>
    <n v="402"/>
    <s v=""/>
  </r>
  <r>
    <x v="9"/>
    <x v="9"/>
    <x v="9"/>
    <x v="0"/>
    <n v="1388"/>
    <n v="1007"/>
    <n v="381"/>
    <s v=""/>
  </r>
  <r>
    <x v="9"/>
    <x v="9"/>
    <x v="9"/>
    <x v="69"/>
    <n v="13"/>
    <n v="11"/>
    <n v="2"/>
    <s v=""/>
  </r>
  <r>
    <x v="9"/>
    <x v="9"/>
    <x v="9"/>
    <x v="71"/>
    <n v="1375"/>
    <n v="996"/>
    <n v="379"/>
    <s v=""/>
  </r>
  <r>
    <x v="9"/>
    <x v="9"/>
    <x v="10"/>
    <x v="0"/>
    <n v="1307"/>
    <n v="925"/>
    <n v="382"/>
    <s v=""/>
  </r>
  <r>
    <x v="9"/>
    <x v="9"/>
    <x v="10"/>
    <x v="71"/>
    <n v="13"/>
    <n v="9"/>
    <n v="4"/>
    <s v=""/>
  </r>
  <r>
    <x v="9"/>
    <x v="9"/>
    <x v="10"/>
    <x v="73"/>
    <n v="1294"/>
    <n v="916"/>
    <n v="378"/>
    <s v=""/>
  </r>
  <r>
    <x v="9"/>
    <x v="9"/>
    <x v="11"/>
    <x v="0"/>
    <n v="1339"/>
    <n v="954"/>
    <n v="385"/>
    <s v=""/>
  </r>
  <r>
    <x v="9"/>
    <x v="9"/>
    <x v="11"/>
    <x v="73"/>
    <n v="14"/>
    <n v="11"/>
    <n v="3"/>
    <s v=""/>
  </r>
  <r>
    <x v="9"/>
    <x v="9"/>
    <x v="11"/>
    <x v="74"/>
    <n v="1325"/>
    <n v="943"/>
    <n v="382"/>
    <s v=""/>
  </r>
  <r>
    <x v="9"/>
    <x v="9"/>
    <x v="12"/>
    <x v="0"/>
    <n v="1267"/>
    <n v="870"/>
    <n v="397"/>
    <s v=""/>
  </r>
  <r>
    <x v="9"/>
    <x v="9"/>
    <x v="12"/>
    <x v="74"/>
    <n v="15"/>
    <n v="13"/>
    <n v="2"/>
    <s v=""/>
  </r>
  <r>
    <x v="9"/>
    <x v="9"/>
    <x v="12"/>
    <x v="77"/>
    <n v="1252"/>
    <n v="857"/>
    <n v="395"/>
    <s v=""/>
  </r>
  <r>
    <x v="9"/>
    <x v="9"/>
    <x v="13"/>
    <x v="0"/>
    <n v="1343"/>
    <n v="949"/>
    <n v="394"/>
    <s v=""/>
  </r>
  <r>
    <x v="9"/>
    <x v="9"/>
    <x v="13"/>
    <x v="77"/>
    <n v="9"/>
    <n v="7"/>
    <n v="2"/>
    <s v=""/>
  </r>
  <r>
    <x v="9"/>
    <x v="9"/>
    <x v="13"/>
    <x v="78"/>
    <n v="1334"/>
    <n v="942"/>
    <n v="392"/>
    <s v=""/>
  </r>
  <r>
    <x v="9"/>
    <x v="9"/>
    <x v="14"/>
    <x v="0"/>
    <n v="1265"/>
    <n v="903"/>
    <n v="362"/>
    <s v=""/>
  </r>
  <r>
    <x v="9"/>
    <x v="9"/>
    <x v="14"/>
    <x v="77"/>
    <n v="1"/>
    <n v="1"/>
    <s v=""/>
    <s v=""/>
  </r>
  <r>
    <x v="9"/>
    <x v="9"/>
    <x v="14"/>
    <x v="78"/>
    <n v="14"/>
    <n v="13"/>
    <n v="1"/>
    <s v=""/>
  </r>
  <r>
    <x v="9"/>
    <x v="9"/>
    <x v="14"/>
    <x v="79"/>
    <n v="1250"/>
    <n v="889"/>
    <n v="361"/>
    <s v=""/>
  </r>
  <r>
    <x v="9"/>
    <x v="9"/>
    <x v="15"/>
    <x v="0"/>
    <n v="1219"/>
    <n v="867"/>
    <n v="352"/>
    <s v=""/>
  </r>
  <r>
    <x v="9"/>
    <x v="9"/>
    <x v="15"/>
    <x v="57"/>
    <n v="1"/>
    <n v="1"/>
    <s v=""/>
    <s v=""/>
  </r>
  <r>
    <x v="9"/>
    <x v="9"/>
    <x v="15"/>
    <x v="78"/>
    <n v="1"/>
    <n v="1"/>
    <s v=""/>
    <s v=""/>
  </r>
  <r>
    <x v="9"/>
    <x v="9"/>
    <x v="15"/>
    <x v="79"/>
    <n v="12"/>
    <n v="9"/>
    <n v="3"/>
    <s v=""/>
  </r>
  <r>
    <x v="9"/>
    <x v="9"/>
    <x v="15"/>
    <x v="80"/>
    <n v="1205"/>
    <n v="856"/>
    <n v="349"/>
    <s v=""/>
  </r>
  <r>
    <x v="9"/>
    <x v="9"/>
    <x v="16"/>
    <x v="0"/>
    <n v="1244"/>
    <n v="855"/>
    <n v="389"/>
    <s v=""/>
  </r>
  <r>
    <x v="9"/>
    <x v="9"/>
    <x v="16"/>
    <x v="80"/>
    <n v="17"/>
    <n v="14"/>
    <n v="3"/>
    <s v=""/>
  </r>
  <r>
    <x v="9"/>
    <x v="9"/>
    <x v="16"/>
    <x v="81"/>
    <n v="1227"/>
    <n v="841"/>
    <n v="386"/>
    <s v=""/>
  </r>
  <r>
    <x v="9"/>
    <x v="9"/>
    <x v="17"/>
    <x v="0"/>
    <n v="1260"/>
    <n v="907"/>
    <n v="353"/>
    <s v=""/>
  </r>
  <r>
    <x v="9"/>
    <x v="9"/>
    <x v="17"/>
    <x v="81"/>
    <n v="21"/>
    <n v="21"/>
    <s v=""/>
    <s v=""/>
  </r>
  <r>
    <x v="9"/>
    <x v="9"/>
    <x v="17"/>
    <x v="82"/>
    <n v="1239"/>
    <n v="886"/>
    <n v="353"/>
    <s v=""/>
  </r>
  <r>
    <x v="9"/>
    <x v="9"/>
    <x v="18"/>
    <x v="0"/>
    <n v="1297"/>
    <n v="941"/>
    <n v="356"/>
    <s v=""/>
  </r>
  <r>
    <x v="9"/>
    <x v="9"/>
    <x v="18"/>
    <x v="79"/>
    <n v="6"/>
    <n v="6"/>
    <s v=""/>
    <s v=""/>
  </r>
  <r>
    <x v="9"/>
    <x v="9"/>
    <x v="18"/>
    <x v="80"/>
    <n v="8"/>
    <n v="8"/>
    <s v=""/>
    <s v=""/>
  </r>
  <r>
    <x v="9"/>
    <x v="9"/>
    <x v="18"/>
    <x v="81"/>
    <n v="1"/>
    <n v="1"/>
    <s v=""/>
    <s v=""/>
  </r>
  <r>
    <x v="9"/>
    <x v="9"/>
    <x v="18"/>
    <x v="82"/>
    <n v="20"/>
    <n v="18"/>
    <n v="2"/>
    <s v=""/>
  </r>
  <r>
    <x v="9"/>
    <x v="9"/>
    <x v="18"/>
    <x v="83"/>
    <n v="1262"/>
    <n v="908"/>
    <n v="354"/>
    <s v=""/>
  </r>
  <r>
    <x v="9"/>
    <x v="9"/>
    <x v="19"/>
    <x v="0"/>
    <n v="1445"/>
    <n v="1010"/>
    <n v="434"/>
    <n v="1"/>
  </r>
  <r>
    <x v="9"/>
    <x v="9"/>
    <x v="19"/>
    <x v="78"/>
    <n v="1"/>
    <n v="1"/>
    <s v=""/>
    <s v=""/>
  </r>
  <r>
    <x v="9"/>
    <x v="9"/>
    <x v="19"/>
    <x v="81"/>
    <n v="1"/>
    <n v="1"/>
    <s v=""/>
    <s v=""/>
  </r>
  <r>
    <x v="9"/>
    <x v="9"/>
    <x v="19"/>
    <x v="83"/>
    <n v="29"/>
    <n v="26"/>
    <n v="3"/>
    <s v=""/>
  </r>
  <r>
    <x v="9"/>
    <x v="9"/>
    <x v="19"/>
    <x v="84"/>
    <n v="1414"/>
    <n v="982"/>
    <n v="431"/>
    <n v="1"/>
  </r>
  <r>
    <x v="9"/>
    <x v="9"/>
    <x v="20"/>
    <x v="0"/>
    <n v="1410"/>
    <n v="972"/>
    <n v="438"/>
    <s v=""/>
  </r>
  <r>
    <x v="9"/>
    <x v="9"/>
    <x v="20"/>
    <x v="84"/>
    <n v="36"/>
    <n v="30"/>
    <n v="6"/>
    <s v=""/>
  </r>
  <r>
    <x v="9"/>
    <x v="9"/>
    <x v="20"/>
    <x v="85"/>
    <n v="1374"/>
    <n v="942"/>
    <n v="432"/>
    <s v=""/>
  </r>
  <r>
    <x v="9"/>
    <x v="9"/>
    <x v="21"/>
    <x v="0"/>
    <n v="1350"/>
    <n v="961"/>
    <n v="386"/>
    <n v="3"/>
  </r>
  <r>
    <x v="9"/>
    <x v="9"/>
    <x v="21"/>
    <x v="85"/>
    <n v="45"/>
    <n v="44"/>
    <n v="1"/>
    <s v=""/>
  </r>
  <r>
    <x v="9"/>
    <x v="9"/>
    <x v="21"/>
    <x v="86"/>
    <n v="1305"/>
    <n v="917"/>
    <n v="385"/>
    <n v="3"/>
  </r>
  <r>
    <x v="9"/>
    <x v="9"/>
    <x v="22"/>
    <x v="0"/>
    <n v="1345"/>
    <n v="946"/>
    <n v="398"/>
    <n v="1"/>
  </r>
  <r>
    <x v="9"/>
    <x v="9"/>
    <x v="22"/>
    <x v="86"/>
    <n v="34"/>
    <n v="31"/>
    <n v="3"/>
    <s v=""/>
  </r>
  <r>
    <x v="9"/>
    <x v="9"/>
    <x v="22"/>
    <x v="87"/>
    <n v="1311"/>
    <n v="915"/>
    <n v="395"/>
    <n v="1"/>
  </r>
  <r>
    <x v="9"/>
    <x v="9"/>
    <x v="23"/>
    <x v="0"/>
    <n v="1301"/>
    <n v="937"/>
    <n v="362"/>
    <n v="2"/>
  </r>
  <r>
    <x v="9"/>
    <x v="9"/>
    <x v="23"/>
    <x v="73"/>
    <n v="1"/>
    <n v="1"/>
    <s v=""/>
    <s v=""/>
  </r>
  <r>
    <x v="9"/>
    <x v="9"/>
    <x v="23"/>
    <x v="80"/>
    <n v="1"/>
    <n v="1"/>
    <s v=""/>
    <s v=""/>
  </r>
  <r>
    <x v="9"/>
    <x v="9"/>
    <x v="23"/>
    <x v="86"/>
    <n v="1"/>
    <s v=""/>
    <s v=""/>
    <n v="1"/>
  </r>
  <r>
    <x v="9"/>
    <x v="9"/>
    <x v="23"/>
    <x v="87"/>
    <n v="31"/>
    <n v="24"/>
    <n v="7"/>
    <s v=""/>
  </r>
  <r>
    <x v="9"/>
    <x v="9"/>
    <x v="23"/>
    <x v="88"/>
    <n v="1267"/>
    <n v="911"/>
    <n v="355"/>
    <n v="1"/>
  </r>
  <r>
    <x v="9"/>
    <x v="9"/>
    <x v="24"/>
    <x v="0"/>
    <n v="1349"/>
    <n v="944"/>
    <n v="404"/>
    <n v="1"/>
  </r>
  <r>
    <x v="9"/>
    <x v="9"/>
    <x v="24"/>
    <x v="88"/>
    <n v="42"/>
    <n v="37"/>
    <n v="5"/>
    <s v=""/>
  </r>
  <r>
    <x v="9"/>
    <x v="9"/>
    <x v="24"/>
    <x v="89"/>
    <n v="1307"/>
    <n v="907"/>
    <n v="399"/>
    <n v="1"/>
  </r>
  <r>
    <x v="9"/>
    <x v="9"/>
    <x v="25"/>
    <x v="0"/>
    <n v="1318"/>
    <n v="941"/>
    <n v="377"/>
    <s v=""/>
  </r>
  <r>
    <x v="9"/>
    <x v="9"/>
    <x v="25"/>
    <x v="88"/>
    <n v="1"/>
    <n v="1"/>
    <s v=""/>
    <s v=""/>
  </r>
  <r>
    <x v="9"/>
    <x v="9"/>
    <x v="25"/>
    <x v="89"/>
    <n v="28"/>
    <n v="22"/>
    <n v="6"/>
    <s v=""/>
  </r>
  <r>
    <x v="9"/>
    <x v="9"/>
    <x v="25"/>
    <x v="90"/>
    <n v="1289"/>
    <n v="918"/>
    <n v="371"/>
    <s v=""/>
  </r>
  <r>
    <x v="9"/>
    <x v="9"/>
    <x v="26"/>
    <x v="0"/>
    <n v="1380"/>
    <n v="1001"/>
    <n v="379"/>
    <s v=""/>
  </r>
  <r>
    <x v="9"/>
    <x v="9"/>
    <x v="26"/>
    <x v="90"/>
    <n v="16"/>
    <n v="12"/>
    <n v="4"/>
    <s v=""/>
  </r>
  <r>
    <x v="9"/>
    <x v="9"/>
    <x v="26"/>
    <x v="91"/>
    <n v="1364"/>
    <n v="989"/>
    <n v="375"/>
    <s v=""/>
  </r>
  <r>
    <x v="9"/>
    <x v="9"/>
    <x v="27"/>
    <x v="0"/>
    <n v="1301"/>
    <n v="899"/>
    <n v="402"/>
    <s v=""/>
  </r>
  <r>
    <x v="9"/>
    <x v="9"/>
    <x v="27"/>
    <x v="91"/>
    <n v="5"/>
    <n v="5"/>
    <s v=""/>
    <s v=""/>
  </r>
  <r>
    <x v="9"/>
    <x v="9"/>
    <x v="27"/>
    <x v="92"/>
    <n v="1296"/>
    <n v="894"/>
    <n v="402"/>
    <s v=""/>
  </r>
  <r>
    <x v="9"/>
    <x v="9"/>
    <x v="28"/>
    <x v="0"/>
    <n v="1319"/>
    <n v="954"/>
    <n v="365"/>
    <s v=""/>
  </r>
  <r>
    <x v="9"/>
    <x v="9"/>
    <x v="28"/>
    <x v="92"/>
    <n v="5"/>
    <n v="5"/>
    <s v=""/>
    <s v=""/>
  </r>
  <r>
    <x v="9"/>
    <x v="9"/>
    <x v="28"/>
    <x v="93"/>
    <n v="1314"/>
    <n v="949"/>
    <n v="365"/>
    <s v=""/>
  </r>
  <r>
    <x v="9"/>
    <x v="9"/>
    <x v="29"/>
    <x v="0"/>
    <n v="1320"/>
    <n v="965"/>
    <n v="355"/>
    <s v=""/>
  </r>
  <r>
    <x v="9"/>
    <x v="9"/>
    <x v="29"/>
    <x v="87"/>
    <n v="1"/>
    <n v="1"/>
    <s v=""/>
    <s v=""/>
  </r>
  <r>
    <x v="9"/>
    <x v="9"/>
    <x v="29"/>
    <x v="93"/>
    <n v="5"/>
    <n v="2"/>
    <n v="3"/>
    <s v=""/>
  </r>
  <r>
    <x v="9"/>
    <x v="9"/>
    <x v="29"/>
    <x v="94"/>
    <n v="1314"/>
    <n v="962"/>
    <n v="352"/>
    <s v=""/>
  </r>
  <r>
    <x v="9"/>
    <x v="9"/>
    <x v="30"/>
    <x v="0"/>
    <n v="2283"/>
    <n v="1672"/>
    <n v="611"/>
    <s v=""/>
  </r>
  <r>
    <x v="9"/>
    <x v="9"/>
    <x v="30"/>
    <x v="94"/>
    <n v="4"/>
    <n v="2"/>
    <n v="2"/>
    <s v=""/>
  </r>
  <r>
    <x v="9"/>
    <x v="9"/>
    <x v="30"/>
    <x v="95"/>
    <n v="2279"/>
    <n v="1670"/>
    <n v="609"/>
    <s v=""/>
  </r>
  <r>
    <x v="9"/>
    <x v="9"/>
    <x v="31"/>
    <x v="0"/>
    <n v="2383"/>
    <n v="1742"/>
    <n v="641"/>
    <s v=""/>
  </r>
  <r>
    <x v="9"/>
    <x v="9"/>
    <x v="31"/>
    <x v="95"/>
    <n v="11"/>
    <n v="9"/>
    <n v="2"/>
    <s v=""/>
  </r>
  <r>
    <x v="9"/>
    <x v="9"/>
    <x v="31"/>
    <x v="96"/>
    <n v="2372"/>
    <n v="1733"/>
    <n v="639"/>
    <s v=""/>
  </r>
  <r>
    <x v="9"/>
    <x v="9"/>
    <x v="32"/>
    <x v="0"/>
    <n v="1362"/>
    <n v="953"/>
    <n v="409"/>
    <s v=""/>
  </r>
  <r>
    <x v="9"/>
    <x v="9"/>
    <x v="32"/>
    <x v="81"/>
    <n v="2"/>
    <n v="1"/>
    <n v="1"/>
    <s v=""/>
  </r>
  <r>
    <x v="9"/>
    <x v="9"/>
    <x v="32"/>
    <x v="83"/>
    <n v="2"/>
    <n v="2"/>
    <s v=""/>
    <s v=""/>
  </r>
  <r>
    <x v="9"/>
    <x v="9"/>
    <x v="32"/>
    <x v="96"/>
    <n v="3"/>
    <n v="2"/>
    <n v="1"/>
    <s v=""/>
  </r>
  <r>
    <x v="9"/>
    <x v="9"/>
    <x v="32"/>
    <x v="97"/>
    <n v="1355"/>
    <n v="948"/>
    <n v="407"/>
    <s v=""/>
  </r>
  <r>
    <x v="9"/>
    <x v="9"/>
    <x v="33"/>
    <x v="0"/>
    <n v="1327"/>
    <n v="913"/>
    <n v="414"/>
    <s v=""/>
  </r>
  <r>
    <x v="9"/>
    <x v="9"/>
    <x v="33"/>
    <x v="97"/>
    <n v="7"/>
    <n v="6"/>
    <n v="1"/>
    <s v=""/>
  </r>
  <r>
    <x v="9"/>
    <x v="9"/>
    <x v="33"/>
    <x v="98"/>
    <n v="1320"/>
    <n v="907"/>
    <n v="413"/>
    <s v=""/>
  </r>
  <r>
    <x v="9"/>
    <x v="9"/>
    <x v="34"/>
    <x v="0"/>
    <n v="1338"/>
    <n v="952"/>
    <n v="386"/>
    <s v=""/>
  </r>
  <r>
    <x v="9"/>
    <x v="9"/>
    <x v="34"/>
    <x v="96"/>
    <n v="1"/>
    <n v="1"/>
    <s v=""/>
    <s v=""/>
  </r>
  <r>
    <x v="9"/>
    <x v="9"/>
    <x v="34"/>
    <x v="98"/>
    <n v="6"/>
    <n v="6"/>
    <s v=""/>
    <s v=""/>
  </r>
  <r>
    <x v="9"/>
    <x v="9"/>
    <x v="34"/>
    <x v="99"/>
    <n v="1331"/>
    <n v="945"/>
    <n v="386"/>
    <s v=""/>
  </r>
  <r>
    <x v="10"/>
    <x v="10"/>
    <x v="0"/>
    <x v="0"/>
    <n v="1436"/>
    <n v="944"/>
    <n v="492"/>
    <s v=""/>
  </r>
  <r>
    <x v="10"/>
    <x v="10"/>
    <x v="0"/>
    <x v="1"/>
    <n v="1427"/>
    <n v="936"/>
    <n v="491"/>
    <s v=""/>
  </r>
  <r>
    <x v="10"/>
    <x v="10"/>
    <x v="0"/>
    <x v="2"/>
    <n v="9"/>
    <n v="8"/>
    <n v="1"/>
    <s v=""/>
  </r>
  <r>
    <x v="10"/>
    <x v="10"/>
    <x v="1"/>
    <x v="0"/>
    <n v="1538"/>
    <n v="1036"/>
    <n v="502"/>
    <s v=""/>
  </r>
  <r>
    <x v="10"/>
    <x v="10"/>
    <x v="1"/>
    <x v="4"/>
    <n v="1527"/>
    <n v="1029"/>
    <n v="498"/>
    <s v=""/>
  </r>
  <r>
    <x v="10"/>
    <x v="10"/>
    <x v="1"/>
    <x v="2"/>
    <n v="11"/>
    <n v="7"/>
    <n v="4"/>
    <s v=""/>
  </r>
  <r>
    <x v="10"/>
    <x v="10"/>
    <x v="2"/>
    <x v="0"/>
    <n v="1584"/>
    <n v="1030"/>
    <n v="554"/>
    <s v=""/>
  </r>
  <r>
    <x v="10"/>
    <x v="10"/>
    <x v="2"/>
    <x v="5"/>
    <n v="1576"/>
    <n v="1025"/>
    <n v="551"/>
    <s v=""/>
  </r>
  <r>
    <x v="10"/>
    <x v="10"/>
    <x v="2"/>
    <x v="2"/>
    <n v="8"/>
    <n v="5"/>
    <n v="3"/>
    <s v=""/>
  </r>
  <r>
    <x v="10"/>
    <x v="10"/>
    <x v="3"/>
    <x v="0"/>
    <n v="1533"/>
    <n v="1048"/>
    <n v="484"/>
    <n v="1"/>
  </r>
  <r>
    <x v="10"/>
    <x v="10"/>
    <x v="3"/>
    <x v="17"/>
    <n v="1"/>
    <s v=""/>
    <n v="1"/>
    <s v=""/>
  </r>
  <r>
    <x v="10"/>
    <x v="10"/>
    <x v="3"/>
    <x v="5"/>
    <n v="8"/>
    <n v="7"/>
    <n v="1"/>
    <s v=""/>
  </r>
  <r>
    <x v="10"/>
    <x v="10"/>
    <x v="3"/>
    <x v="18"/>
    <n v="1517"/>
    <n v="1035"/>
    <n v="481"/>
    <n v="1"/>
  </r>
  <r>
    <x v="10"/>
    <x v="10"/>
    <x v="3"/>
    <x v="2"/>
    <n v="7"/>
    <n v="6"/>
    <n v="1"/>
    <s v=""/>
  </r>
  <r>
    <x v="10"/>
    <x v="10"/>
    <x v="4"/>
    <x v="0"/>
    <n v="1579"/>
    <n v="1065"/>
    <n v="514"/>
    <s v=""/>
  </r>
  <r>
    <x v="10"/>
    <x v="10"/>
    <x v="4"/>
    <x v="5"/>
    <n v="1"/>
    <s v=""/>
    <n v="1"/>
    <s v=""/>
  </r>
  <r>
    <x v="10"/>
    <x v="10"/>
    <x v="4"/>
    <x v="18"/>
    <n v="7"/>
    <n v="3"/>
    <n v="4"/>
    <s v=""/>
  </r>
  <r>
    <x v="10"/>
    <x v="10"/>
    <x v="4"/>
    <x v="30"/>
    <n v="1571"/>
    <n v="1062"/>
    <n v="509"/>
    <s v=""/>
  </r>
  <r>
    <x v="10"/>
    <x v="10"/>
    <x v="5"/>
    <x v="0"/>
    <n v="1678"/>
    <n v="1162"/>
    <n v="516"/>
    <s v=""/>
  </r>
  <r>
    <x v="10"/>
    <x v="10"/>
    <x v="5"/>
    <x v="4"/>
    <n v="1"/>
    <n v="1"/>
    <s v=""/>
    <s v=""/>
  </r>
  <r>
    <x v="10"/>
    <x v="10"/>
    <x v="5"/>
    <x v="18"/>
    <n v="1"/>
    <n v="1"/>
    <s v=""/>
    <s v=""/>
  </r>
  <r>
    <x v="10"/>
    <x v="10"/>
    <x v="5"/>
    <x v="30"/>
    <n v="5"/>
    <n v="5"/>
    <s v=""/>
    <s v=""/>
  </r>
  <r>
    <x v="10"/>
    <x v="10"/>
    <x v="5"/>
    <x v="44"/>
    <n v="1671"/>
    <n v="1155"/>
    <n v="516"/>
    <s v=""/>
  </r>
  <r>
    <x v="10"/>
    <x v="10"/>
    <x v="6"/>
    <x v="0"/>
    <n v="1580"/>
    <n v="1053"/>
    <n v="527"/>
    <s v=""/>
  </r>
  <r>
    <x v="10"/>
    <x v="10"/>
    <x v="6"/>
    <x v="18"/>
    <n v="1"/>
    <n v="1"/>
    <s v=""/>
    <s v=""/>
  </r>
  <r>
    <x v="10"/>
    <x v="10"/>
    <x v="6"/>
    <x v="44"/>
    <n v="14"/>
    <n v="12"/>
    <n v="2"/>
    <s v=""/>
  </r>
  <r>
    <x v="10"/>
    <x v="10"/>
    <x v="6"/>
    <x v="50"/>
    <n v="1565"/>
    <n v="1040"/>
    <n v="525"/>
    <s v=""/>
  </r>
  <r>
    <x v="10"/>
    <x v="10"/>
    <x v="7"/>
    <x v="0"/>
    <n v="1634"/>
    <n v="1108"/>
    <n v="525"/>
    <n v="1"/>
  </r>
  <r>
    <x v="10"/>
    <x v="10"/>
    <x v="7"/>
    <x v="8"/>
    <n v="1"/>
    <n v="1"/>
    <s v=""/>
    <s v=""/>
  </r>
  <r>
    <x v="10"/>
    <x v="10"/>
    <x v="7"/>
    <x v="50"/>
    <n v="6"/>
    <n v="2"/>
    <n v="4"/>
    <s v=""/>
  </r>
  <r>
    <x v="10"/>
    <x v="10"/>
    <x v="7"/>
    <x v="57"/>
    <n v="1627"/>
    <n v="1105"/>
    <n v="521"/>
    <n v="1"/>
  </r>
  <r>
    <x v="10"/>
    <x v="10"/>
    <x v="8"/>
    <x v="0"/>
    <n v="1604"/>
    <n v="1067"/>
    <n v="537"/>
    <s v=""/>
  </r>
  <r>
    <x v="10"/>
    <x v="10"/>
    <x v="8"/>
    <x v="62"/>
    <n v="3"/>
    <n v="1"/>
    <n v="2"/>
    <s v=""/>
  </r>
  <r>
    <x v="10"/>
    <x v="10"/>
    <x v="8"/>
    <x v="68"/>
    <n v="1"/>
    <s v=""/>
    <n v="1"/>
    <s v=""/>
  </r>
  <r>
    <x v="10"/>
    <x v="10"/>
    <x v="8"/>
    <x v="57"/>
    <n v="12"/>
    <n v="10"/>
    <n v="2"/>
    <s v=""/>
  </r>
  <r>
    <x v="10"/>
    <x v="10"/>
    <x v="8"/>
    <x v="69"/>
    <n v="1588"/>
    <n v="1056"/>
    <n v="532"/>
    <s v=""/>
  </r>
  <r>
    <x v="10"/>
    <x v="10"/>
    <x v="9"/>
    <x v="0"/>
    <n v="1544"/>
    <n v="1007"/>
    <n v="537"/>
    <s v=""/>
  </r>
  <r>
    <x v="10"/>
    <x v="10"/>
    <x v="9"/>
    <x v="69"/>
    <n v="16"/>
    <n v="11"/>
    <n v="5"/>
    <s v=""/>
  </r>
  <r>
    <x v="10"/>
    <x v="10"/>
    <x v="9"/>
    <x v="71"/>
    <n v="1528"/>
    <n v="996"/>
    <n v="532"/>
    <s v=""/>
  </r>
  <r>
    <x v="10"/>
    <x v="10"/>
    <x v="10"/>
    <x v="0"/>
    <n v="1587"/>
    <n v="1041"/>
    <n v="546"/>
    <s v=""/>
  </r>
  <r>
    <x v="10"/>
    <x v="10"/>
    <x v="10"/>
    <x v="71"/>
    <n v="12"/>
    <n v="10"/>
    <n v="2"/>
    <s v=""/>
  </r>
  <r>
    <x v="10"/>
    <x v="10"/>
    <x v="10"/>
    <x v="73"/>
    <n v="1575"/>
    <n v="1031"/>
    <n v="544"/>
    <s v=""/>
  </r>
  <r>
    <x v="10"/>
    <x v="10"/>
    <x v="11"/>
    <x v="0"/>
    <n v="1560"/>
    <n v="1020"/>
    <n v="540"/>
    <s v=""/>
  </r>
  <r>
    <x v="10"/>
    <x v="10"/>
    <x v="11"/>
    <x v="73"/>
    <n v="9"/>
    <n v="6"/>
    <n v="3"/>
    <s v=""/>
  </r>
  <r>
    <x v="10"/>
    <x v="10"/>
    <x v="11"/>
    <x v="74"/>
    <n v="1551"/>
    <n v="1014"/>
    <n v="537"/>
    <s v=""/>
  </r>
  <r>
    <x v="10"/>
    <x v="10"/>
    <x v="12"/>
    <x v="0"/>
    <n v="1565"/>
    <n v="1049"/>
    <n v="516"/>
    <s v=""/>
  </r>
  <r>
    <x v="10"/>
    <x v="10"/>
    <x v="12"/>
    <x v="73"/>
    <n v="1"/>
    <s v=""/>
    <n v="1"/>
    <s v=""/>
  </r>
  <r>
    <x v="10"/>
    <x v="10"/>
    <x v="12"/>
    <x v="74"/>
    <n v="7"/>
    <n v="5"/>
    <n v="2"/>
    <s v=""/>
  </r>
  <r>
    <x v="10"/>
    <x v="10"/>
    <x v="12"/>
    <x v="77"/>
    <n v="1557"/>
    <n v="1044"/>
    <n v="513"/>
    <s v=""/>
  </r>
  <r>
    <x v="10"/>
    <x v="10"/>
    <x v="13"/>
    <x v="0"/>
    <n v="1633"/>
    <n v="1086"/>
    <n v="547"/>
    <s v=""/>
  </r>
  <r>
    <x v="10"/>
    <x v="10"/>
    <x v="13"/>
    <x v="77"/>
    <n v="13"/>
    <n v="11"/>
    <n v="2"/>
    <s v=""/>
  </r>
  <r>
    <x v="10"/>
    <x v="10"/>
    <x v="13"/>
    <x v="78"/>
    <n v="1620"/>
    <n v="1075"/>
    <n v="545"/>
    <s v=""/>
  </r>
  <r>
    <x v="10"/>
    <x v="10"/>
    <x v="14"/>
    <x v="0"/>
    <n v="1570"/>
    <n v="1044"/>
    <n v="526"/>
    <s v=""/>
  </r>
  <r>
    <x v="10"/>
    <x v="10"/>
    <x v="14"/>
    <x v="74"/>
    <n v="1"/>
    <s v=""/>
    <n v="1"/>
    <s v=""/>
  </r>
  <r>
    <x v="10"/>
    <x v="10"/>
    <x v="14"/>
    <x v="77"/>
    <n v="2"/>
    <n v="1"/>
    <n v="1"/>
    <s v=""/>
  </r>
  <r>
    <x v="10"/>
    <x v="10"/>
    <x v="14"/>
    <x v="78"/>
    <n v="12"/>
    <n v="12"/>
    <s v=""/>
    <s v=""/>
  </r>
  <r>
    <x v="10"/>
    <x v="10"/>
    <x v="14"/>
    <x v="79"/>
    <n v="1555"/>
    <n v="1031"/>
    <n v="524"/>
    <s v=""/>
  </r>
  <r>
    <x v="10"/>
    <x v="10"/>
    <x v="15"/>
    <x v="0"/>
    <n v="1595"/>
    <n v="1050"/>
    <n v="545"/>
    <s v=""/>
  </r>
  <r>
    <x v="10"/>
    <x v="10"/>
    <x v="15"/>
    <x v="79"/>
    <n v="7"/>
    <n v="6"/>
    <n v="1"/>
    <s v=""/>
  </r>
  <r>
    <x v="10"/>
    <x v="10"/>
    <x v="15"/>
    <x v="80"/>
    <n v="1588"/>
    <n v="1044"/>
    <n v="544"/>
    <s v=""/>
  </r>
  <r>
    <x v="10"/>
    <x v="10"/>
    <x v="16"/>
    <x v="0"/>
    <n v="1607"/>
    <n v="1081"/>
    <n v="526"/>
    <s v=""/>
  </r>
  <r>
    <x v="10"/>
    <x v="10"/>
    <x v="16"/>
    <x v="80"/>
    <n v="19"/>
    <n v="13"/>
    <n v="6"/>
    <s v=""/>
  </r>
  <r>
    <x v="10"/>
    <x v="10"/>
    <x v="16"/>
    <x v="81"/>
    <n v="1588"/>
    <n v="1068"/>
    <n v="520"/>
    <s v=""/>
  </r>
  <r>
    <x v="10"/>
    <x v="10"/>
    <x v="17"/>
    <x v="0"/>
    <n v="1637"/>
    <n v="1093"/>
    <n v="544"/>
    <s v=""/>
  </r>
  <r>
    <x v="10"/>
    <x v="10"/>
    <x v="17"/>
    <x v="81"/>
    <n v="30"/>
    <n v="24"/>
    <n v="6"/>
    <s v=""/>
  </r>
  <r>
    <x v="10"/>
    <x v="10"/>
    <x v="17"/>
    <x v="82"/>
    <n v="1607"/>
    <n v="1069"/>
    <n v="538"/>
    <s v=""/>
  </r>
  <r>
    <x v="10"/>
    <x v="10"/>
    <x v="18"/>
    <x v="0"/>
    <n v="1652"/>
    <n v="1112"/>
    <n v="540"/>
    <s v=""/>
  </r>
  <r>
    <x v="10"/>
    <x v="10"/>
    <x v="18"/>
    <x v="79"/>
    <n v="6"/>
    <n v="5"/>
    <n v="1"/>
    <s v=""/>
  </r>
  <r>
    <x v="10"/>
    <x v="10"/>
    <x v="18"/>
    <x v="80"/>
    <n v="9"/>
    <n v="8"/>
    <n v="1"/>
    <s v=""/>
  </r>
  <r>
    <x v="10"/>
    <x v="10"/>
    <x v="18"/>
    <x v="82"/>
    <n v="21"/>
    <n v="20"/>
    <n v="1"/>
    <s v=""/>
  </r>
  <r>
    <x v="10"/>
    <x v="10"/>
    <x v="18"/>
    <x v="83"/>
    <n v="1616"/>
    <n v="1079"/>
    <n v="537"/>
    <s v=""/>
  </r>
  <r>
    <x v="10"/>
    <x v="10"/>
    <x v="19"/>
    <x v="0"/>
    <n v="1713"/>
    <n v="1151"/>
    <n v="562"/>
    <s v=""/>
  </r>
  <r>
    <x v="10"/>
    <x v="10"/>
    <x v="19"/>
    <x v="79"/>
    <n v="2"/>
    <n v="1"/>
    <n v="1"/>
    <s v=""/>
  </r>
  <r>
    <x v="10"/>
    <x v="10"/>
    <x v="19"/>
    <x v="81"/>
    <n v="2"/>
    <s v=""/>
    <n v="2"/>
    <s v=""/>
  </r>
  <r>
    <x v="10"/>
    <x v="10"/>
    <x v="19"/>
    <x v="83"/>
    <n v="32"/>
    <n v="28"/>
    <n v="4"/>
    <s v=""/>
  </r>
  <r>
    <x v="10"/>
    <x v="10"/>
    <x v="19"/>
    <x v="84"/>
    <n v="1676"/>
    <n v="1121"/>
    <n v="555"/>
    <s v=""/>
  </r>
  <r>
    <x v="10"/>
    <x v="10"/>
    <x v="19"/>
    <x v="2"/>
    <n v="1"/>
    <n v="1"/>
    <s v=""/>
    <s v=""/>
  </r>
  <r>
    <x v="10"/>
    <x v="10"/>
    <x v="20"/>
    <x v="0"/>
    <n v="1644"/>
    <n v="1092"/>
    <n v="552"/>
    <s v=""/>
  </r>
  <r>
    <x v="10"/>
    <x v="10"/>
    <x v="20"/>
    <x v="84"/>
    <n v="27"/>
    <n v="23"/>
    <n v="4"/>
    <s v=""/>
  </r>
  <r>
    <x v="10"/>
    <x v="10"/>
    <x v="20"/>
    <x v="85"/>
    <n v="1617"/>
    <n v="1069"/>
    <n v="548"/>
    <s v=""/>
  </r>
  <r>
    <x v="10"/>
    <x v="10"/>
    <x v="21"/>
    <x v="0"/>
    <n v="1661"/>
    <n v="1127"/>
    <n v="531"/>
    <n v="3"/>
  </r>
  <r>
    <x v="10"/>
    <x v="10"/>
    <x v="21"/>
    <x v="85"/>
    <n v="40"/>
    <n v="36"/>
    <n v="3"/>
    <n v="1"/>
  </r>
  <r>
    <x v="10"/>
    <x v="10"/>
    <x v="21"/>
    <x v="86"/>
    <n v="1621"/>
    <n v="1091"/>
    <n v="528"/>
    <n v="2"/>
  </r>
  <r>
    <x v="10"/>
    <x v="10"/>
    <x v="22"/>
    <x v="0"/>
    <n v="1728"/>
    <n v="1176"/>
    <n v="551"/>
    <n v="1"/>
  </r>
  <r>
    <x v="10"/>
    <x v="10"/>
    <x v="22"/>
    <x v="48"/>
    <n v="1"/>
    <s v=""/>
    <n v="1"/>
    <s v=""/>
  </r>
  <r>
    <x v="10"/>
    <x v="10"/>
    <x v="22"/>
    <x v="85"/>
    <n v="1"/>
    <s v=""/>
    <n v="1"/>
    <s v=""/>
  </r>
  <r>
    <x v="10"/>
    <x v="10"/>
    <x v="22"/>
    <x v="86"/>
    <n v="39"/>
    <n v="33"/>
    <n v="6"/>
    <s v=""/>
  </r>
  <r>
    <x v="10"/>
    <x v="10"/>
    <x v="22"/>
    <x v="87"/>
    <n v="1687"/>
    <n v="1143"/>
    <n v="543"/>
    <n v="1"/>
  </r>
  <r>
    <x v="10"/>
    <x v="10"/>
    <x v="23"/>
    <x v="0"/>
    <n v="1679"/>
    <n v="1175"/>
    <n v="503"/>
    <n v="1"/>
  </r>
  <r>
    <x v="10"/>
    <x v="10"/>
    <x v="23"/>
    <x v="86"/>
    <n v="1"/>
    <n v="1"/>
    <s v=""/>
    <s v=""/>
  </r>
  <r>
    <x v="10"/>
    <x v="10"/>
    <x v="23"/>
    <x v="87"/>
    <n v="56"/>
    <n v="46"/>
    <n v="9"/>
    <n v="1"/>
  </r>
  <r>
    <x v="10"/>
    <x v="10"/>
    <x v="23"/>
    <x v="88"/>
    <n v="1622"/>
    <n v="1128"/>
    <n v="494"/>
    <s v=""/>
  </r>
  <r>
    <x v="10"/>
    <x v="10"/>
    <x v="24"/>
    <x v="0"/>
    <n v="1864"/>
    <n v="1279"/>
    <n v="584"/>
    <n v="1"/>
  </r>
  <r>
    <x v="10"/>
    <x v="10"/>
    <x v="24"/>
    <x v="88"/>
    <n v="35"/>
    <n v="26"/>
    <n v="9"/>
    <s v=""/>
  </r>
  <r>
    <x v="10"/>
    <x v="10"/>
    <x v="24"/>
    <x v="89"/>
    <n v="1829"/>
    <n v="1253"/>
    <n v="575"/>
    <n v="1"/>
  </r>
  <r>
    <x v="10"/>
    <x v="10"/>
    <x v="25"/>
    <x v="0"/>
    <n v="1893"/>
    <n v="1300"/>
    <n v="593"/>
    <s v=""/>
  </r>
  <r>
    <x v="10"/>
    <x v="10"/>
    <x v="25"/>
    <x v="88"/>
    <n v="1"/>
    <n v="1"/>
    <s v=""/>
    <s v=""/>
  </r>
  <r>
    <x v="10"/>
    <x v="10"/>
    <x v="25"/>
    <x v="89"/>
    <n v="38"/>
    <n v="33"/>
    <n v="5"/>
    <s v=""/>
  </r>
  <r>
    <x v="10"/>
    <x v="10"/>
    <x v="25"/>
    <x v="90"/>
    <n v="1854"/>
    <n v="1266"/>
    <n v="588"/>
    <s v=""/>
  </r>
  <r>
    <x v="10"/>
    <x v="10"/>
    <x v="26"/>
    <x v="0"/>
    <n v="1939"/>
    <n v="1345"/>
    <n v="593"/>
    <n v="1"/>
  </r>
  <r>
    <x v="10"/>
    <x v="10"/>
    <x v="26"/>
    <x v="84"/>
    <n v="1"/>
    <n v="1"/>
    <s v=""/>
    <s v=""/>
  </r>
  <r>
    <x v="10"/>
    <x v="10"/>
    <x v="26"/>
    <x v="85"/>
    <n v="2"/>
    <n v="1"/>
    <n v="1"/>
    <s v=""/>
  </r>
  <r>
    <x v="10"/>
    <x v="10"/>
    <x v="26"/>
    <x v="89"/>
    <n v="1"/>
    <n v="1"/>
    <s v=""/>
    <s v=""/>
  </r>
  <r>
    <x v="10"/>
    <x v="10"/>
    <x v="26"/>
    <x v="90"/>
    <n v="30"/>
    <n v="24"/>
    <n v="6"/>
    <s v=""/>
  </r>
  <r>
    <x v="10"/>
    <x v="10"/>
    <x v="26"/>
    <x v="91"/>
    <n v="1905"/>
    <n v="1318"/>
    <n v="586"/>
    <n v="1"/>
  </r>
  <r>
    <x v="10"/>
    <x v="10"/>
    <x v="27"/>
    <x v="0"/>
    <n v="1806"/>
    <n v="1225"/>
    <n v="581"/>
    <s v=""/>
  </r>
  <r>
    <x v="10"/>
    <x v="10"/>
    <x v="27"/>
    <x v="91"/>
    <n v="7"/>
    <n v="6"/>
    <n v="1"/>
    <s v=""/>
  </r>
  <r>
    <x v="10"/>
    <x v="10"/>
    <x v="27"/>
    <x v="92"/>
    <n v="1799"/>
    <n v="1219"/>
    <n v="580"/>
    <s v=""/>
  </r>
  <r>
    <x v="10"/>
    <x v="10"/>
    <x v="28"/>
    <x v="0"/>
    <n v="1848"/>
    <n v="1266"/>
    <n v="582"/>
    <s v=""/>
  </r>
  <r>
    <x v="10"/>
    <x v="10"/>
    <x v="28"/>
    <x v="89"/>
    <n v="1"/>
    <n v="1"/>
    <s v=""/>
    <s v=""/>
  </r>
  <r>
    <x v="10"/>
    <x v="10"/>
    <x v="28"/>
    <x v="92"/>
    <n v="13"/>
    <n v="8"/>
    <n v="5"/>
    <s v=""/>
  </r>
  <r>
    <x v="10"/>
    <x v="10"/>
    <x v="28"/>
    <x v="93"/>
    <n v="1834"/>
    <n v="1257"/>
    <n v="577"/>
    <s v=""/>
  </r>
  <r>
    <x v="10"/>
    <x v="10"/>
    <x v="29"/>
    <x v="0"/>
    <n v="1824"/>
    <n v="1220"/>
    <n v="604"/>
    <s v=""/>
  </r>
  <r>
    <x v="10"/>
    <x v="10"/>
    <x v="29"/>
    <x v="92"/>
    <n v="1"/>
    <n v="1"/>
    <s v=""/>
    <s v=""/>
  </r>
  <r>
    <x v="10"/>
    <x v="10"/>
    <x v="29"/>
    <x v="93"/>
    <n v="13"/>
    <n v="10"/>
    <n v="3"/>
    <s v=""/>
  </r>
  <r>
    <x v="10"/>
    <x v="10"/>
    <x v="29"/>
    <x v="94"/>
    <n v="1810"/>
    <n v="1209"/>
    <n v="601"/>
    <s v=""/>
  </r>
  <r>
    <x v="10"/>
    <x v="10"/>
    <x v="30"/>
    <x v="0"/>
    <n v="3404"/>
    <n v="2437"/>
    <n v="967"/>
    <s v=""/>
  </r>
  <r>
    <x v="10"/>
    <x v="10"/>
    <x v="30"/>
    <x v="94"/>
    <n v="14"/>
    <n v="10"/>
    <n v="4"/>
    <s v=""/>
  </r>
  <r>
    <x v="10"/>
    <x v="10"/>
    <x v="30"/>
    <x v="95"/>
    <n v="3390"/>
    <n v="2427"/>
    <n v="963"/>
    <s v=""/>
  </r>
  <r>
    <x v="10"/>
    <x v="10"/>
    <x v="31"/>
    <x v="0"/>
    <n v="3166"/>
    <n v="2181"/>
    <n v="985"/>
    <s v=""/>
  </r>
  <r>
    <x v="10"/>
    <x v="10"/>
    <x v="31"/>
    <x v="95"/>
    <n v="14"/>
    <n v="11"/>
    <n v="3"/>
    <s v=""/>
  </r>
  <r>
    <x v="10"/>
    <x v="10"/>
    <x v="31"/>
    <x v="96"/>
    <n v="3152"/>
    <n v="2170"/>
    <n v="982"/>
    <s v=""/>
  </r>
  <r>
    <x v="10"/>
    <x v="10"/>
    <x v="32"/>
    <x v="0"/>
    <n v="1663"/>
    <n v="1128"/>
    <n v="535"/>
    <s v=""/>
  </r>
  <r>
    <x v="10"/>
    <x v="10"/>
    <x v="32"/>
    <x v="81"/>
    <n v="3"/>
    <n v="3"/>
    <s v=""/>
    <s v=""/>
  </r>
  <r>
    <x v="10"/>
    <x v="10"/>
    <x v="32"/>
    <x v="84"/>
    <n v="2"/>
    <n v="2"/>
    <s v=""/>
    <s v=""/>
  </r>
  <r>
    <x v="10"/>
    <x v="10"/>
    <x v="32"/>
    <x v="96"/>
    <n v="5"/>
    <n v="1"/>
    <n v="4"/>
    <s v=""/>
  </r>
  <r>
    <x v="10"/>
    <x v="10"/>
    <x v="32"/>
    <x v="97"/>
    <n v="1653"/>
    <n v="1122"/>
    <n v="531"/>
    <s v=""/>
  </r>
  <r>
    <x v="10"/>
    <x v="10"/>
    <x v="33"/>
    <x v="0"/>
    <n v="1670"/>
    <n v="1131"/>
    <n v="539"/>
    <s v=""/>
  </r>
  <r>
    <x v="10"/>
    <x v="10"/>
    <x v="33"/>
    <x v="97"/>
    <n v="3"/>
    <n v="2"/>
    <n v="1"/>
    <s v=""/>
  </r>
  <r>
    <x v="10"/>
    <x v="10"/>
    <x v="33"/>
    <x v="98"/>
    <n v="1667"/>
    <n v="1129"/>
    <n v="538"/>
    <s v=""/>
  </r>
  <r>
    <x v="10"/>
    <x v="10"/>
    <x v="34"/>
    <x v="0"/>
    <n v="1719"/>
    <n v="1154"/>
    <n v="565"/>
    <s v=""/>
  </r>
  <r>
    <x v="10"/>
    <x v="10"/>
    <x v="34"/>
    <x v="95"/>
    <n v="1"/>
    <n v="1"/>
    <s v=""/>
    <s v=""/>
  </r>
  <r>
    <x v="10"/>
    <x v="10"/>
    <x v="34"/>
    <x v="97"/>
    <n v="1"/>
    <n v="1"/>
    <s v=""/>
    <s v=""/>
  </r>
  <r>
    <x v="10"/>
    <x v="10"/>
    <x v="34"/>
    <x v="98"/>
    <n v="5"/>
    <n v="3"/>
    <n v="2"/>
    <s v=""/>
  </r>
  <r>
    <x v="10"/>
    <x v="10"/>
    <x v="34"/>
    <x v="99"/>
    <n v="1712"/>
    <n v="1149"/>
    <n v="563"/>
    <s v=""/>
  </r>
  <r>
    <x v="11"/>
    <x v="11"/>
    <x v="0"/>
    <x v="0"/>
    <n v="1811"/>
    <n v="1137"/>
    <n v="673"/>
    <n v="1"/>
  </r>
  <r>
    <x v="11"/>
    <x v="11"/>
    <x v="0"/>
    <x v="1"/>
    <n v="1801"/>
    <n v="1127"/>
    <n v="673"/>
    <n v="1"/>
  </r>
  <r>
    <x v="11"/>
    <x v="11"/>
    <x v="0"/>
    <x v="2"/>
    <n v="10"/>
    <n v="10"/>
    <s v=""/>
    <s v=""/>
  </r>
  <r>
    <x v="11"/>
    <x v="11"/>
    <x v="1"/>
    <x v="0"/>
    <n v="1658"/>
    <n v="1042"/>
    <n v="615"/>
    <n v="1"/>
  </r>
  <r>
    <x v="11"/>
    <x v="11"/>
    <x v="1"/>
    <x v="4"/>
    <n v="1652"/>
    <n v="1037"/>
    <n v="615"/>
    <s v=""/>
  </r>
  <r>
    <x v="11"/>
    <x v="11"/>
    <x v="1"/>
    <x v="2"/>
    <n v="6"/>
    <n v="5"/>
    <s v=""/>
    <n v="1"/>
  </r>
  <r>
    <x v="11"/>
    <x v="11"/>
    <x v="2"/>
    <x v="0"/>
    <n v="1849"/>
    <n v="1146"/>
    <n v="703"/>
    <s v=""/>
  </r>
  <r>
    <x v="11"/>
    <x v="11"/>
    <x v="2"/>
    <x v="5"/>
    <n v="1844"/>
    <n v="1142"/>
    <n v="702"/>
    <s v=""/>
  </r>
  <r>
    <x v="11"/>
    <x v="11"/>
    <x v="2"/>
    <x v="2"/>
    <n v="5"/>
    <n v="4"/>
    <n v="1"/>
    <s v=""/>
  </r>
  <r>
    <x v="11"/>
    <x v="11"/>
    <x v="3"/>
    <x v="0"/>
    <n v="1943"/>
    <n v="1210"/>
    <n v="733"/>
    <s v=""/>
  </r>
  <r>
    <x v="11"/>
    <x v="11"/>
    <x v="3"/>
    <x v="15"/>
    <n v="1"/>
    <n v="1"/>
    <s v=""/>
    <s v=""/>
  </r>
  <r>
    <x v="11"/>
    <x v="11"/>
    <x v="3"/>
    <x v="16"/>
    <n v="1"/>
    <s v=""/>
    <n v="1"/>
    <s v=""/>
  </r>
  <r>
    <x v="11"/>
    <x v="11"/>
    <x v="3"/>
    <x v="17"/>
    <n v="1"/>
    <s v=""/>
    <n v="1"/>
    <s v=""/>
  </r>
  <r>
    <x v="11"/>
    <x v="11"/>
    <x v="3"/>
    <x v="5"/>
    <n v="3"/>
    <n v="3"/>
    <s v=""/>
    <s v=""/>
  </r>
  <r>
    <x v="11"/>
    <x v="11"/>
    <x v="3"/>
    <x v="18"/>
    <n v="1928"/>
    <n v="1198"/>
    <n v="730"/>
    <s v=""/>
  </r>
  <r>
    <x v="11"/>
    <x v="11"/>
    <x v="3"/>
    <x v="2"/>
    <n v="9"/>
    <n v="8"/>
    <n v="1"/>
    <s v=""/>
  </r>
  <r>
    <x v="11"/>
    <x v="11"/>
    <x v="4"/>
    <x v="0"/>
    <n v="1844"/>
    <n v="1173"/>
    <n v="671"/>
    <s v=""/>
  </r>
  <r>
    <x v="11"/>
    <x v="11"/>
    <x v="4"/>
    <x v="18"/>
    <n v="10"/>
    <n v="5"/>
    <n v="5"/>
    <s v=""/>
  </r>
  <r>
    <x v="11"/>
    <x v="11"/>
    <x v="4"/>
    <x v="30"/>
    <n v="1834"/>
    <n v="1168"/>
    <n v="666"/>
    <s v=""/>
  </r>
  <r>
    <x v="11"/>
    <x v="11"/>
    <x v="5"/>
    <x v="0"/>
    <n v="1876"/>
    <n v="1181"/>
    <n v="695"/>
    <s v=""/>
  </r>
  <r>
    <x v="11"/>
    <x v="11"/>
    <x v="5"/>
    <x v="36"/>
    <n v="1"/>
    <n v="1"/>
    <s v=""/>
    <s v=""/>
  </r>
  <r>
    <x v="11"/>
    <x v="11"/>
    <x v="5"/>
    <x v="24"/>
    <n v="1"/>
    <n v="1"/>
    <s v=""/>
    <s v=""/>
  </r>
  <r>
    <x v="11"/>
    <x v="11"/>
    <x v="5"/>
    <x v="43"/>
    <n v="1"/>
    <n v="1"/>
    <s v=""/>
    <s v=""/>
  </r>
  <r>
    <x v="11"/>
    <x v="11"/>
    <x v="5"/>
    <x v="30"/>
    <n v="15"/>
    <n v="10"/>
    <n v="5"/>
    <s v=""/>
  </r>
  <r>
    <x v="11"/>
    <x v="11"/>
    <x v="5"/>
    <x v="44"/>
    <n v="1858"/>
    <n v="1168"/>
    <n v="690"/>
    <s v=""/>
  </r>
  <r>
    <x v="11"/>
    <x v="11"/>
    <x v="6"/>
    <x v="0"/>
    <n v="1865"/>
    <n v="1198"/>
    <n v="667"/>
    <s v=""/>
  </r>
  <r>
    <x v="11"/>
    <x v="11"/>
    <x v="6"/>
    <x v="30"/>
    <n v="1"/>
    <n v="1"/>
    <s v=""/>
    <s v=""/>
  </r>
  <r>
    <x v="11"/>
    <x v="11"/>
    <x v="6"/>
    <x v="44"/>
    <n v="9"/>
    <n v="8"/>
    <n v="1"/>
    <s v=""/>
  </r>
  <r>
    <x v="11"/>
    <x v="11"/>
    <x v="6"/>
    <x v="50"/>
    <n v="1855"/>
    <n v="1189"/>
    <n v="666"/>
    <s v=""/>
  </r>
  <r>
    <x v="11"/>
    <x v="11"/>
    <x v="7"/>
    <x v="0"/>
    <n v="1959"/>
    <n v="1222"/>
    <n v="737"/>
    <s v=""/>
  </r>
  <r>
    <x v="11"/>
    <x v="11"/>
    <x v="7"/>
    <x v="52"/>
    <n v="1"/>
    <s v=""/>
    <n v="1"/>
    <s v=""/>
  </r>
  <r>
    <x v="11"/>
    <x v="11"/>
    <x v="7"/>
    <x v="18"/>
    <n v="1"/>
    <n v="1"/>
    <s v=""/>
    <s v=""/>
  </r>
  <r>
    <x v="11"/>
    <x v="11"/>
    <x v="7"/>
    <x v="50"/>
    <n v="9"/>
    <n v="9"/>
    <s v=""/>
    <s v=""/>
  </r>
  <r>
    <x v="11"/>
    <x v="11"/>
    <x v="7"/>
    <x v="57"/>
    <n v="1948"/>
    <n v="1212"/>
    <n v="736"/>
    <s v=""/>
  </r>
  <r>
    <x v="11"/>
    <x v="11"/>
    <x v="8"/>
    <x v="0"/>
    <n v="1938"/>
    <n v="1237"/>
    <n v="701"/>
    <s v=""/>
  </r>
  <r>
    <x v="11"/>
    <x v="11"/>
    <x v="8"/>
    <x v="62"/>
    <n v="1"/>
    <s v=""/>
    <n v="1"/>
    <s v=""/>
  </r>
  <r>
    <x v="11"/>
    <x v="11"/>
    <x v="8"/>
    <x v="67"/>
    <n v="1"/>
    <s v=""/>
    <n v="1"/>
    <s v=""/>
  </r>
  <r>
    <x v="11"/>
    <x v="11"/>
    <x v="8"/>
    <x v="57"/>
    <n v="11"/>
    <n v="9"/>
    <n v="2"/>
    <s v=""/>
  </r>
  <r>
    <x v="11"/>
    <x v="11"/>
    <x v="8"/>
    <x v="69"/>
    <n v="1925"/>
    <n v="1228"/>
    <n v="697"/>
    <s v=""/>
  </r>
  <r>
    <x v="11"/>
    <x v="11"/>
    <x v="9"/>
    <x v="0"/>
    <n v="1859"/>
    <n v="1153"/>
    <n v="706"/>
    <s v=""/>
  </r>
  <r>
    <x v="11"/>
    <x v="11"/>
    <x v="9"/>
    <x v="69"/>
    <n v="5"/>
    <n v="3"/>
    <n v="2"/>
    <s v=""/>
  </r>
  <r>
    <x v="11"/>
    <x v="11"/>
    <x v="9"/>
    <x v="71"/>
    <n v="1854"/>
    <n v="1150"/>
    <n v="704"/>
    <s v=""/>
  </r>
  <r>
    <x v="11"/>
    <x v="11"/>
    <x v="10"/>
    <x v="0"/>
    <n v="1872"/>
    <n v="1139"/>
    <n v="733"/>
    <s v=""/>
  </r>
  <r>
    <x v="11"/>
    <x v="11"/>
    <x v="10"/>
    <x v="71"/>
    <n v="8"/>
    <n v="8"/>
    <s v=""/>
    <s v=""/>
  </r>
  <r>
    <x v="11"/>
    <x v="11"/>
    <x v="10"/>
    <x v="73"/>
    <n v="1864"/>
    <n v="1131"/>
    <n v="733"/>
    <s v=""/>
  </r>
  <r>
    <x v="11"/>
    <x v="11"/>
    <x v="11"/>
    <x v="0"/>
    <n v="1932"/>
    <n v="1169"/>
    <n v="763"/>
    <s v=""/>
  </r>
  <r>
    <x v="11"/>
    <x v="11"/>
    <x v="11"/>
    <x v="73"/>
    <n v="15"/>
    <n v="10"/>
    <n v="5"/>
    <s v=""/>
  </r>
  <r>
    <x v="11"/>
    <x v="11"/>
    <x v="11"/>
    <x v="74"/>
    <n v="1917"/>
    <n v="1159"/>
    <n v="758"/>
    <s v=""/>
  </r>
  <r>
    <x v="11"/>
    <x v="11"/>
    <x v="12"/>
    <x v="0"/>
    <n v="1937"/>
    <n v="1181"/>
    <n v="756"/>
    <s v=""/>
  </r>
  <r>
    <x v="11"/>
    <x v="11"/>
    <x v="12"/>
    <x v="75"/>
    <n v="1"/>
    <n v="1"/>
    <s v=""/>
    <s v=""/>
  </r>
  <r>
    <x v="11"/>
    <x v="11"/>
    <x v="12"/>
    <x v="74"/>
    <n v="15"/>
    <n v="10"/>
    <n v="5"/>
    <s v=""/>
  </r>
  <r>
    <x v="11"/>
    <x v="11"/>
    <x v="12"/>
    <x v="77"/>
    <n v="1921"/>
    <n v="1170"/>
    <n v="751"/>
    <s v=""/>
  </r>
  <r>
    <x v="11"/>
    <x v="11"/>
    <x v="13"/>
    <x v="0"/>
    <n v="2013"/>
    <n v="1252"/>
    <n v="761"/>
    <s v=""/>
  </r>
  <r>
    <x v="11"/>
    <x v="11"/>
    <x v="13"/>
    <x v="77"/>
    <n v="10"/>
    <n v="4"/>
    <n v="6"/>
    <s v=""/>
  </r>
  <r>
    <x v="11"/>
    <x v="11"/>
    <x v="13"/>
    <x v="78"/>
    <n v="2003"/>
    <n v="1248"/>
    <n v="755"/>
    <s v=""/>
  </r>
  <r>
    <x v="11"/>
    <x v="11"/>
    <x v="14"/>
    <x v="0"/>
    <n v="1977"/>
    <n v="1220"/>
    <n v="757"/>
    <s v=""/>
  </r>
  <r>
    <x v="11"/>
    <x v="11"/>
    <x v="14"/>
    <x v="74"/>
    <n v="1"/>
    <s v=""/>
    <n v="1"/>
    <s v=""/>
  </r>
  <r>
    <x v="11"/>
    <x v="11"/>
    <x v="14"/>
    <x v="77"/>
    <n v="1"/>
    <n v="1"/>
    <s v=""/>
    <s v=""/>
  </r>
  <r>
    <x v="11"/>
    <x v="11"/>
    <x v="14"/>
    <x v="78"/>
    <n v="15"/>
    <n v="13"/>
    <n v="2"/>
    <s v=""/>
  </r>
  <r>
    <x v="11"/>
    <x v="11"/>
    <x v="14"/>
    <x v="79"/>
    <n v="1960"/>
    <n v="1206"/>
    <n v="754"/>
    <s v=""/>
  </r>
  <r>
    <x v="11"/>
    <x v="11"/>
    <x v="15"/>
    <x v="0"/>
    <n v="2075"/>
    <n v="1269"/>
    <n v="806"/>
    <s v=""/>
  </r>
  <r>
    <x v="11"/>
    <x v="11"/>
    <x v="15"/>
    <x v="44"/>
    <n v="1"/>
    <n v="1"/>
    <s v=""/>
    <s v=""/>
  </r>
  <r>
    <x v="11"/>
    <x v="11"/>
    <x v="15"/>
    <x v="78"/>
    <n v="1"/>
    <s v=""/>
    <n v="1"/>
    <s v=""/>
  </r>
  <r>
    <x v="11"/>
    <x v="11"/>
    <x v="15"/>
    <x v="79"/>
    <n v="10"/>
    <n v="8"/>
    <n v="2"/>
    <s v=""/>
  </r>
  <r>
    <x v="11"/>
    <x v="11"/>
    <x v="15"/>
    <x v="80"/>
    <n v="2063"/>
    <n v="1260"/>
    <n v="803"/>
    <s v=""/>
  </r>
  <r>
    <x v="11"/>
    <x v="11"/>
    <x v="16"/>
    <x v="0"/>
    <n v="2006"/>
    <n v="1240"/>
    <n v="766"/>
    <s v=""/>
  </r>
  <r>
    <x v="11"/>
    <x v="11"/>
    <x v="16"/>
    <x v="80"/>
    <n v="29"/>
    <n v="22"/>
    <n v="7"/>
    <s v=""/>
  </r>
  <r>
    <x v="11"/>
    <x v="11"/>
    <x v="16"/>
    <x v="81"/>
    <n v="1977"/>
    <n v="1218"/>
    <n v="759"/>
    <s v=""/>
  </r>
  <r>
    <x v="11"/>
    <x v="11"/>
    <x v="17"/>
    <x v="0"/>
    <n v="2137"/>
    <n v="1372"/>
    <n v="765"/>
    <s v=""/>
  </r>
  <r>
    <x v="11"/>
    <x v="11"/>
    <x v="17"/>
    <x v="81"/>
    <n v="18"/>
    <n v="17"/>
    <n v="1"/>
    <s v=""/>
  </r>
  <r>
    <x v="11"/>
    <x v="11"/>
    <x v="17"/>
    <x v="82"/>
    <n v="2119"/>
    <n v="1355"/>
    <n v="764"/>
    <s v=""/>
  </r>
  <r>
    <x v="11"/>
    <x v="11"/>
    <x v="18"/>
    <x v="0"/>
    <n v="2138"/>
    <n v="1306"/>
    <n v="832"/>
    <s v=""/>
  </r>
  <r>
    <x v="11"/>
    <x v="11"/>
    <x v="18"/>
    <x v="79"/>
    <n v="7"/>
    <n v="7"/>
    <s v=""/>
    <s v=""/>
  </r>
  <r>
    <x v="11"/>
    <x v="11"/>
    <x v="18"/>
    <x v="80"/>
    <n v="5"/>
    <n v="3"/>
    <n v="2"/>
    <s v=""/>
  </r>
  <r>
    <x v="11"/>
    <x v="11"/>
    <x v="18"/>
    <x v="82"/>
    <n v="27"/>
    <n v="25"/>
    <n v="2"/>
    <s v=""/>
  </r>
  <r>
    <x v="11"/>
    <x v="11"/>
    <x v="18"/>
    <x v="83"/>
    <n v="2099"/>
    <n v="1271"/>
    <n v="828"/>
    <s v=""/>
  </r>
  <r>
    <x v="11"/>
    <x v="11"/>
    <x v="19"/>
    <x v="0"/>
    <n v="2298"/>
    <n v="1416"/>
    <n v="881"/>
    <n v="1"/>
  </r>
  <r>
    <x v="11"/>
    <x v="11"/>
    <x v="19"/>
    <x v="79"/>
    <n v="1"/>
    <n v="1"/>
    <s v=""/>
    <s v=""/>
  </r>
  <r>
    <x v="11"/>
    <x v="11"/>
    <x v="19"/>
    <x v="83"/>
    <n v="23"/>
    <n v="21"/>
    <n v="2"/>
    <s v=""/>
  </r>
  <r>
    <x v="11"/>
    <x v="11"/>
    <x v="19"/>
    <x v="84"/>
    <n v="2274"/>
    <n v="1394"/>
    <n v="879"/>
    <n v="1"/>
  </r>
  <r>
    <x v="11"/>
    <x v="11"/>
    <x v="20"/>
    <x v="0"/>
    <n v="2266"/>
    <n v="1440"/>
    <n v="826"/>
    <s v=""/>
  </r>
  <r>
    <x v="11"/>
    <x v="11"/>
    <x v="20"/>
    <x v="81"/>
    <n v="1"/>
    <n v="1"/>
    <s v=""/>
    <s v=""/>
  </r>
  <r>
    <x v="11"/>
    <x v="11"/>
    <x v="20"/>
    <x v="84"/>
    <n v="20"/>
    <n v="17"/>
    <n v="3"/>
    <s v=""/>
  </r>
  <r>
    <x v="11"/>
    <x v="11"/>
    <x v="20"/>
    <x v="85"/>
    <n v="2245"/>
    <n v="1422"/>
    <n v="823"/>
    <s v=""/>
  </r>
  <r>
    <x v="11"/>
    <x v="11"/>
    <x v="21"/>
    <x v="0"/>
    <n v="2183"/>
    <n v="1387"/>
    <n v="796"/>
    <s v=""/>
  </r>
  <r>
    <x v="11"/>
    <x v="11"/>
    <x v="21"/>
    <x v="85"/>
    <n v="45"/>
    <n v="37"/>
    <n v="8"/>
    <s v=""/>
  </r>
  <r>
    <x v="11"/>
    <x v="11"/>
    <x v="21"/>
    <x v="86"/>
    <n v="2138"/>
    <n v="1350"/>
    <n v="788"/>
    <s v=""/>
  </r>
  <r>
    <x v="11"/>
    <x v="11"/>
    <x v="22"/>
    <x v="0"/>
    <n v="2275"/>
    <n v="1491"/>
    <n v="784"/>
    <s v=""/>
  </r>
  <r>
    <x v="11"/>
    <x v="11"/>
    <x v="22"/>
    <x v="86"/>
    <n v="35"/>
    <n v="31"/>
    <n v="4"/>
    <s v=""/>
  </r>
  <r>
    <x v="11"/>
    <x v="11"/>
    <x v="22"/>
    <x v="87"/>
    <n v="2240"/>
    <n v="1460"/>
    <n v="780"/>
    <s v=""/>
  </r>
  <r>
    <x v="11"/>
    <x v="11"/>
    <x v="23"/>
    <x v="0"/>
    <n v="2258"/>
    <n v="1383"/>
    <n v="874"/>
    <n v="1"/>
  </r>
  <r>
    <x v="11"/>
    <x v="11"/>
    <x v="23"/>
    <x v="87"/>
    <n v="38"/>
    <n v="34"/>
    <n v="4"/>
    <s v=""/>
  </r>
  <r>
    <x v="11"/>
    <x v="11"/>
    <x v="23"/>
    <x v="88"/>
    <n v="2220"/>
    <n v="1349"/>
    <n v="870"/>
    <n v="1"/>
  </r>
  <r>
    <x v="11"/>
    <x v="11"/>
    <x v="24"/>
    <x v="0"/>
    <n v="2295"/>
    <n v="1473"/>
    <n v="821"/>
    <n v="1"/>
  </r>
  <r>
    <x v="11"/>
    <x v="11"/>
    <x v="24"/>
    <x v="85"/>
    <n v="1"/>
    <n v="1"/>
    <s v=""/>
    <s v=""/>
  </r>
  <r>
    <x v="11"/>
    <x v="11"/>
    <x v="24"/>
    <x v="86"/>
    <n v="3"/>
    <n v="3"/>
    <s v=""/>
    <s v=""/>
  </r>
  <r>
    <x v="11"/>
    <x v="11"/>
    <x v="24"/>
    <x v="88"/>
    <n v="29"/>
    <n v="25"/>
    <n v="4"/>
    <s v=""/>
  </r>
  <r>
    <x v="11"/>
    <x v="11"/>
    <x v="24"/>
    <x v="89"/>
    <n v="2262"/>
    <n v="1444"/>
    <n v="817"/>
    <n v="1"/>
  </r>
  <r>
    <x v="11"/>
    <x v="11"/>
    <x v="25"/>
    <x v="0"/>
    <n v="2358"/>
    <n v="1503"/>
    <n v="855"/>
    <s v=""/>
  </r>
  <r>
    <x v="11"/>
    <x v="11"/>
    <x v="25"/>
    <x v="89"/>
    <n v="34"/>
    <n v="33"/>
    <n v="1"/>
    <s v=""/>
  </r>
  <r>
    <x v="11"/>
    <x v="11"/>
    <x v="25"/>
    <x v="90"/>
    <n v="2324"/>
    <n v="1470"/>
    <n v="854"/>
    <s v=""/>
  </r>
  <r>
    <x v="11"/>
    <x v="11"/>
    <x v="26"/>
    <x v="0"/>
    <n v="2429"/>
    <n v="1579"/>
    <n v="850"/>
    <s v=""/>
  </r>
  <r>
    <x v="11"/>
    <x v="11"/>
    <x v="26"/>
    <x v="89"/>
    <n v="1"/>
    <n v="1"/>
    <s v=""/>
    <s v=""/>
  </r>
  <r>
    <x v="11"/>
    <x v="11"/>
    <x v="26"/>
    <x v="90"/>
    <n v="23"/>
    <n v="20"/>
    <n v="3"/>
    <s v=""/>
  </r>
  <r>
    <x v="11"/>
    <x v="11"/>
    <x v="26"/>
    <x v="91"/>
    <n v="2405"/>
    <n v="1558"/>
    <n v="847"/>
    <s v=""/>
  </r>
  <r>
    <x v="11"/>
    <x v="11"/>
    <x v="27"/>
    <x v="0"/>
    <n v="2523"/>
    <n v="1596"/>
    <n v="927"/>
    <s v=""/>
  </r>
  <r>
    <x v="11"/>
    <x v="11"/>
    <x v="27"/>
    <x v="91"/>
    <n v="9"/>
    <n v="6"/>
    <n v="3"/>
    <s v=""/>
  </r>
  <r>
    <x v="11"/>
    <x v="11"/>
    <x v="27"/>
    <x v="92"/>
    <n v="2514"/>
    <n v="1590"/>
    <n v="924"/>
    <s v=""/>
  </r>
  <r>
    <x v="11"/>
    <x v="11"/>
    <x v="28"/>
    <x v="0"/>
    <n v="2512"/>
    <n v="1591"/>
    <n v="921"/>
    <s v=""/>
  </r>
  <r>
    <x v="11"/>
    <x v="11"/>
    <x v="28"/>
    <x v="91"/>
    <n v="1"/>
    <s v=""/>
    <n v="1"/>
    <s v=""/>
  </r>
  <r>
    <x v="11"/>
    <x v="11"/>
    <x v="28"/>
    <x v="92"/>
    <n v="27"/>
    <n v="19"/>
    <n v="8"/>
    <s v=""/>
  </r>
  <r>
    <x v="11"/>
    <x v="11"/>
    <x v="28"/>
    <x v="93"/>
    <n v="2484"/>
    <n v="1572"/>
    <n v="912"/>
    <s v=""/>
  </r>
  <r>
    <x v="11"/>
    <x v="11"/>
    <x v="29"/>
    <x v="0"/>
    <n v="2608"/>
    <n v="1687"/>
    <n v="921"/>
    <s v=""/>
  </r>
  <r>
    <x v="11"/>
    <x v="11"/>
    <x v="29"/>
    <x v="93"/>
    <n v="13"/>
    <n v="7"/>
    <n v="6"/>
    <s v=""/>
  </r>
  <r>
    <x v="11"/>
    <x v="11"/>
    <x v="29"/>
    <x v="94"/>
    <n v="2595"/>
    <n v="1680"/>
    <n v="915"/>
    <s v=""/>
  </r>
  <r>
    <x v="11"/>
    <x v="11"/>
    <x v="30"/>
    <x v="0"/>
    <n v="5367"/>
    <n v="3679"/>
    <n v="1688"/>
    <s v=""/>
  </r>
  <r>
    <x v="11"/>
    <x v="11"/>
    <x v="30"/>
    <x v="94"/>
    <n v="16"/>
    <n v="9"/>
    <n v="7"/>
    <s v=""/>
  </r>
  <r>
    <x v="11"/>
    <x v="11"/>
    <x v="30"/>
    <x v="95"/>
    <n v="5351"/>
    <n v="3670"/>
    <n v="1681"/>
    <s v=""/>
  </r>
  <r>
    <x v="11"/>
    <x v="11"/>
    <x v="31"/>
    <x v="0"/>
    <n v="5116"/>
    <n v="3499"/>
    <n v="1617"/>
    <s v=""/>
  </r>
  <r>
    <x v="11"/>
    <x v="11"/>
    <x v="31"/>
    <x v="95"/>
    <n v="26"/>
    <n v="14"/>
    <n v="12"/>
    <s v=""/>
  </r>
  <r>
    <x v="11"/>
    <x v="11"/>
    <x v="31"/>
    <x v="96"/>
    <n v="5089"/>
    <n v="3484"/>
    <n v="1605"/>
    <s v=""/>
  </r>
  <r>
    <x v="11"/>
    <x v="11"/>
    <x v="31"/>
    <x v="2"/>
    <n v="1"/>
    <n v="1"/>
    <s v=""/>
    <s v=""/>
  </r>
  <r>
    <x v="11"/>
    <x v="11"/>
    <x v="32"/>
    <x v="0"/>
    <n v="2646"/>
    <n v="1730"/>
    <n v="916"/>
    <s v=""/>
  </r>
  <r>
    <x v="11"/>
    <x v="11"/>
    <x v="32"/>
    <x v="82"/>
    <n v="1"/>
    <n v="1"/>
    <s v=""/>
    <s v=""/>
  </r>
  <r>
    <x v="11"/>
    <x v="11"/>
    <x v="32"/>
    <x v="83"/>
    <n v="1"/>
    <s v=""/>
    <n v="1"/>
    <s v=""/>
  </r>
  <r>
    <x v="11"/>
    <x v="11"/>
    <x v="32"/>
    <x v="84"/>
    <n v="2"/>
    <n v="2"/>
    <s v=""/>
    <s v=""/>
  </r>
  <r>
    <x v="11"/>
    <x v="11"/>
    <x v="32"/>
    <x v="85"/>
    <n v="1"/>
    <n v="1"/>
    <s v=""/>
    <s v=""/>
  </r>
  <r>
    <x v="11"/>
    <x v="11"/>
    <x v="32"/>
    <x v="95"/>
    <n v="2"/>
    <s v=""/>
    <n v="2"/>
    <s v=""/>
  </r>
  <r>
    <x v="11"/>
    <x v="11"/>
    <x v="32"/>
    <x v="96"/>
    <n v="10"/>
    <n v="7"/>
    <n v="3"/>
    <s v=""/>
  </r>
  <r>
    <x v="11"/>
    <x v="11"/>
    <x v="32"/>
    <x v="97"/>
    <n v="2629"/>
    <n v="1719"/>
    <n v="910"/>
    <s v=""/>
  </r>
  <r>
    <x v="11"/>
    <x v="11"/>
    <x v="33"/>
    <x v="0"/>
    <n v="2424"/>
    <n v="1568"/>
    <n v="856"/>
    <s v=""/>
  </r>
  <r>
    <x v="11"/>
    <x v="11"/>
    <x v="33"/>
    <x v="97"/>
    <n v="11"/>
    <n v="8"/>
    <n v="3"/>
    <s v=""/>
  </r>
  <r>
    <x v="11"/>
    <x v="11"/>
    <x v="33"/>
    <x v="98"/>
    <n v="2413"/>
    <n v="1560"/>
    <n v="853"/>
    <s v=""/>
  </r>
  <r>
    <x v="11"/>
    <x v="11"/>
    <x v="34"/>
    <x v="0"/>
    <n v="2376"/>
    <n v="1545"/>
    <n v="831"/>
    <s v=""/>
  </r>
  <r>
    <x v="11"/>
    <x v="11"/>
    <x v="34"/>
    <x v="98"/>
    <n v="4"/>
    <n v="3"/>
    <n v="1"/>
    <s v=""/>
  </r>
  <r>
    <x v="11"/>
    <x v="11"/>
    <x v="34"/>
    <x v="99"/>
    <n v="2372"/>
    <n v="1542"/>
    <n v="830"/>
    <s v=""/>
  </r>
  <r>
    <x v="12"/>
    <x v="12"/>
    <x v="0"/>
    <x v="0"/>
    <n v="2154"/>
    <n v="1274"/>
    <n v="879"/>
    <n v="1"/>
  </r>
  <r>
    <x v="12"/>
    <x v="12"/>
    <x v="0"/>
    <x v="1"/>
    <n v="2145"/>
    <n v="1266"/>
    <n v="878"/>
    <n v="1"/>
  </r>
  <r>
    <x v="12"/>
    <x v="12"/>
    <x v="0"/>
    <x v="2"/>
    <n v="9"/>
    <n v="8"/>
    <n v="1"/>
    <s v=""/>
  </r>
  <r>
    <x v="12"/>
    <x v="12"/>
    <x v="1"/>
    <x v="0"/>
    <n v="2080"/>
    <n v="1244"/>
    <n v="835"/>
    <n v="1"/>
  </r>
  <r>
    <x v="12"/>
    <x v="12"/>
    <x v="1"/>
    <x v="4"/>
    <n v="2075"/>
    <n v="1241"/>
    <n v="833"/>
    <n v="1"/>
  </r>
  <r>
    <x v="12"/>
    <x v="12"/>
    <x v="1"/>
    <x v="2"/>
    <n v="5"/>
    <n v="3"/>
    <n v="2"/>
    <s v=""/>
  </r>
  <r>
    <x v="12"/>
    <x v="12"/>
    <x v="2"/>
    <x v="0"/>
    <n v="2085"/>
    <n v="1247"/>
    <n v="838"/>
    <s v=""/>
  </r>
  <r>
    <x v="12"/>
    <x v="12"/>
    <x v="2"/>
    <x v="5"/>
    <n v="2082"/>
    <n v="1245"/>
    <n v="837"/>
    <s v=""/>
  </r>
  <r>
    <x v="12"/>
    <x v="12"/>
    <x v="2"/>
    <x v="2"/>
    <n v="3"/>
    <n v="2"/>
    <n v="1"/>
    <s v=""/>
  </r>
  <r>
    <x v="12"/>
    <x v="12"/>
    <x v="3"/>
    <x v="0"/>
    <n v="2214"/>
    <n v="1294"/>
    <n v="920"/>
    <s v=""/>
  </r>
  <r>
    <x v="12"/>
    <x v="12"/>
    <x v="3"/>
    <x v="12"/>
    <n v="1"/>
    <s v=""/>
    <n v="1"/>
    <s v=""/>
  </r>
  <r>
    <x v="12"/>
    <x v="12"/>
    <x v="3"/>
    <x v="15"/>
    <n v="1"/>
    <s v=""/>
    <n v="1"/>
    <s v=""/>
  </r>
  <r>
    <x v="12"/>
    <x v="12"/>
    <x v="3"/>
    <x v="5"/>
    <n v="7"/>
    <n v="6"/>
    <n v="1"/>
    <s v=""/>
  </r>
  <r>
    <x v="12"/>
    <x v="12"/>
    <x v="3"/>
    <x v="18"/>
    <n v="2202"/>
    <n v="1285"/>
    <n v="917"/>
    <s v=""/>
  </r>
  <r>
    <x v="12"/>
    <x v="12"/>
    <x v="3"/>
    <x v="2"/>
    <n v="3"/>
    <n v="3"/>
    <s v=""/>
    <s v=""/>
  </r>
  <r>
    <x v="12"/>
    <x v="12"/>
    <x v="4"/>
    <x v="0"/>
    <n v="2230"/>
    <n v="1350"/>
    <n v="880"/>
    <s v=""/>
  </r>
  <r>
    <x v="12"/>
    <x v="12"/>
    <x v="4"/>
    <x v="4"/>
    <n v="1"/>
    <n v="1"/>
    <s v=""/>
    <s v=""/>
  </r>
  <r>
    <x v="12"/>
    <x v="12"/>
    <x v="4"/>
    <x v="5"/>
    <n v="1"/>
    <n v="1"/>
    <s v=""/>
    <s v=""/>
  </r>
  <r>
    <x v="12"/>
    <x v="12"/>
    <x v="4"/>
    <x v="18"/>
    <n v="14"/>
    <n v="11"/>
    <n v="3"/>
    <s v=""/>
  </r>
  <r>
    <x v="12"/>
    <x v="12"/>
    <x v="4"/>
    <x v="30"/>
    <n v="2213"/>
    <n v="1336"/>
    <n v="877"/>
    <s v=""/>
  </r>
  <r>
    <x v="12"/>
    <x v="12"/>
    <x v="4"/>
    <x v="2"/>
    <n v="1"/>
    <n v="1"/>
    <s v=""/>
    <s v=""/>
  </r>
  <r>
    <x v="12"/>
    <x v="12"/>
    <x v="5"/>
    <x v="0"/>
    <n v="2262"/>
    <n v="1337"/>
    <n v="925"/>
    <s v=""/>
  </r>
  <r>
    <x v="12"/>
    <x v="12"/>
    <x v="5"/>
    <x v="41"/>
    <n v="1"/>
    <n v="1"/>
    <s v=""/>
    <s v=""/>
  </r>
  <r>
    <x v="12"/>
    <x v="12"/>
    <x v="5"/>
    <x v="30"/>
    <n v="16"/>
    <n v="14"/>
    <n v="2"/>
    <s v=""/>
  </r>
  <r>
    <x v="12"/>
    <x v="12"/>
    <x v="5"/>
    <x v="44"/>
    <n v="2245"/>
    <n v="1322"/>
    <n v="923"/>
    <s v=""/>
  </r>
  <r>
    <x v="12"/>
    <x v="12"/>
    <x v="6"/>
    <x v="0"/>
    <n v="2247"/>
    <n v="1345"/>
    <n v="902"/>
    <s v=""/>
  </r>
  <r>
    <x v="12"/>
    <x v="12"/>
    <x v="6"/>
    <x v="7"/>
    <n v="1"/>
    <n v="1"/>
    <s v=""/>
    <s v=""/>
  </r>
  <r>
    <x v="12"/>
    <x v="12"/>
    <x v="6"/>
    <x v="47"/>
    <n v="1"/>
    <s v=""/>
    <n v="1"/>
    <s v=""/>
  </r>
  <r>
    <x v="12"/>
    <x v="12"/>
    <x v="6"/>
    <x v="49"/>
    <n v="1"/>
    <n v="1"/>
    <s v=""/>
    <s v=""/>
  </r>
  <r>
    <x v="12"/>
    <x v="12"/>
    <x v="6"/>
    <x v="18"/>
    <n v="1"/>
    <n v="1"/>
    <s v=""/>
    <s v=""/>
  </r>
  <r>
    <x v="12"/>
    <x v="12"/>
    <x v="6"/>
    <x v="30"/>
    <n v="1"/>
    <n v="1"/>
    <s v=""/>
    <s v=""/>
  </r>
  <r>
    <x v="12"/>
    <x v="12"/>
    <x v="6"/>
    <x v="44"/>
    <n v="12"/>
    <n v="8"/>
    <n v="4"/>
    <s v=""/>
  </r>
  <r>
    <x v="12"/>
    <x v="12"/>
    <x v="6"/>
    <x v="50"/>
    <n v="2230"/>
    <n v="1333"/>
    <n v="897"/>
    <s v=""/>
  </r>
  <r>
    <x v="12"/>
    <x v="12"/>
    <x v="7"/>
    <x v="0"/>
    <n v="2289"/>
    <n v="1345"/>
    <n v="944"/>
    <s v=""/>
  </r>
  <r>
    <x v="12"/>
    <x v="12"/>
    <x v="7"/>
    <x v="18"/>
    <n v="1"/>
    <n v="1"/>
    <s v=""/>
    <s v=""/>
  </r>
  <r>
    <x v="12"/>
    <x v="12"/>
    <x v="7"/>
    <x v="50"/>
    <n v="13"/>
    <n v="11"/>
    <n v="2"/>
    <s v=""/>
  </r>
  <r>
    <x v="12"/>
    <x v="12"/>
    <x v="7"/>
    <x v="57"/>
    <n v="2275"/>
    <n v="1333"/>
    <n v="942"/>
    <s v=""/>
  </r>
  <r>
    <x v="12"/>
    <x v="12"/>
    <x v="8"/>
    <x v="0"/>
    <n v="2313"/>
    <n v="1316"/>
    <n v="997"/>
    <s v=""/>
  </r>
  <r>
    <x v="12"/>
    <x v="12"/>
    <x v="8"/>
    <x v="62"/>
    <n v="1"/>
    <n v="1"/>
    <s v=""/>
    <s v=""/>
  </r>
  <r>
    <x v="12"/>
    <x v="12"/>
    <x v="8"/>
    <x v="29"/>
    <n v="1"/>
    <s v=""/>
    <n v="1"/>
    <s v=""/>
  </r>
  <r>
    <x v="12"/>
    <x v="12"/>
    <x v="8"/>
    <x v="1"/>
    <n v="1"/>
    <s v=""/>
    <n v="1"/>
    <s v=""/>
  </r>
  <r>
    <x v="12"/>
    <x v="12"/>
    <x v="8"/>
    <x v="57"/>
    <n v="9"/>
    <n v="8"/>
    <n v="1"/>
    <s v=""/>
  </r>
  <r>
    <x v="12"/>
    <x v="12"/>
    <x v="8"/>
    <x v="69"/>
    <n v="2301"/>
    <n v="1307"/>
    <n v="994"/>
    <s v=""/>
  </r>
  <r>
    <x v="12"/>
    <x v="12"/>
    <x v="9"/>
    <x v="0"/>
    <n v="2314"/>
    <n v="1340"/>
    <n v="973"/>
    <n v="1"/>
  </r>
  <r>
    <x v="12"/>
    <x v="12"/>
    <x v="9"/>
    <x v="69"/>
    <n v="9"/>
    <n v="3"/>
    <n v="6"/>
    <s v=""/>
  </r>
  <r>
    <x v="12"/>
    <x v="12"/>
    <x v="9"/>
    <x v="71"/>
    <n v="2305"/>
    <n v="1337"/>
    <n v="967"/>
    <n v="1"/>
  </r>
  <r>
    <x v="12"/>
    <x v="12"/>
    <x v="10"/>
    <x v="0"/>
    <n v="2304"/>
    <n v="1308"/>
    <n v="996"/>
    <s v=""/>
  </r>
  <r>
    <x v="12"/>
    <x v="12"/>
    <x v="10"/>
    <x v="71"/>
    <n v="11"/>
    <n v="8"/>
    <n v="3"/>
    <s v=""/>
  </r>
  <r>
    <x v="12"/>
    <x v="12"/>
    <x v="10"/>
    <x v="73"/>
    <n v="2293"/>
    <n v="1300"/>
    <n v="993"/>
    <s v=""/>
  </r>
  <r>
    <x v="12"/>
    <x v="12"/>
    <x v="11"/>
    <x v="0"/>
    <n v="2376"/>
    <n v="1449"/>
    <n v="927"/>
    <s v=""/>
  </r>
  <r>
    <x v="12"/>
    <x v="12"/>
    <x v="11"/>
    <x v="73"/>
    <n v="7"/>
    <n v="6"/>
    <n v="1"/>
    <s v=""/>
  </r>
  <r>
    <x v="12"/>
    <x v="12"/>
    <x v="11"/>
    <x v="74"/>
    <n v="2369"/>
    <n v="1443"/>
    <n v="926"/>
    <s v=""/>
  </r>
  <r>
    <x v="12"/>
    <x v="12"/>
    <x v="12"/>
    <x v="0"/>
    <n v="2412"/>
    <n v="1386"/>
    <n v="1026"/>
    <s v=""/>
  </r>
  <r>
    <x v="12"/>
    <x v="12"/>
    <x v="12"/>
    <x v="74"/>
    <n v="12"/>
    <n v="9"/>
    <n v="3"/>
    <s v=""/>
  </r>
  <r>
    <x v="12"/>
    <x v="12"/>
    <x v="12"/>
    <x v="77"/>
    <n v="2400"/>
    <n v="1377"/>
    <n v="1023"/>
    <s v=""/>
  </r>
  <r>
    <x v="12"/>
    <x v="12"/>
    <x v="13"/>
    <x v="0"/>
    <n v="2398"/>
    <n v="1458"/>
    <n v="940"/>
    <s v=""/>
  </r>
  <r>
    <x v="12"/>
    <x v="12"/>
    <x v="13"/>
    <x v="5"/>
    <n v="1"/>
    <n v="1"/>
    <s v=""/>
    <s v=""/>
  </r>
  <r>
    <x v="12"/>
    <x v="12"/>
    <x v="13"/>
    <x v="77"/>
    <n v="16"/>
    <n v="11"/>
    <n v="5"/>
    <s v=""/>
  </r>
  <r>
    <x v="12"/>
    <x v="12"/>
    <x v="13"/>
    <x v="78"/>
    <n v="2381"/>
    <n v="1446"/>
    <n v="935"/>
    <s v=""/>
  </r>
  <r>
    <x v="12"/>
    <x v="12"/>
    <x v="14"/>
    <x v="0"/>
    <n v="2510"/>
    <n v="1436"/>
    <n v="1074"/>
    <s v=""/>
  </r>
  <r>
    <x v="12"/>
    <x v="12"/>
    <x v="14"/>
    <x v="73"/>
    <n v="1"/>
    <s v=""/>
    <n v="1"/>
    <s v=""/>
  </r>
  <r>
    <x v="12"/>
    <x v="12"/>
    <x v="14"/>
    <x v="78"/>
    <n v="10"/>
    <n v="9"/>
    <n v="1"/>
    <s v=""/>
  </r>
  <r>
    <x v="12"/>
    <x v="12"/>
    <x v="14"/>
    <x v="79"/>
    <n v="2499"/>
    <n v="1427"/>
    <n v="1072"/>
    <s v=""/>
  </r>
  <r>
    <x v="12"/>
    <x v="12"/>
    <x v="15"/>
    <x v="0"/>
    <n v="2523"/>
    <n v="1520"/>
    <n v="1003"/>
    <s v=""/>
  </r>
  <r>
    <x v="12"/>
    <x v="12"/>
    <x v="15"/>
    <x v="79"/>
    <n v="16"/>
    <n v="14"/>
    <n v="2"/>
    <s v=""/>
  </r>
  <r>
    <x v="12"/>
    <x v="12"/>
    <x v="15"/>
    <x v="80"/>
    <n v="2507"/>
    <n v="1506"/>
    <n v="1001"/>
    <s v=""/>
  </r>
  <r>
    <x v="12"/>
    <x v="12"/>
    <x v="16"/>
    <x v="0"/>
    <n v="2545"/>
    <n v="1488"/>
    <n v="1057"/>
    <s v=""/>
  </r>
  <r>
    <x v="12"/>
    <x v="12"/>
    <x v="16"/>
    <x v="80"/>
    <n v="24"/>
    <n v="18"/>
    <n v="6"/>
    <s v=""/>
  </r>
  <r>
    <x v="12"/>
    <x v="12"/>
    <x v="16"/>
    <x v="81"/>
    <n v="2521"/>
    <n v="1470"/>
    <n v="1051"/>
    <s v=""/>
  </r>
  <r>
    <x v="12"/>
    <x v="12"/>
    <x v="17"/>
    <x v="0"/>
    <n v="2787"/>
    <n v="1647"/>
    <n v="1139"/>
    <n v="1"/>
  </r>
  <r>
    <x v="12"/>
    <x v="12"/>
    <x v="17"/>
    <x v="81"/>
    <n v="22"/>
    <n v="16"/>
    <n v="6"/>
    <s v=""/>
  </r>
  <r>
    <x v="12"/>
    <x v="12"/>
    <x v="17"/>
    <x v="82"/>
    <n v="2765"/>
    <n v="1631"/>
    <n v="1133"/>
    <n v="1"/>
  </r>
  <r>
    <x v="12"/>
    <x v="12"/>
    <x v="18"/>
    <x v="0"/>
    <n v="2874"/>
    <n v="1704"/>
    <n v="1170"/>
    <s v=""/>
  </r>
  <r>
    <x v="12"/>
    <x v="12"/>
    <x v="18"/>
    <x v="79"/>
    <n v="5"/>
    <n v="3"/>
    <n v="2"/>
    <s v=""/>
  </r>
  <r>
    <x v="12"/>
    <x v="12"/>
    <x v="18"/>
    <x v="80"/>
    <n v="10"/>
    <n v="10"/>
    <s v=""/>
    <s v=""/>
  </r>
  <r>
    <x v="12"/>
    <x v="12"/>
    <x v="18"/>
    <x v="81"/>
    <n v="1"/>
    <n v="1"/>
    <s v=""/>
    <s v=""/>
  </r>
  <r>
    <x v="12"/>
    <x v="12"/>
    <x v="18"/>
    <x v="82"/>
    <n v="32"/>
    <n v="24"/>
    <n v="8"/>
    <s v=""/>
  </r>
  <r>
    <x v="12"/>
    <x v="12"/>
    <x v="18"/>
    <x v="83"/>
    <n v="2826"/>
    <n v="1666"/>
    <n v="1160"/>
    <s v=""/>
  </r>
  <r>
    <x v="12"/>
    <x v="12"/>
    <x v="19"/>
    <x v="0"/>
    <n v="3052"/>
    <n v="1778"/>
    <n v="1274"/>
    <s v=""/>
  </r>
  <r>
    <x v="12"/>
    <x v="12"/>
    <x v="19"/>
    <x v="79"/>
    <n v="2"/>
    <n v="2"/>
    <s v=""/>
    <s v=""/>
  </r>
  <r>
    <x v="12"/>
    <x v="12"/>
    <x v="19"/>
    <x v="81"/>
    <n v="1"/>
    <n v="1"/>
    <s v=""/>
    <s v=""/>
  </r>
  <r>
    <x v="12"/>
    <x v="12"/>
    <x v="19"/>
    <x v="83"/>
    <n v="26"/>
    <n v="24"/>
    <n v="2"/>
    <s v=""/>
  </r>
  <r>
    <x v="12"/>
    <x v="12"/>
    <x v="19"/>
    <x v="84"/>
    <n v="3023"/>
    <n v="1751"/>
    <n v="1272"/>
    <s v=""/>
  </r>
  <r>
    <x v="12"/>
    <x v="12"/>
    <x v="20"/>
    <x v="0"/>
    <n v="2894"/>
    <n v="1703"/>
    <n v="1191"/>
    <s v=""/>
  </r>
  <r>
    <x v="12"/>
    <x v="12"/>
    <x v="20"/>
    <x v="84"/>
    <n v="34"/>
    <n v="27"/>
    <n v="7"/>
    <s v=""/>
  </r>
  <r>
    <x v="12"/>
    <x v="12"/>
    <x v="20"/>
    <x v="85"/>
    <n v="2860"/>
    <n v="1676"/>
    <n v="1184"/>
    <s v=""/>
  </r>
  <r>
    <x v="12"/>
    <x v="12"/>
    <x v="21"/>
    <x v="0"/>
    <n v="2934"/>
    <n v="1726"/>
    <n v="1206"/>
    <n v="2"/>
  </r>
  <r>
    <x v="12"/>
    <x v="12"/>
    <x v="21"/>
    <x v="85"/>
    <n v="51"/>
    <n v="40"/>
    <n v="11"/>
    <s v=""/>
  </r>
  <r>
    <x v="12"/>
    <x v="12"/>
    <x v="21"/>
    <x v="86"/>
    <n v="2883"/>
    <n v="1686"/>
    <n v="1195"/>
    <n v="2"/>
  </r>
  <r>
    <x v="12"/>
    <x v="12"/>
    <x v="22"/>
    <x v="0"/>
    <n v="3018"/>
    <n v="1799"/>
    <n v="1219"/>
    <s v=""/>
  </r>
  <r>
    <x v="12"/>
    <x v="12"/>
    <x v="22"/>
    <x v="86"/>
    <n v="43"/>
    <n v="34"/>
    <n v="9"/>
    <s v=""/>
  </r>
  <r>
    <x v="12"/>
    <x v="12"/>
    <x v="22"/>
    <x v="87"/>
    <n v="2975"/>
    <n v="1765"/>
    <n v="1210"/>
    <s v=""/>
  </r>
  <r>
    <x v="12"/>
    <x v="12"/>
    <x v="23"/>
    <x v="0"/>
    <n v="3021"/>
    <n v="1839"/>
    <n v="1180"/>
    <n v="2"/>
  </r>
  <r>
    <x v="12"/>
    <x v="12"/>
    <x v="23"/>
    <x v="87"/>
    <n v="47"/>
    <n v="40"/>
    <n v="7"/>
    <s v=""/>
  </r>
  <r>
    <x v="12"/>
    <x v="12"/>
    <x v="23"/>
    <x v="88"/>
    <n v="2974"/>
    <n v="1799"/>
    <n v="1173"/>
    <n v="2"/>
  </r>
  <r>
    <x v="12"/>
    <x v="12"/>
    <x v="24"/>
    <x v="0"/>
    <n v="3227"/>
    <n v="1947"/>
    <n v="1278"/>
    <n v="2"/>
  </r>
  <r>
    <x v="12"/>
    <x v="12"/>
    <x v="24"/>
    <x v="79"/>
    <n v="1"/>
    <n v="1"/>
    <s v=""/>
    <s v=""/>
  </r>
  <r>
    <x v="12"/>
    <x v="12"/>
    <x v="24"/>
    <x v="81"/>
    <n v="1"/>
    <s v=""/>
    <n v="1"/>
    <s v=""/>
  </r>
  <r>
    <x v="12"/>
    <x v="12"/>
    <x v="24"/>
    <x v="85"/>
    <n v="1"/>
    <n v="1"/>
    <s v=""/>
    <s v=""/>
  </r>
  <r>
    <x v="12"/>
    <x v="12"/>
    <x v="24"/>
    <x v="86"/>
    <n v="1"/>
    <n v="1"/>
    <s v=""/>
    <s v=""/>
  </r>
  <r>
    <x v="12"/>
    <x v="12"/>
    <x v="24"/>
    <x v="88"/>
    <n v="61"/>
    <n v="55"/>
    <n v="6"/>
    <s v=""/>
  </r>
  <r>
    <x v="12"/>
    <x v="12"/>
    <x v="24"/>
    <x v="89"/>
    <n v="3162"/>
    <n v="1889"/>
    <n v="1271"/>
    <n v="2"/>
  </r>
  <r>
    <x v="12"/>
    <x v="12"/>
    <x v="25"/>
    <x v="0"/>
    <n v="3058"/>
    <n v="1845"/>
    <n v="1213"/>
    <s v=""/>
  </r>
  <r>
    <x v="12"/>
    <x v="12"/>
    <x v="25"/>
    <x v="89"/>
    <n v="51"/>
    <n v="40"/>
    <n v="11"/>
    <s v=""/>
  </r>
  <r>
    <x v="12"/>
    <x v="12"/>
    <x v="25"/>
    <x v="90"/>
    <n v="3007"/>
    <n v="1805"/>
    <n v="1202"/>
    <s v=""/>
  </r>
  <r>
    <x v="12"/>
    <x v="12"/>
    <x v="26"/>
    <x v="0"/>
    <n v="3336"/>
    <n v="2081"/>
    <n v="1254"/>
    <n v="1"/>
  </r>
  <r>
    <x v="12"/>
    <x v="12"/>
    <x v="26"/>
    <x v="88"/>
    <n v="1"/>
    <s v=""/>
    <n v="1"/>
    <s v=""/>
  </r>
  <r>
    <x v="12"/>
    <x v="12"/>
    <x v="26"/>
    <x v="90"/>
    <n v="20"/>
    <n v="17"/>
    <n v="3"/>
    <s v=""/>
  </r>
  <r>
    <x v="12"/>
    <x v="12"/>
    <x v="26"/>
    <x v="91"/>
    <n v="3315"/>
    <n v="2064"/>
    <n v="1250"/>
    <n v="1"/>
  </r>
  <r>
    <x v="12"/>
    <x v="12"/>
    <x v="27"/>
    <x v="0"/>
    <n v="3126"/>
    <n v="1901"/>
    <n v="1225"/>
    <s v=""/>
  </r>
  <r>
    <x v="12"/>
    <x v="12"/>
    <x v="27"/>
    <x v="91"/>
    <n v="8"/>
    <n v="4"/>
    <n v="4"/>
    <s v=""/>
  </r>
  <r>
    <x v="12"/>
    <x v="12"/>
    <x v="27"/>
    <x v="92"/>
    <n v="3118"/>
    <n v="1897"/>
    <n v="1221"/>
    <s v=""/>
  </r>
  <r>
    <x v="12"/>
    <x v="12"/>
    <x v="28"/>
    <x v="0"/>
    <n v="3195"/>
    <n v="2021"/>
    <n v="1174"/>
    <s v=""/>
  </r>
  <r>
    <x v="12"/>
    <x v="12"/>
    <x v="28"/>
    <x v="92"/>
    <n v="17"/>
    <n v="11"/>
    <n v="6"/>
    <s v=""/>
  </r>
  <r>
    <x v="12"/>
    <x v="12"/>
    <x v="28"/>
    <x v="93"/>
    <n v="3178"/>
    <n v="2010"/>
    <n v="1168"/>
    <s v=""/>
  </r>
  <r>
    <x v="12"/>
    <x v="12"/>
    <x v="29"/>
    <x v="0"/>
    <n v="3340"/>
    <n v="2038"/>
    <n v="1302"/>
    <s v=""/>
  </r>
  <r>
    <x v="12"/>
    <x v="12"/>
    <x v="29"/>
    <x v="93"/>
    <n v="19"/>
    <n v="11"/>
    <n v="8"/>
    <s v=""/>
  </r>
  <r>
    <x v="12"/>
    <x v="12"/>
    <x v="29"/>
    <x v="94"/>
    <n v="3321"/>
    <n v="2027"/>
    <n v="1294"/>
    <s v=""/>
  </r>
  <r>
    <x v="12"/>
    <x v="12"/>
    <x v="30"/>
    <x v="0"/>
    <n v="7004"/>
    <n v="4763"/>
    <n v="2241"/>
    <s v=""/>
  </r>
  <r>
    <x v="12"/>
    <x v="12"/>
    <x v="30"/>
    <x v="94"/>
    <n v="19"/>
    <n v="15"/>
    <n v="4"/>
    <s v=""/>
  </r>
  <r>
    <x v="12"/>
    <x v="12"/>
    <x v="30"/>
    <x v="95"/>
    <n v="6985"/>
    <n v="4748"/>
    <n v="2237"/>
    <s v=""/>
  </r>
  <r>
    <x v="12"/>
    <x v="12"/>
    <x v="31"/>
    <x v="0"/>
    <n v="6125"/>
    <n v="4011"/>
    <n v="2114"/>
    <s v=""/>
  </r>
  <r>
    <x v="12"/>
    <x v="12"/>
    <x v="31"/>
    <x v="95"/>
    <n v="29"/>
    <n v="21"/>
    <n v="8"/>
    <s v=""/>
  </r>
  <r>
    <x v="12"/>
    <x v="12"/>
    <x v="31"/>
    <x v="96"/>
    <n v="6096"/>
    <n v="3990"/>
    <n v="2106"/>
    <s v=""/>
  </r>
  <r>
    <x v="12"/>
    <x v="12"/>
    <x v="32"/>
    <x v="0"/>
    <n v="3381"/>
    <n v="2119"/>
    <n v="1262"/>
    <s v=""/>
  </r>
  <r>
    <x v="12"/>
    <x v="12"/>
    <x v="32"/>
    <x v="83"/>
    <n v="1"/>
    <n v="1"/>
    <s v=""/>
    <s v=""/>
  </r>
  <r>
    <x v="12"/>
    <x v="12"/>
    <x v="32"/>
    <x v="84"/>
    <n v="3"/>
    <n v="3"/>
    <s v=""/>
    <s v=""/>
  </r>
  <r>
    <x v="12"/>
    <x v="12"/>
    <x v="32"/>
    <x v="85"/>
    <n v="1"/>
    <s v=""/>
    <n v="1"/>
    <s v=""/>
  </r>
  <r>
    <x v="12"/>
    <x v="12"/>
    <x v="32"/>
    <x v="96"/>
    <n v="16"/>
    <n v="9"/>
    <n v="7"/>
    <s v=""/>
  </r>
  <r>
    <x v="12"/>
    <x v="12"/>
    <x v="32"/>
    <x v="97"/>
    <n v="3360"/>
    <n v="2106"/>
    <n v="1254"/>
    <s v=""/>
  </r>
  <r>
    <x v="12"/>
    <x v="12"/>
    <x v="33"/>
    <x v="0"/>
    <n v="3353"/>
    <n v="2118"/>
    <n v="1235"/>
    <s v=""/>
  </r>
  <r>
    <x v="12"/>
    <x v="12"/>
    <x v="33"/>
    <x v="96"/>
    <n v="1"/>
    <n v="1"/>
    <s v=""/>
    <s v=""/>
  </r>
  <r>
    <x v="12"/>
    <x v="12"/>
    <x v="33"/>
    <x v="97"/>
    <n v="8"/>
    <n v="3"/>
    <n v="5"/>
    <s v=""/>
  </r>
  <r>
    <x v="12"/>
    <x v="12"/>
    <x v="33"/>
    <x v="98"/>
    <n v="3344"/>
    <n v="2114"/>
    <n v="1230"/>
    <s v=""/>
  </r>
  <r>
    <x v="12"/>
    <x v="12"/>
    <x v="34"/>
    <x v="0"/>
    <n v="3350"/>
    <n v="2115"/>
    <n v="1235"/>
    <s v=""/>
  </r>
  <r>
    <x v="12"/>
    <x v="12"/>
    <x v="34"/>
    <x v="98"/>
    <n v="10"/>
    <n v="9"/>
    <n v="1"/>
    <s v=""/>
  </r>
  <r>
    <x v="12"/>
    <x v="12"/>
    <x v="34"/>
    <x v="99"/>
    <n v="3340"/>
    <n v="2106"/>
    <n v="1234"/>
    <s v=""/>
  </r>
  <r>
    <x v="13"/>
    <x v="13"/>
    <x v="0"/>
    <x v="0"/>
    <n v="2679"/>
    <n v="1515"/>
    <n v="1162"/>
    <n v="2"/>
  </r>
  <r>
    <x v="13"/>
    <x v="13"/>
    <x v="0"/>
    <x v="1"/>
    <n v="2667"/>
    <n v="1507"/>
    <n v="1159"/>
    <n v="1"/>
  </r>
  <r>
    <x v="13"/>
    <x v="13"/>
    <x v="0"/>
    <x v="2"/>
    <n v="12"/>
    <n v="8"/>
    <n v="3"/>
    <n v="1"/>
  </r>
  <r>
    <x v="13"/>
    <x v="13"/>
    <x v="1"/>
    <x v="0"/>
    <n v="2714"/>
    <n v="1528"/>
    <n v="1186"/>
    <s v=""/>
  </r>
  <r>
    <x v="13"/>
    <x v="13"/>
    <x v="1"/>
    <x v="4"/>
    <n v="2709"/>
    <n v="1523"/>
    <n v="1186"/>
    <s v=""/>
  </r>
  <r>
    <x v="13"/>
    <x v="13"/>
    <x v="1"/>
    <x v="2"/>
    <n v="5"/>
    <n v="5"/>
    <s v=""/>
    <s v=""/>
  </r>
  <r>
    <x v="13"/>
    <x v="13"/>
    <x v="2"/>
    <x v="0"/>
    <n v="2692"/>
    <n v="1545"/>
    <n v="1146"/>
    <n v="1"/>
  </r>
  <r>
    <x v="13"/>
    <x v="13"/>
    <x v="2"/>
    <x v="5"/>
    <n v="2690"/>
    <n v="1543"/>
    <n v="1146"/>
    <n v="1"/>
  </r>
  <r>
    <x v="13"/>
    <x v="13"/>
    <x v="2"/>
    <x v="2"/>
    <n v="2"/>
    <n v="2"/>
    <s v=""/>
    <s v=""/>
  </r>
  <r>
    <x v="13"/>
    <x v="13"/>
    <x v="3"/>
    <x v="0"/>
    <n v="2724"/>
    <n v="1525"/>
    <n v="1199"/>
    <s v=""/>
  </r>
  <r>
    <x v="13"/>
    <x v="13"/>
    <x v="3"/>
    <x v="6"/>
    <n v="2"/>
    <n v="2"/>
    <s v=""/>
    <s v=""/>
  </r>
  <r>
    <x v="13"/>
    <x v="13"/>
    <x v="3"/>
    <x v="10"/>
    <n v="1"/>
    <n v="1"/>
    <s v=""/>
    <s v=""/>
  </r>
  <r>
    <x v="13"/>
    <x v="13"/>
    <x v="3"/>
    <x v="15"/>
    <n v="1"/>
    <s v=""/>
    <n v="1"/>
    <s v=""/>
  </r>
  <r>
    <x v="13"/>
    <x v="13"/>
    <x v="3"/>
    <x v="5"/>
    <n v="14"/>
    <n v="8"/>
    <n v="6"/>
    <s v=""/>
  </r>
  <r>
    <x v="13"/>
    <x v="13"/>
    <x v="3"/>
    <x v="18"/>
    <n v="2703"/>
    <n v="1511"/>
    <n v="1192"/>
    <s v=""/>
  </r>
  <r>
    <x v="13"/>
    <x v="13"/>
    <x v="3"/>
    <x v="2"/>
    <n v="3"/>
    <n v="3"/>
    <s v=""/>
    <s v=""/>
  </r>
  <r>
    <x v="13"/>
    <x v="13"/>
    <x v="4"/>
    <x v="0"/>
    <n v="2767"/>
    <n v="1591"/>
    <n v="1176"/>
    <s v=""/>
  </r>
  <r>
    <x v="13"/>
    <x v="13"/>
    <x v="4"/>
    <x v="18"/>
    <n v="12"/>
    <n v="10"/>
    <n v="2"/>
    <s v=""/>
  </r>
  <r>
    <x v="13"/>
    <x v="13"/>
    <x v="4"/>
    <x v="30"/>
    <n v="2755"/>
    <n v="1581"/>
    <n v="1174"/>
    <s v=""/>
  </r>
  <r>
    <x v="13"/>
    <x v="13"/>
    <x v="5"/>
    <x v="0"/>
    <n v="2694"/>
    <n v="1491"/>
    <n v="1203"/>
    <s v=""/>
  </r>
  <r>
    <x v="13"/>
    <x v="13"/>
    <x v="5"/>
    <x v="36"/>
    <n v="2"/>
    <n v="2"/>
    <s v=""/>
    <s v=""/>
  </r>
  <r>
    <x v="13"/>
    <x v="13"/>
    <x v="5"/>
    <x v="18"/>
    <n v="2"/>
    <n v="1"/>
    <n v="1"/>
    <s v=""/>
  </r>
  <r>
    <x v="13"/>
    <x v="13"/>
    <x v="5"/>
    <x v="30"/>
    <n v="9"/>
    <n v="6"/>
    <n v="3"/>
    <s v=""/>
  </r>
  <r>
    <x v="13"/>
    <x v="13"/>
    <x v="5"/>
    <x v="44"/>
    <n v="2680"/>
    <n v="1481"/>
    <n v="1199"/>
    <s v=""/>
  </r>
  <r>
    <x v="13"/>
    <x v="13"/>
    <x v="5"/>
    <x v="2"/>
    <n v="1"/>
    <n v="1"/>
    <s v=""/>
    <s v=""/>
  </r>
  <r>
    <x v="13"/>
    <x v="13"/>
    <x v="6"/>
    <x v="0"/>
    <n v="2700"/>
    <n v="1500"/>
    <n v="1200"/>
    <s v=""/>
  </r>
  <r>
    <x v="13"/>
    <x v="13"/>
    <x v="6"/>
    <x v="30"/>
    <n v="1"/>
    <n v="1"/>
    <s v=""/>
    <s v=""/>
  </r>
  <r>
    <x v="13"/>
    <x v="13"/>
    <x v="6"/>
    <x v="44"/>
    <n v="14"/>
    <n v="10"/>
    <n v="4"/>
    <s v=""/>
  </r>
  <r>
    <x v="13"/>
    <x v="13"/>
    <x v="6"/>
    <x v="50"/>
    <n v="2685"/>
    <n v="1489"/>
    <n v="1196"/>
    <s v=""/>
  </r>
  <r>
    <x v="13"/>
    <x v="13"/>
    <x v="7"/>
    <x v="0"/>
    <n v="2729"/>
    <n v="1540"/>
    <n v="1189"/>
    <s v=""/>
  </r>
  <r>
    <x v="13"/>
    <x v="13"/>
    <x v="7"/>
    <x v="50"/>
    <n v="6"/>
    <n v="4"/>
    <n v="2"/>
    <s v=""/>
  </r>
  <r>
    <x v="13"/>
    <x v="13"/>
    <x v="7"/>
    <x v="57"/>
    <n v="2723"/>
    <n v="1536"/>
    <n v="1187"/>
    <s v=""/>
  </r>
  <r>
    <x v="13"/>
    <x v="13"/>
    <x v="8"/>
    <x v="0"/>
    <n v="2684"/>
    <n v="1490"/>
    <n v="1194"/>
    <s v=""/>
  </r>
  <r>
    <x v="13"/>
    <x v="13"/>
    <x v="8"/>
    <x v="60"/>
    <n v="1"/>
    <n v="1"/>
    <s v=""/>
    <s v=""/>
  </r>
  <r>
    <x v="13"/>
    <x v="13"/>
    <x v="8"/>
    <x v="61"/>
    <n v="1"/>
    <n v="1"/>
    <s v=""/>
    <s v=""/>
  </r>
  <r>
    <x v="13"/>
    <x v="13"/>
    <x v="8"/>
    <x v="62"/>
    <n v="1"/>
    <n v="1"/>
    <s v=""/>
    <s v=""/>
  </r>
  <r>
    <x v="13"/>
    <x v="13"/>
    <x v="8"/>
    <x v="27"/>
    <n v="1"/>
    <n v="1"/>
    <s v=""/>
    <s v=""/>
  </r>
  <r>
    <x v="13"/>
    <x v="13"/>
    <x v="8"/>
    <x v="67"/>
    <n v="1"/>
    <n v="1"/>
    <s v=""/>
    <s v=""/>
  </r>
  <r>
    <x v="13"/>
    <x v="13"/>
    <x v="8"/>
    <x v="57"/>
    <n v="17"/>
    <n v="11"/>
    <n v="6"/>
    <s v=""/>
  </r>
  <r>
    <x v="13"/>
    <x v="13"/>
    <x v="8"/>
    <x v="69"/>
    <n v="2662"/>
    <n v="1474"/>
    <n v="1188"/>
    <s v=""/>
  </r>
  <r>
    <x v="13"/>
    <x v="13"/>
    <x v="9"/>
    <x v="0"/>
    <n v="2773"/>
    <n v="1562"/>
    <n v="1211"/>
    <s v=""/>
  </r>
  <r>
    <x v="13"/>
    <x v="13"/>
    <x v="9"/>
    <x v="44"/>
    <n v="1"/>
    <n v="1"/>
    <s v=""/>
    <s v=""/>
  </r>
  <r>
    <x v="13"/>
    <x v="13"/>
    <x v="9"/>
    <x v="69"/>
    <n v="10"/>
    <n v="9"/>
    <n v="1"/>
    <s v=""/>
  </r>
  <r>
    <x v="13"/>
    <x v="13"/>
    <x v="9"/>
    <x v="71"/>
    <n v="2762"/>
    <n v="1552"/>
    <n v="1210"/>
    <s v=""/>
  </r>
  <r>
    <x v="13"/>
    <x v="13"/>
    <x v="10"/>
    <x v="0"/>
    <n v="2721"/>
    <n v="1546"/>
    <n v="1175"/>
    <s v=""/>
  </r>
  <r>
    <x v="13"/>
    <x v="13"/>
    <x v="10"/>
    <x v="71"/>
    <n v="10"/>
    <n v="7"/>
    <n v="3"/>
    <s v=""/>
  </r>
  <r>
    <x v="13"/>
    <x v="13"/>
    <x v="10"/>
    <x v="73"/>
    <n v="2711"/>
    <n v="1539"/>
    <n v="1172"/>
    <s v=""/>
  </r>
  <r>
    <x v="13"/>
    <x v="13"/>
    <x v="11"/>
    <x v="0"/>
    <n v="2812"/>
    <n v="1566"/>
    <n v="1246"/>
    <s v=""/>
  </r>
  <r>
    <x v="13"/>
    <x v="13"/>
    <x v="11"/>
    <x v="73"/>
    <n v="13"/>
    <n v="5"/>
    <n v="8"/>
    <s v=""/>
  </r>
  <r>
    <x v="13"/>
    <x v="13"/>
    <x v="11"/>
    <x v="74"/>
    <n v="2799"/>
    <n v="1561"/>
    <n v="1238"/>
    <s v=""/>
  </r>
  <r>
    <x v="13"/>
    <x v="13"/>
    <x v="12"/>
    <x v="0"/>
    <n v="2864"/>
    <n v="1639"/>
    <n v="1225"/>
    <s v=""/>
  </r>
  <r>
    <x v="13"/>
    <x v="13"/>
    <x v="12"/>
    <x v="73"/>
    <n v="1"/>
    <n v="1"/>
    <s v=""/>
    <s v=""/>
  </r>
  <r>
    <x v="13"/>
    <x v="13"/>
    <x v="12"/>
    <x v="74"/>
    <n v="17"/>
    <n v="7"/>
    <n v="10"/>
    <s v=""/>
  </r>
  <r>
    <x v="13"/>
    <x v="13"/>
    <x v="12"/>
    <x v="77"/>
    <n v="2846"/>
    <n v="1631"/>
    <n v="1215"/>
    <s v=""/>
  </r>
  <r>
    <x v="13"/>
    <x v="13"/>
    <x v="13"/>
    <x v="0"/>
    <n v="2940"/>
    <n v="1641"/>
    <n v="1299"/>
    <s v=""/>
  </r>
  <r>
    <x v="13"/>
    <x v="13"/>
    <x v="13"/>
    <x v="77"/>
    <n v="12"/>
    <n v="6"/>
    <n v="6"/>
    <s v=""/>
  </r>
  <r>
    <x v="13"/>
    <x v="13"/>
    <x v="13"/>
    <x v="78"/>
    <n v="2928"/>
    <n v="1635"/>
    <n v="1293"/>
    <s v=""/>
  </r>
  <r>
    <x v="13"/>
    <x v="13"/>
    <x v="14"/>
    <x v="0"/>
    <n v="3048"/>
    <n v="1680"/>
    <n v="1368"/>
    <s v=""/>
  </r>
  <r>
    <x v="13"/>
    <x v="13"/>
    <x v="14"/>
    <x v="73"/>
    <n v="1"/>
    <n v="1"/>
    <s v=""/>
    <s v=""/>
  </r>
  <r>
    <x v="13"/>
    <x v="13"/>
    <x v="14"/>
    <x v="78"/>
    <n v="15"/>
    <n v="10"/>
    <n v="5"/>
    <s v=""/>
  </r>
  <r>
    <x v="13"/>
    <x v="13"/>
    <x v="14"/>
    <x v="79"/>
    <n v="3032"/>
    <n v="1669"/>
    <n v="1363"/>
    <s v=""/>
  </r>
  <r>
    <x v="13"/>
    <x v="13"/>
    <x v="15"/>
    <x v="0"/>
    <n v="3146"/>
    <n v="1759"/>
    <n v="1387"/>
    <s v=""/>
  </r>
  <r>
    <x v="13"/>
    <x v="13"/>
    <x v="15"/>
    <x v="79"/>
    <n v="13"/>
    <n v="6"/>
    <n v="7"/>
    <s v=""/>
  </r>
  <r>
    <x v="13"/>
    <x v="13"/>
    <x v="15"/>
    <x v="80"/>
    <n v="3133"/>
    <n v="1753"/>
    <n v="1380"/>
    <s v=""/>
  </r>
  <r>
    <x v="13"/>
    <x v="13"/>
    <x v="16"/>
    <x v="0"/>
    <n v="3270"/>
    <n v="1847"/>
    <n v="1423"/>
    <s v=""/>
  </r>
  <r>
    <x v="13"/>
    <x v="13"/>
    <x v="16"/>
    <x v="80"/>
    <n v="20"/>
    <n v="15"/>
    <n v="5"/>
    <s v=""/>
  </r>
  <r>
    <x v="13"/>
    <x v="13"/>
    <x v="16"/>
    <x v="81"/>
    <n v="3250"/>
    <n v="1832"/>
    <n v="1418"/>
    <s v=""/>
  </r>
  <r>
    <x v="13"/>
    <x v="13"/>
    <x v="17"/>
    <x v="0"/>
    <n v="3306"/>
    <n v="1833"/>
    <n v="1473"/>
    <s v=""/>
  </r>
  <r>
    <x v="13"/>
    <x v="13"/>
    <x v="17"/>
    <x v="78"/>
    <n v="1"/>
    <s v=""/>
    <n v="1"/>
    <s v=""/>
  </r>
  <r>
    <x v="13"/>
    <x v="13"/>
    <x v="17"/>
    <x v="80"/>
    <n v="2"/>
    <n v="2"/>
    <s v=""/>
    <s v=""/>
  </r>
  <r>
    <x v="13"/>
    <x v="13"/>
    <x v="17"/>
    <x v="81"/>
    <n v="31"/>
    <n v="24"/>
    <n v="7"/>
    <s v=""/>
  </r>
  <r>
    <x v="13"/>
    <x v="13"/>
    <x v="17"/>
    <x v="82"/>
    <n v="3272"/>
    <n v="1807"/>
    <n v="1465"/>
    <s v=""/>
  </r>
  <r>
    <x v="13"/>
    <x v="13"/>
    <x v="18"/>
    <x v="0"/>
    <n v="3298"/>
    <n v="1860"/>
    <n v="1438"/>
    <s v=""/>
  </r>
  <r>
    <x v="13"/>
    <x v="13"/>
    <x v="18"/>
    <x v="79"/>
    <n v="3"/>
    <n v="3"/>
    <s v=""/>
    <s v=""/>
  </r>
  <r>
    <x v="13"/>
    <x v="13"/>
    <x v="18"/>
    <x v="80"/>
    <n v="4"/>
    <n v="3"/>
    <n v="1"/>
    <s v=""/>
  </r>
  <r>
    <x v="13"/>
    <x v="13"/>
    <x v="18"/>
    <x v="82"/>
    <n v="22"/>
    <n v="20"/>
    <n v="2"/>
    <s v=""/>
  </r>
  <r>
    <x v="13"/>
    <x v="13"/>
    <x v="18"/>
    <x v="83"/>
    <n v="3269"/>
    <n v="1834"/>
    <n v="1435"/>
    <s v=""/>
  </r>
  <r>
    <x v="13"/>
    <x v="13"/>
    <x v="19"/>
    <x v="0"/>
    <n v="3506"/>
    <n v="1961"/>
    <n v="1545"/>
    <s v=""/>
  </r>
  <r>
    <x v="13"/>
    <x v="13"/>
    <x v="19"/>
    <x v="79"/>
    <n v="1"/>
    <n v="1"/>
    <s v=""/>
    <s v=""/>
  </r>
  <r>
    <x v="13"/>
    <x v="13"/>
    <x v="19"/>
    <x v="80"/>
    <n v="1"/>
    <n v="1"/>
    <s v=""/>
    <s v=""/>
  </r>
  <r>
    <x v="13"/>
    <x v="13"/>
    <x v="19"/>
    <x v="83"/>
    <n v="33"/>
    <n v="27"/>
    <n v="6"/>
    <s v=""/>
  </r>
  <r>
    <x v="13"/>
    <x v="13"/>
    <x v="19"/>
    <x v="84"/>
    <n v="3471"/>
    <n v="1932"/>
    <n v="1539"/>
    <s v=""/>
  </r>
  <r>
    <x v="13"/>
    <x v="13"/>
    <x v="20"/>
    <x v="0"/>
    <n v="3518"/>
    <n v="2000"/>
    <n v="1518"/>
    <s v=""/>
  </r>
  <r>
    <x v="13"/>
    <x v="13"/>
    <x v="20"/>
    <x v="84"/>
    <n v="26"/>
    <n v="20"/>
    <n v="6"/>
    <s v=""/>
  </r>
  <r>
    <x v="13"/>
    <x v="13"/>
    <x v="20"/>
    <x v="85"/>
    <n v="3492"/>
    <n v="1980"/>
    <n v="1512"/>
    <s v=""/>
  </r>
  <r>
    <x v="13"/>
    <x v="13"/>
    <x v="21"/>
    <x v="0"/>
    <n v="3533"/>
    <n v="2082"/>
    <n v="1451"/>
    <s v=""/>
  </r>
  <r>
    <x v="13"/>
    <x v="13"/>
    <x v="21"/>
    <x v="85"/>
    <n v="48"/>
    <n v="33"/>
    <n v="15"/>
    <s v=""/>
  </r>
  <r>
    <x v="13"/>
    <x v="13"/>
    <x v="21"/>
    <x v="86"/>
    <n v="3485"/>
    <n v="2049"/>
    <n v="1436"/>
    <s v=""/>
  </r>
  <r>
    <x v="13"/>
    <x v="13"/>
    <x v="22"/>
    <x v="0"/>
    <n v="3683"/>
    <n v="2133"/>
    <n v="1550"/>
    <s v=""/>
  </r>
  <r>
    <x v="13"/>
    <x v="13"/>
    <x v="22"/>
    <x v="83"/>
    <n v="1"/>
    <n v="1"/>
    <s v=""/>
    <s v=""/>
  </r>
  <r>
    <x v="13"/>
    <x v="13"/>
    <x v="22"/>
    <x v="86"/>
    <n v="40"/>
    <n v="31"/>
    <n v="9"/>
    <s v=""/>
  </r>
  <r>
    <x v="13"/>
    <x v="13"/>
    <x v="22"/>
    <x v="87"/>
    <n v="3642"/>
    <n v="2101"/>
    <n v="1541"/>
    <s v=""/>
  </r>
  <r>
    <x v="13"/>
    <x v="13"/>
    <x v="23"/>
    <x v="0"/>
    <n v="3864"/>
    <n v="2244"/>
    <n v="1620"/>
    <s v=""/>
  </r>
  <r>
    <x v="13"/>
    <x v="13"/>
    <x v="23"/>
    <x v="87"/>
    <n v="39"/>
    <n v="30"/>
    <n v="9"/>
    <s v=""/>
  </r>
  <r>
    <x v="13"/>
    <x v="13"/>
    <x v="23"/>
    <x v="88"/>
    <n v="3825"/>
    <n v="2214"/>
    <n v="1611"/>
    <s v=""/>
  </r>
  <r>
    <x v="13"/>
    <x v="13"/>
    <x v="24"/>
    <x v="0"/>
    <n v="3949"/>
    <n v="2279"/>
    <n v="1670"/>
    <s v=""/>
  </r>
  <r>
    <x v="13"/>
    <x v="13"/>
    <x v="24"/>
    <x v="84"/>
    <n v="1"/>
    <n v="1"/>
    <s v=""/>
    <s v=""/>
  </r>
  <r>
    <x v="13"/>
    <x v="13"/>
    <x v="24"/>
    <x v="85"/>
    <n v="2"/>
    <n v="2"/>
    <s v=""/>
    <s v=""/>
  </r>
  <r>
    <x v="13"/>
    <x v="13"/>
    <x v="24"/>
    <x v="86"/>
    <n v="2"/>
    <n v="2"/>
    <s v=""/>
    <s v=""/>
  </r>
  <r>
    <x v="13"/>
    <x v="13"/>
    <x v="24"/>
    <x v="88"/>
    <n v="45"/>
    <n v="33"/>
    <n v="12"/>
    <s v=""/>
  </r>
  <r>
    <x v="13"/>
    <x v="13"/>
    <x v="24"/>
    <x v="89"/>
    <n v="3899"/>
    <n v="2241"/>
    <n v="1658"/>
    <s v=""/>
  </r>
  <r>
    <x v="13"/>
    <x v="13"/>
    <x v="25"/>
    <x v="0"/>
    <n v="3957"/>
    <n v="2319"/>
    <n v="1638"/>
    <s v=""/>
  </r>
  <r>
    <x v="13"/>
    <x v="13"/>
    <x v="25"/>
    <x v="89"/>
    <n v="39"/>
    <n v="31"/>
    <n v="8"/>
    <s v=""/>
  </r>
  <r>
    <x v="13"/>
    <x v="13"/>
    <x v="25"/>
    <x v="90"/>
    <n v="3918"/>
    <n v="2288"/>
    <n v="1630"/>
    <s v=""/>
  </r>
  <r>
    <x v="13"/>
    <x v="13"/>
    <x v="26"/>
    <x v="0"/>
    <n v="4183"/>
    <n v="2537"/>
    <n v="1646"/>
    <s v=""/>
  </r>
  <r>
    <x v="13"/>
    <x v="13"/>
    <x v="26"/>
    <x v="85"/>
    <n v="1"/>
    <n v="1"/>
    <s v=""/>
    <s v=""/>
  </r>
  <r>
    <x v="13"/>
    <x v="13"/>
    <x v="26"/>
    <x v="87"/>
    <n v="1"/>
    <n v="1"/>
    <s v=""/>
    <s v=""/>
  </r>
  <r>
    <x v="13"/>
    <x v="13"/>
    <x v="26"/>
    <x v="88"/>
    <n v="2"/>
    <n v="1"/>
    <n v="1"/>
    <s v=""/>
  </r>
  <r>
    <x v="13"/>
    <x v="13"/>
    <x v="26"/>
    <x v="90"/>
    <n v="28"/>
    <n v="22"/>
    <n v="6"/>
    <s v=""/>
  </r>
  <r>
    <x v="13"/>
    <x v="13"/>
    <x v="26"/>
    <x v="91"/>
    <n v="4151"/>
    <n v="2512"/>
    <n v="1639"/>
    <s v=""/>
  </r>
  <r>
    <x v="13"/>
    <x v="13"/>
    <x v="27"/>
    <x v="0"/>
    <n v="4140"/>
    <n v="2407"/>
    <n v="1733"/>
    <s v=""/>
  </r>
  <r>
    <x v="13"/>
    <x v="13"/>
    <x v="27"/>
    <x v="77"/>
    <n v="1"/>
    <s v=""/>
    <n v="1"/>
    <s v=""/>
  </r>
  <r>
    <x v="13"/>
    <x v="13"/>
    <x v="27"/>
    <x v="91"/>
    <n v="18"/>
    <n v="13"/>
    <n v="5"/>
    <s v=""/>
  </r>
  <r>
    <x v="13"/>
    <x v="13"/>
    <x v="27"/>
    <x v="92"/>
    <n v="4121"/>
    <n v="2394"/>
    <n v="1727"/>
    <s v=""/>
  </r>
  <r>
    <x v="13"/>
    <x v="13"/>
    <x v="28"/>
    <x v="0"/>
    <n v="4294"/>
    <n v="2588"/>
    <n v="1706"/>
    <s v=""/>
  </r>
  <r>
    <x v="13"/>
    <x v="13"/>
    <x v="28"/>
    <x v="92"/>
    <n v="19"/>
    <n v="14"/>
    <n v="5"/>
    <s v=""/>
  </r>
  <r>
    <x v="13"/>
    <x v="13"/>
    <x v="28"/>
    <x v="93"/>
    <n v="4275"/>
    <n v="2574"/>
    <n v="1701"/>
    <s v=""/>
  </r>
  <r>
    <x v="13"/>
    <x v="13"/>
    <x v="29"/>
    <x v="0"/>
    <n v="4249"/>
    <n v="2522"/>
    <n v="1727"/>
    <s v=""/>
  </r>
  <r>
    <x v="13"/>
    <x v="13"/>
    <x v="29"/>
    <x v="93"/>
    <n v="23"/>
    <n v="11"/>
    <n v="12"/>
    <s v=""/>
  </r>
  <r>
    <x v="13"/>
    <x v="13"/>
    <x v="29"/>
    <x v="94"/>
    <n v="4226"/>
    <n v="2511"/>
    <n v="1715"/>
    <s v=""/>
  </r>
  <r>
    <x v="13"/>
    <x v="13"/>
    <x v="30"/>
    <x v="0"/>
    <n v="9177"/>
    <n v="6028"/>
    <n v="3149"/>
    <s v=""/>
  </r>
  <r>
    <x v="13"/>
    <x v="13"/>
    <x v="30"/>
    <x v="94"/>
    <n v="26"/>
    <n v="15"/>
    <n v="11"/>
    <s v=""/>
  </r>
  <r>
    <x v="13"/>
    <x v="13"/>
    <x v="30"/>
    <x v="95"/>
    <n v="9151"/>
    <n v="6013"/>
    <n v="3138"/>
    <s v=""/>
  </r>
  <r>
    <x v="13"/>
    <x v="13"/>
    <x v="31"/>
    <x v="0"/>
    <n v="8132"/>
    <n v="5070"/>
    <n v="3062"/>
    <s v=""/>
  </r>
  <r>
    <x v="13"/>
    <x v="13"/>
    <x v="31"/>
    <x v="95"/>
    <n v="41"/>
    <n v="33"/>
    <n v="8"/>
    <s v=""/>
  </r>
  <r>
    <x v="13"/>
    <x v="13"/>
    <x v="31"/>
    <x v="96"/>
    <n v="8091"/>
    <n v="5037"/>
    <n v="3054"/>
    <s v=""/>
  </r>
  <r>
    <x v="13"/>
    <x v="13"/>
    <x v="32"/>
    <x v="0"/>
    <n v="4472"/>
    <n v="2653"/>
    <n v="1819"/>
    <s v=""/>
  </r>
  <r>
    <x v="13"/>
    <x v="13"/>
    <x v="32"/>
    <x v="81"/>
    <n v="1"/>
    <n v="1"/>
    <s v=""/>
    <s v=""/>
  </r>
  <r>
    <x v="13"/>
    <x v="13"/>
    <x v="32"/>
    <x v="83"/>
    <n v="1"/>
    <n v="1"/>
    <s v=""/>
    <s v=""/>
  </r>
  <r>
    <x v="13"/>
    <x v="13"/>
    <x v="32"/>
    <x v="84"/>
    <n v="2"/>
    <n v="2"/>
    <s v=""/>
    <s v=""/>
  </r>
  <r>
    <x v="13"/>
    <x v="13"/>
    <x v="32"/>
    <x v="96"/>
    <n v="13"/>
    <n v="10"/>
    <n v="3"/>
    <s v=""/>
  </r>
  <r>
    <x v="13"/>
    <x v="13"/>
    <x v="32"/>
    <x v="97"/>
    <n v="4455"/>
    <n v="2639"/>
    <n v="1816"/>
    <s v=""/>
  </r>
  <r>
    <x v="13"/>
    <x v="13"/>
    <x v="33"/>
    <x v="0"/>
    <n v="4292"/>
    <n v="2540"/>
    <n v="1752"/>
    <s v=""/>
  </r>
  <r>
    <x v="13"/>
    <x v="13"/>
    <x v="33"/>
    <x v="97"/>
    <n v="16"/>
    <n v="12"/>
    <n v="4"/>
    <s v=""/>
  </r>
  <r>
    <x v="13"/>
    <x v="13"/>
    <x v="33"/>
    <x v="98"/>
    <n v="4276"/>
    <n v="2528"/>
    <n v="1748"/>
    <s v=""/>
  </r>
  <r>
    <x v="13"/>
    <x v="13"/>
    <x v="34"/>
    <x v="0"/>
    <n v="4271"/>
    <n v="2604"/>
    <n v="1667"/>
    <s v=""/>
  </r>
  <r>
    <x v="13"/>
    <x v="13"/>
    <x v="34"/>
    <x v="98"/>
    <n v="13"/>
    <n v="10"/>
    <n v="3"/>
    <s v=""/>
  </r>
  <r>
    <x v="13"/>
    <x v="13"/>
    <x v="34"/>
    <x v="99"/>
    <n v="4258"/>
    <n v="2594"/>
    <n v="1664"/>
    <s v=""/>
  </r>
  <r>
    <x v="14"/>
    <x v="14"/>
    <x v="0"/>
    <x v="0"/>
    <n v="3183"/>
    <n v="1673"/>
    <n v="1510"/>
    <s v=""/>
  </r>
  <r>
    <x v="14"/>
    <x v="14"/>
    <x v="0"/>
    <x v="1"/>
    <n v="3176"/>
    <n v="1669"/>
    <n v="1507"/>
    <s v=""/>
  </r>
  <r>
    <x v="14"/>
    <x v="14"/>
    <x v="0"/>
    <x v="2"/>
    <n v="7"/>
    <n v="4"/>
    <n v="3"/>
    <s v=""/>
  </r>
  <r>
    <x v="14"/>
    <x v="14"/>
    <x v="1"/>
    <x v="0"/>
    <n v="3348"/>
    <n v="1806"/>
    <n v="1541"/>
    <n v="1"/>
  </r>
  <r>
    <x v="14"/>
    <x v="14"/>
    <x v="1"/>
    <x v="4"/>
    <n v="3344"/>
    <n v="1802"/>
    <n v="1541"/>
    <n v="1"/>
  </r>
  <r>
    <x v="14"/>
    <x v="14"/>
    <x v="1"/>
    <x v="2"/>
    <n v="4"/>
    <n v="4"/>
    <s v=""/>
    <s v=""/>
  </r>
  <r>
    <x v="14"/>
    <x v="14"/>
    <x v="2"/>
    <x v="0"/>
    <n v="3483"/>
    <n v="1891"/>
    <n v="1592"/>
    <s v=""/>
  </r>
  <r>
    <x v="14"/>
    <x v="14"/>
    <x v="2"/>
    <x v="5"/>
    <n v="3480"/>
    <n v="1888"/>
    <n v="1592"/>
    <s v=""/>
  </r>
  <r>
    <x v="14"/>
    <x v="14"/>
    <x v="2"/>
    <x v="2"/>
    <n v="3"/>
    <n v="3"/>
    <s v=""/>
    <s v=""/>
  </r>
  <r>
    <x v="14"/>
    <x v="14"/>
    <x v="3"/>
    <x v="0"/>
    <n v="3599"/>
    <n v="1898"/>
    <n v="1701"/>
    <s v=""/>
  </r>
  <r>
    <x v="14"/>
    <x v="14"/>
    <x v="3"/>
    <x v="10"/>
    <n v="1"/>
    <s v=""/>
    <n v="1"/>
    <s v=""/>
  </r>
  <r>
    <x v="14"/>
    <x v="14"/>
    <x v="3"/>
    <x v="5"/>
    <n v="11"/>
    <n v="6"/>
    <n v="5"/>
    <s v=""/>
  </r>
  <r>
    <x v="14"/>
    <x v="14"/>
    <x v="3"/>
    <x v="18"/>
    <n v="3581"/>
    <n v="1887"/>
    <n v="1694"/>
    <s v=""/>
  </r>
  <r>
    <x v="14"/>
    <x v="14"/>
    <x v="3"/>
    <x v="2"/>
    <n v="6"/>
    <n v="5"/>
    <n v="1"/>
    <s v=""/>
  </r>
  <r>
    <x v="14"/>
    <x v="14"/>
    <x v="4"/>
    <x v="0"/>
    <n v="3425"/>
    <n v="1793"/>
    <n v="1632"/>
    <s v=""/>
  </r>
  <r>
    <x v="14"/>
    <x v="14"/>
    <x v="4"/>
    <x v="24"/>
    <n v="1"/>
    <n v="1"/>
    <s v=""/>
    <s v=""/>
  </r>
  <r>
    <x v="14"/>
    <x v="14"/>
    <x v="4"/>
    <x v="4"/>
    <n v="3"/>
    <n v="2"/>
    <n v="1"/>
    <s v=""/>
  </r>
  <r>
    <x v="14"/>
    <x v="14"/>
    <x v="4"/>
    <x v="18"/>
    <n v="11"/>
    <n v="7"/>
    <n v="4"/>
    <s v=""/>
  </r>
  <r>
    <x v="14"/>
    <x v="14"/>
    <x v="4"/>
    <x v="30"/>
    <n v="3410"/>
    <n v="1783"/>
    <n v="1627"/>
    <s v=""/>
  </r>
  <r>
    <x v="14"/>
    <x v="14"/>
    <x v="5"/>
    <x v="0"/>
    <n v="3471"/>
    <n v="1854"/>
    <n v="1617"/>
    <s v=""/>
  </r>
  <r>
    <x v="14"/>
    <x v="14"/>
    <x v="5"/>
    <x v="41"/>
    <n v="1"/>
    <n v="1"/>
    <s v=""/>
    <s v=""/>
  </r>
  <r>
    <x v="14"/>
    <x v="14"/>
    <x v="5"/>
    <x v="1"/>
    <n v="1"/>
    <n v="1"/>
    <s v=""/>
    <s v=""/>
  </r>
  <r>
    <x v="14"/>
    <x v="14"/>
    <x v="5"/>
    <x v="18"/>
    <n v="1"/>
    <n v="1"/>
    <s v=""/>
    <s v=""/>
  </r>
  <r>
    <x v="14"/>
    <x v="14"/>
    <x v="5"/>
    <x v="30"/>
    <n v="24"/>
    <n v="19"/>
    <n v="5"/>
    <s v=""/>
  </r>
  <r>
    <x v="14"/>
    <x v="14"/>
    <x v="5"/>
    <x v="44"/>
    <n v="3444"/>
    <n v="1832"/>
    <n v="1612"/>
    <s v=""/>
  </r>
  <r>
    <x v="14"/>
    <x v="14"/>
    <x v="6"/>
    <x v="0"/>
    <n v="3481"/>
    <n v="1835"/>
    <n v="1646"/>
    <s v=""/>
  </r>
  <r>
    <x v="14"/>
    <x v="14"/>
    <x v="6"/>
    <x v="22"/>
    <n v="1"/>
    <s v=""/>
    <n v="1"/>
    <s v=""/>
  </r>
  <r>
    <x v="14"/>
    <x v="14"/>
    <x v="6"/>
    <x v="44"/>
    <n v="18"/>
    <n v="12"/>
    <n v="6"/>
    <s v=""/>
  </r>
  <r>
    <x v="14"/>
    <x v="14"/>
    <x v="6"/>
    <x v="50"/>
    <n v="3462"/>
    <n v="1823"/>
    <n v="1639"/>
    <s v=""/>
  </r>
  <r>
    <x v="14"/>
    <x v="14"/>
    <x v="7"/>
    <x v="0"/>
    <n v="3466"/>
    <n v="1835"/>
    <n v="1631"/>
    <s v=""/>
  </r>
  <r>
    <x v="14"/>
    <x v="14"/>
    <x v="7"/>
    <x v="15"/>
    <n v="1"/>
    <s v=""/>
    <n v="1"/>
    <s v=""/>
  </r>
  <r>
    <x v="14"/>
    <x v="14"/>
    <x v="7"/>
    <x v="4"/>
    <n v="1"/>
    <s v=""/>
    <n v="1"/>
    <s v=""/>
  </r>
  <r>
    <x v="14"/>
    <x v="14"/>
    <x v="7"/>
    <x v="30"/>
    <n v="1"/>
    <n v="1"/>
    <s v=""/>
    <s v=""/>
  </r>
  <r>
    <x v="14"/>
    <x v="14"/>
    <x v="7"/>
    <x v="50"/>
    <n v="13"/>
    <n v="3"/>
    <n v="10"/>
    <s v=""/>
  </r>
  <r>
    <x v="14"/>
    <x v="14"/>
    <x v="7"/>
    <x v="57"/>
    <n v="3450"/>
    <n v="1831"/>
    <n v="1619"/>
    <s v=""/>
  </r>
  <r>
    <x v="14"/>
    <x v="14"/>
    <x v="8"/>
    <x v="0"/>
    <n v="3418"/>
    <n v="1812"/>
    <n v="1606"/>
    <s v=""/>
  </r>
  <r>
    <x v="14"/>
    <x v="14"/>
    <x v="8"/>
    <x v="58"/>
    <n v="1"/>
    <n v="1"/>
    <s v=""/>
    <s v=""/>
  </r>
  <r>
    <x v="14"/>
    <x v="14"/>
    <x v="8"/>
    <x v="66"/>
    <n v="1"/>
    <n v="1"/>
    <s v=""/>
    <s v=""/>
  </r>
  <r>
    <x v="14"/>
    <x v="14"/>
    <x v="8"/>
    <x v="50"/>
    <n v="1"/>
    <s v=""/>
    <n v="1"/>
    <s v=""/>
  </r>
  <r>
    <x v="14"/>
    <x v="14"/>
    <x v="8"/>
    <x v="57"/>
    <n v="11"/>
    <n v="5"/>
    <n v="6"/>
    <s v=""/>
  </r>
  <r>
    <x v="14"/>
    <x v="14"/>
    <x v="8"/>
    <x v="69"/>
    <n v="3404"/>
    <n v="1805"/>
    <n v="1599"/>
    <s v=""/>
  </r>
  <r>
    <x v="14"/>
    <x v="14"/>
    <x v="9"/>
    <x v="0"/>
    <n v="3382"/>
    <n v="1841"/>
    <n v="1541"/>
    <s v=""/>
  </r>
  <r>
    <x v="14"/>
    <x v="14"/>
    <x v="9"/>
    <x v="69"/>
    <n v="8"/>
    <n v="4"/>
    <n v="4"/>
    <s v=""/>
  </r>
  <r>
    <x v="14"/>
    <x v="14"/>
    <x v="9"/>
    <x v="71"/>
    <n v="3374"/>
    <n v="1837"/>
    <n v="1537"/>
    <s v=""/>
  </r>
  <r>
    <x v="14"/>
    <x v="14"/>
    <x v="10"/>
    <x v="0"/>
    <n v="3307"/>
    <n v="1749"/>
    <n v="1558"/>
    <s v=""/>
  </r>
  <r>
    <x v="14"/>
    <x v="14"/>
    <x v="10"/>
    <x v="18"/>
    <n v="1"/>
    <n v="1"/>
    <s v=""/>
    <s v=""/>
  </r>
  <r>
    <x v="14"/>
    <x v="14"/>
    <x v="10"/>
    <x v="71"/>
    <n v="18"/>
    <n v="10"/>
    <n v="8"/>
    <s v=""/>
  </r>
  <r>
    <x v="14"/>
    <x v="14"/>
    <x v="10"/>
    <x v="73"/>
    <n v="3288"/>
    <n v="1738"/>
    <n v="1550"/>
    <s v=""/>
  </r>
  <r>
    <x v="14"/>
    <x v="14"/>
    <x v="11"/>
    <x v="0"/>
    <n v="3496"/>
    <n v="1845"/>
    <n v="1651"/>
    <s v=""/>
  </r>
  <r>
    <x v="14"/>
    <x v="14"/>
    <x v="11"/>
    <x v="73"/>
    <n v="24"/>
    <n v="16"/>
    <n v="8"/>
    <s v=""/>
  </r>
  <r>
    <x v="14"/>
    <x v="14"/>
    <x v="11"/>
    <x v="74"/>
    <n v="3472"/>
    <n v="1829"/>
    <n v="1643"/>
    <s v=""/>
  </r>
  <r>
    <x v="14"/>
    <x v="14"/>
    <x v="12"/>
    <x v="0"/>
    <n v="3443"/>
    <n v="1873"/>
    <n v="1570"/>
    <s v=""/>
  </r>
  <r>
    <x v="14"/>
    <x v="14"/>
    <x v="12"/>
    <x v="74"/>
    <n v="16"/>
    <n v="10"/>
    <n v="6"/>
    <s v=""/>
  </r>
  <r>
    <x v="14"/>
    <x v="14"/>
    <x v="12"/>
    <x v="77"/>
    <n v="3427"/>
    <n v="1863"/>
    <n v="1564"/>
    <s v=""/>
  </r>
  <r>
    <x v="14"/>
    <x v="14"/>
    <x v="13"/>
    <x v="0"/>
    <n v="3608"/>
    <n v="1905"/>
    <n v="1702"/>
    <n v="1"/>
  </r>
  <r>
    <x v="14"/>
    <x v="14"/>
    <x v="13"/>
    <x v="74"/>
    <n v="1"/>
    <n v="1"/>
    <s v=""/>
    <s v=""/>
  </r>
  <r>
    <x v="14"/>
    <x v="14"/>
    <x v="13"/>
    <x v="77"/>
    <n v="11"/>
    <n v="4"/>
    <n v="7"/>
    <s v=""/>
  </r>
  <r>
    <x v="14"/>
    <x v="14"/>
    <x v="13"/>
    <x v="78"/>
    <n v="3596"/>
    <n v="1900"/>
    <n v="1695"/>
    <n v="1"/>
  </r>
  <r>
    <x v="14"/>
    <x v="14"/>
    <x v="14"/>
    <x v="0"/>
    <n v="3602"/>
    <n v="1959"/>
    <n v="1643"/>
    <s v=""/>
  </r>
  <r>
    <x v="14"/>
    <x v="14"/>
    <x v="14"/>
    <x v="78"/>
    <n v="28"/>
    <n v="19"/>
    <n v="9"/>
    <s v=""/>
  </r>
  <r>
    <x v="14"/>
    <x v="14"/>
    <x v="14"/>
    <x v="79"/>
    <n v="3574"/>
    <n v="1940"/>
    <n v="1634"/>
    <s v=""/>
  </r>
  <r>
    <x v="14"/>
    <x v="14"/>
    <x v="15"/>
    <x v="0"/>
    <n v="3629"/>
    <n v="1954"/>
    <n v="1675"/>
    <s v=""/>
  </r>
  <r>
    <x v="14"/>
    <x v="14"/>
    <x v="15"/>
    <x v="79"/>
    <n v="12"/>
    <n v="5"/>
    <n v="7"/>
    <s v=""/>
  </r>
  <r>
    <x v="14"/>
    <x v="14"/>
    <x v="15"/>
    <x v="80"/>
    <n v="3617"/>
    <n v="1949"/>
    <n v="1668"/>
    <s v=""/>
  </r>
  <r>
    <x v="14"/>
    <x v="14"/>
    <x v="16"/>
    <x v="0"/>
    <n v="3709"/>
    <n v="1985"/>
    <n v="1724"/>
    <s v=""/>
  </r>
  <r>
    <x v="14"/>
    <x v="14"/>
    <x v="16"/>
    <x v="73"/>
    <n v="1"/>
    <n v="1"/>
    <s v=""/>
    <s v=""/>
  </r>
  <r>
    <x v="14"/>
    <x v="14"/>
    <x v="16"/>
    <x v="80"/>
    <n v="15"/>
    <n v="12"/>
    <n v="3"/>
    <s v=""/>
  </r>
  <r>
    <x v="14"/>
    <x v="14"/>
    <x v="16"/>
    <x v="81"/>
    <n v="3693"/>
    <n v="1972"/>
    <n v="1721"/>
    <s v=""/>
  </r>
  <r>
    <x v="14"/>
    <x v="14"/>
    <x v="17"/>
    <x v="0"/>
    <n v="3917"/>
    <n v="2146"/>
    <n v="1771"/>
    <s v=""/>
  </r>
  <r>
    <x v="14"/>
    <x v="14"/>
    <x v="17"/>
    <x v="81"/>
    <n v="32"/>
    <n v="20"/>
    <n v="12"/>
    <s v=""/>
  </r>
  <r>
    <x v="14"/>
    <x v="14"/>
    <x v="17"/>
    <x v="82"/>
    <n v="3885"/>
    <n v="2126"/>
    <n v="1759"/>
    <s v=""/>
  </r>
  <r>
    <x v="14"/>
    <x v="14"/>
    <x v="18"/>
    <x v="0"/>
    <n v="4003"/>
    <n v="2183"/>
    <n v="1820"/>
    <s v=""/>
  </r>
  <r>
    <x v="14"/>
    <x v="14"/>
    <x v="18"/>
    <x v="78"/>
    <n v="1"/>
    <n v="1"/>
    <s v=""/>
    <s v=""/>
  </r>
  <r>
    <x v="14"/>
    <x v="14"/>
    <x v="18"/>
    <x v="79"/>
    <n v="6"/>
    <n v="5"/>
    <n v="1"/>
    <s v=""/>
  </r>
  <r>
    <x v="14"/>
    <x v="14"/>
    <x v="18"/>
    <x v="80"/>
    <n v="10"/>
    <n v="9"/>
    <n v="1"/>
    <s v=""/>
  </r>
  <r>
    <x v="14"/>
    <x v="14"/>
    <x v="18"/>
    <x v="82"/>
    <n v="33"/>
    <n v="25"/>
    <n v="8"/>
    <s v=""/>
  </r>
  <r>
    <x v="14"/>
    <x v="14"/>
    <x v="18"/>
    <x v="83"/>
    <n v="3953"/>
    <n v="2143"/>
    <n v="1810"/>
    <s v=""/>
  </r>
  <r>
    <x v="14"/>
    <x v="14"/>
    <x v="19"/>
    <x v="0"/>
    <n v="4014"/>
    <n v="2203"/>
    <n v="1811"/>
    <s v=""/>
  </r>
  <r>
    <x v="14"/>
    <x v="14"/>
    <x v="19"/>
    <x v="79"/>
    <n v="2"/>
    <n v="1"/>
    <n v="1"/>
    <s v=""/>
  </r>
  <r>
    <x v="14"/>
    <x v="14"/>
    <x v="19"/>
    <x v="80"/>
    <n v="1"/>
    <n v="1"/>
    <s v=""/>
    <s v=""/>
  </r>
  <r>
    <x v="14"/>
    <x v="14"/>
    <x v="19"/>
    <x v="83"/>
    <n v="25"/>
    <n v="19"/>
    <n v="6"/>
    <s v=""/>
  </r>
  <r>
    <x v="14"/>
    <x v="14"/>
    <x v="19"/>
    <x v="84"/>
    <n v="3986"/>
    <n v="2182"/>
    <n v="1804"/>
    <s v=""/>
  </r>
  <r>
    <x v="14"/>
    <x v="14"/>
    <x v="20"/>
    <x v="0"/>
    <n v="4188"/>
    <n v="2328"/>
    <n v="1860"/>
    <s v=""/>
  </r>
  <r>
    <x v="14"/>
    <x v="14"/>
    <x v="20"/>
    <x v="84"/>
    <n v="30"/>
    <n v="23"/>
    <n v="7"/>
    <s v=""/>
  </r>
  <r>
    <x v="14"/>
    <x v="14"/>
    <x v="20"/>
    <x v="85"/>
    <n v="4158"/>
    <n v="2305"/>
    <n v="1853"/>
    <s v=""/>
  </r>
  <r>
    <x v="14"/>
    <x v="14"/>
    <x v="21"/>
    <x v="0"/>
    <n v="4164"/>
    <n v="2338"/>
    <n v="1826"/>
    <s v=""/>
  </r>
  <r>
    <x v="14"/>
    <x v="14"/>
    <x v="21"/>
    <x v="74"/>
    <n v="1"/>
    <n v="1"/>
    <s v=""/>
    <s v=""/>
  </r>
  <r>
    <x v="14"/>
    <x v="14"/>
    <x v="21"/>
    <x v="85"/>
    <n v="53"/>
    <n v="39"/>
    <n v="14"/>
    <s v=""/>
  </r>
  <r>
    <x v="14"/>
    <x v="14"/>
    <x v="21"/>
    <x v="86"/>
    <n v="4110"/>
    <n v="2298"/>
    <n v="1812"/>
    <s v=""/>
  </r>
  <r>
    <x v="14"/>
    <x v="14"/>
    <x v="22"/>
    <x v="0"/>
    <n v="4380"/>
    <n v="2475"/>
    <n v="1905"/>
    <s v=""/>
  </r>
  <r>
    <x v="14"/>
    <x v="14"/>
    <x v="22"/>
    <x v="77"/>
    <n v="1"/>
    <n v="1"/>
    <s v=""/>
    <s v=""/>
  </r>
  <r>
    <x v="14"/>
    <x v="14"/>
    <x v="22"/>
    <x v="86"/>
    <n v="46"/>
    <n v="31"/>
    <n v="15"/>
    <s v=""/>
  </r>
  <r>
    <x v="14"/>
    <x v="14"/>
    <x v="22"/>
    <x v="87"/>
    <n v="4333"/>
    <n v="2443"/>
    <n v="1890"/>
    <s v=""/>
  </r>
  <r>
    <x v="14"/>
    <x v="14"/>
    <x v="23"/>
    <x v="0"/>
    <n v="4490"/>
    <n v="2567"/>
    <n v="1923"/>
    <s v=""/>
  </r>
  <r>
    <x v="14"/>
    <x v="14"/>
    <x v="23"/>
    <x v="87"/>
    <n v="60"/>
    <n v="45"/>
    <n v="15"/>
    <s v=""/>
  </r>
  <r>
    <x v="14"/>
    <x v="14"/>
    <x v="23"/>
    <x v="88"/>
    <n v="4430"/>
    <n v="2522"/>
    <n v="1908"/>
    <s v=""/>
  </r>
  <r>
    <x v="14"/>
    <x v="14"/>
    <x v="24"/>
    <x v="0"/>
    <n v="4650"/>
    <n v="2689"/>
    <n v="1961"/>
    <s v=""/>
  </r>
  <r>
    <x v="14"/>
    <x v="14"/>
    <x v="24"/>
    <x v="86"/>
    <n v="1"/>
    <n v="1"/>
    <s v=""/>
    <s v=""/>
  </r>
  <r>
    <x v="14"/>
    <x v="14"/>
    <x v="24"/>
    <x v="87"/>
    <n v="1"/>
    <n v="1"/>
    <s v=""/>
    <s v=""/>
  </r>
  <r>
    <x v="14"/>
    <x v="14"/>
    <x v="24"/>
    <x v="88"/>
    <n v="45"/>
    <n v="37"/>
    <n v="8"/>
    <s v=""/>
  </r>
  <r>
    <x v="14"/>
    <x v="14"/>
    <x v="24"/>
    <x v="89"/>
    <n v="4603"/>
    <n v="2650"/>
    <n v="1953"/>
    <s v=""/>
  </r>
  <r>
    <x v="14"/>
    <x v="14"/>
    <x v="25"/>
    <x v="0"/>
    <n v="4843"/>
    <n v="2720"/>
    <n v="2122"/>
    <n v="1"/>
  </r>
  <r>
    <x v="14"/>
    <x v="14"/>
    <x v="25"/>
    <x v="85"/>
    <n v="1"/>
    <n v="1"/>
    <s v=""/>
    <s v=""/>
  </r>
  <r>
    <x v="14"/>
    <x v="14"/>
    <x v="25"/>
    <x v="89"/>
    <n v="45"/>
    <n v="33"/>
    <n v="12"/>
    <s v=""/>
  </r>
  <r>
    <x v="14"/>
    <x v="14"/>
    <x v="25"/>
    <x v="90"/>
    <n v="4797"/>
    <n v="2686"/>
    <n v="2110"/>
    <n v="1"/>
  </r>
  <r>
    <x v="14"/>
    <x v="14"/>
    <x v="26"/>
    <x v="0"/>
    <n v="5220"/>
    <n v="3004"/>
    <n v="2215"/>
    <n v="1"/>
  </r>
  <r>
    <x v="14"/>
    <x v="14"/>
    <x v="26"/>
    <x v="85"/>
    <n v="1"/>
    <s v=""/>
    <n v="1"/>
    <s v=""/>
  </r>
  <r>
    <x v="14"/>
    <x v="14"/>
    <x v="26"/>
    <x v="88"/>
    <n v="1"/>
    <s v=""/>
    <n v="1"/>
    <s v=""/>
  </r>
  <r>
    <x v="14"/>
    <x v="14"/>
    <x v="26"/>
    <x v="89"/>
    <n v="1"/>
    <s v=""/>
    <s v=""/>
    <n v="1"/>
  </r>
  <r>
    <x v="14"/>
    <x v="14"/>
    <x v="26"/>
    <x v="90"/>
    <n v="28"/>
    <n v="23"/>
    <n v="5"/>
    <s v=""/>
  </r>
  <r>
    <x v="14"/>
    <x v="14"/>
    <x v="26"/>
    <x v="91"/>
    <n v="5189"/>
    <n v="2981"/>
    <n v="2208"/>
    <s v=""/>
  </r>
  <r>
    <x v="14"/>
    <x v="14"/>
    <x v="27"/>
    <x v="0"/>
    <n v="5057"/>
    <n v="2871"/>
    <n v="2186"/>
    <s v=""/>
  </r>
  <r>
    <x v="14"/>
    <x v="14"/>
    <x v="27"/>
    <x v="91"/>
    <n v="28"/>
    <n v="16"/>
    <n v="12"/>
    <s v=""/>
  </r>
  <r>
    <x v="14"/>
    <x v="14"/>
    <x v="27"/>
    <x v="92"/>
    <n v="5029"/>
    <n v="2855"/>
    <n v="2174"/>
    <s v=""/>
  </r>
  <r>
    <x v="14"/>
    <x v="14"/>
    <x v="28"/>
    <x v="0"/>
    <n v="5166"/>
    <n v="2902"/>
    <n v="2264"/>
    <s v=""/>
  </r>
  <r>
    <x v="14"/>
    <x v="14"/>
    <x v="28"/>
    <x v="92"/>
    <n v="26"/>
    <n v="18"/>
    <n v="8"/>
    <s v=""/>
  </r>
  <r>
    <x v="14"/>
    <x v="14"/>
    <x v="28"/>
    <x v="93"/>
    <n v="5139"/>
    <n v="2884"/>
    <n v="2255"/>
    <s v=""/>
  </r>
  <r>
    <x v="14"/>
    <x v="14"/>
    <x v="28"/>
    <x v="2"/>
    <n v="1"/>
    <s v=""/>
    <n v="1"/>
    <s v=""/>
  </r>
  <r>
    <x v="14"/>
    <x v="14"/>
    <x v="29"/>
    <x v="0"/>
    <n v="5298"/>
    <n v="3061"/>
    <n v="2237"/>
    <s v=""/>
  </r>
  <r>
    <x v="14"/>
    <x v="14"/>
    <x v="29"/>
    <x v="85"/>
    <n v="1"/>
    <s v=""/>
    <n v="1"/>
    <s v=""/>
  </r>
  <r>
    <x v="14"/>
    <x v="14"/>
    <x v="29"/>
    <x v="93"/>
    <n v="41"/>
    <n v="27"/>
    <n v="14"/>
    <s v=""/>
  </r>
  <r>
    <x v="14"/>
    <x v="14"/>
    <x v="29"/>
    <x v="94"/>
    <n v="5256"/>
    <n v="3034"/>
    <n v="2222"/>
    <s v=""/>
  </r>
  <r>
    <x v="14"/>
    <x v="14"/>
    <x v="30"/>
    <x v="0"/>
    <n v="10919"/>
    <n v="6854"/>
    <n v="4065"/>
    <s v=""/>
  </r>
  <r>
    <x v="14"/>
    <x v="14"/>
    <x v="30"/>
    <x v="94"/>
    <n v="26"/>
    <n v="21"/>
    <n v="5"/>
    <s v=""/>
  </r>
  <r>
    <x v="14"/>
    <x v="14"/>
    <x v="30"/>
    <x v="95"/>
    <n v="10893"/>
    <n v="6833"/>
    <n v="4060"/>
    <s v=""/>
  </r>
  <r>
    <x v="14"/>
    <x v="14"/>
    <x v="31"/>
    <x v="0"/>
    <n v="9716"/>
    <n v="5771"/>
    <n v="3945"/>
    <s v=""/>
  </r>
  <r>
    <x v="14"/>
    <x v="14"/>
    <x v="31"/>
    <x v="95"/>
    <n v="55"/>
    <n v="37"/>
    <n v="18"/>
    <s v=""/>
  </r>
  <r>
    <x v="14"/>
    <x v="14"/>
    <x v="31"/>
    <x v="96"/>
    <n v="9661"/>
    <n v="5734"/>
    <n v="3927"/>
    <s v=""/>
  </r>
  <r>
    <x v="14"/>
    <x v="14"/>
    <x v="32"/>
    <x v="0"/>
    <n v="5634"/>
    <n v="3252"/>
    <n v="2382"/>
    <s v=""/>
  </r>
  <r>
    <x v="14"/>
    <x v="14"/>
    <x v="32"/>
    <x v="81"/>
    <n v="3"/>
    <n v="2"/>
    <n v="1"/>
    <s v=""/>
  </r>
  <r>
    <x v="14"/>
    <x v="14"/>
    <x v="32"/>
    <x v="82"/>
    <n v="2"/>
    <n v="2"/>
    <s v=""/>
    <s v=""/>
  </r>
  <r>
    <x v="14"/>
    <x v="14"/>
    <x v="32"/>
    <x v="83"/>
    <n v="2"/>
    <n v="1"/>
    <n v="1"/>
    <s v=""/>
  </r>
  <r>
    <x v="14"/>
    <x v="14"/>
    <x v="32"/>
    <x v="84"/>
    <n v="2"/>
    <n v="1"/>
    <n v="1"/>
    <s v=""/>
  </r>
  <r>
    <x v="14"/>
    <x v="14"/>
    <x v="32"/>
    <x v="85"/>
    <n v="2"/>
    <s v=""/>
    <n v="2"/>
    <s v=""/>
  </r>
  <r>
    <x v="14"/>
    <x v="14"/>
    <x v="32"/>
    <x v="95"/>
    <n v="2"/>
    <n v="1"/>
    <n v="1"/>
    <s v=""/>
  </r>
  <r>
    <x v="14"/>
    <x v="14"/>
    <x v="32"/>
    <x v="96"/>
    <n v="21"/>
    <n v="13"/>
    <n v="8"/>
    <s v=""/>
  </r>
  <r>
    <x v="14"/>
    <x v="14"/>
    <x v="32"/>
    <x v="97"/>
    <n v="5600"/>
    <n v="3232"/>
    <n v="2368"/>
    <s v=""/>
  </r>
  <r>
    <x v="14"/>
    <x v="14"/>
    <x v="33"/>
    <x v="0"/>
    <n v="5169"/>
    <n v="2949"/>
    <n v="2220"/>
    <s v=""/>
  </r>
  <r>
    <x v="14"/>
    <x v="14"/>
    <x v="33"/>
    <x v="97"/>
    <n v="19"/>
    <n v="10"/>
    <n v="9"/>
    <s v=""/>
  </r>
  <r>
    <x v="14"/>
    <x v="14"/>
    <x v="33"/>
    <x v="98"/>
    <n v="5150"/>
    <n v="2939"/>
    <n v="2211"/>
    <s v=""/>
  </r>
  <r>
    <x v="14"/>
    <x v="14"/>
    <x v="34"/>
    <x v="0"/>
    <n v="5442"/>
    <n v="3152"/>
    <n v="2290"/>
    <s v=""/>
  </r>
  <r>
    <x v="14"/>
    <x v="14"/>
    <x v="34"/>
    <x v="98"/>
    <n v="14"/>
    <n v="7"/>
    <n v="7"/>
    <s v=""/>
  </r>
  <r>
    <x v="14"/>
    <x v="14"/>
    <x v="34"/>
    <x v="99"/>
    <n v="5428"/>
    <n v="3145"/>
    <n v="2283"/>
    <s v=""/>
  </r>
  <r>
    <x v="15"/>
    <x v="15"/>
    <x v="0"/>
    <x v="0"/>
    <n v="3803"/>
    <n v="1999"/>
    <n v="1804"/>
    <s v=""/>
  </r>
  <r>
    <x v="15"/>
    <x v="15"/>
    <x v="0"/>
    <x v="1"/>
    <n v="3796"/>
    <n v="1992"/>
    <n v="1804"/>
    <s v=""/>
  </r>
  <r>
    <x v="15"/>
    <x v="15"/>
    <x v="0"/>
    <x v="2"/>
    <n v="7"/>
    <n v="7"/>
    <s v=""/>
    <s v=""/>
  </r>
  <r>
    <x v="15"/>
    <x v="15"/>
    <x v="1"/>
    <x v="0"/>
    <n v="3981"/>
    <n v="2046"/>
    <n v="1935"/>
    <s v=""/>
  </r>
  <r>
    <x v="15"/>
    <x v="15"/>
    <x v="1"/>
    <x v="4"/>
    <n v="3976"/>
    <n v="2043"/>
    <n v="1933"/>
    <s v=""/>
  </r>
  <r>
    <x v="15"/>
    <x v="15"/>
    <x v="1"/>
    <x v="2"/>
    <n v="5"/>
    <n v="3"/>
    <n v="2"/>
    <s v=""/>
  </r>
  <r>
    <x v="15"/>
    <x v="15"/>
    <x v="2"/>
    <x v="0"/>
    <n v="3888"/>
    <n v="2015"/>
    <n v="1873"/>
    <s v=""/>
  </r>
  <r>
    <x v="15"/>
    <x v="15"/>
    <x v="2"/>
    <x v="5"/>
    <n v="3887"/>
    <n v="2014"/>
    <n v="1873"/>
    <s v=""/>
  </r>
  <r>
    <x v="15"/>
    <x v="15"/>
    <x v="2"/>
    <x v="2"/>
    <n v="1"/>
    <n v="1"/>
    <s v=""/>
    <s v=""/>
  </r>
  <r>
    <x v="15"/>
    <x v="15"/>
    <x v="3"/>
    <x v="0"/>
    <n v="3951"/>
    <n v="2026"/>
    <n v="1925"/>
    <s v=""/>
  </r>
  <r>
    <x v="15"/>
    <x v="15"/>
    <x v="3"/>
    <x v="15"/>
    <n v="2"/>
    <s v=""/>
    <n v="2"/>
    <s v=""/>
  </r>
  <r>
    <x v="15"/>
    <x v="15"/>
    <x v="3"/>
    <x v="5"/>
    <n v="15"/>
    <n v="5"/>
    <n v="10"/>
    <s v=""/>
  </r>
  <r>
    <x v="15"/>
    <x v="15"/>
    <x v="3"/>
    <x v="18"/>
    <n v="3933"/>
    <n v="2020"/>
    <n v="1913"/>
    <s v=""/>
  </r>
  <r>
    <x v="15"/>
    <x v="15"/>
    <x v="3"/>
    <x v="2"/>
    <n v="1"/>
    <n v="1"/>
    <s v=""/>
    <s v=""/>
  </r>
  <r>
    <x v="15"/>
    <x v="15"/>
    <x v="4"/>
    <x v="0"/>
    <n v="3762"/>
    <n v="1903"/>
    <n v="1859"/>
    <s v=""/>
  </r>
  <r>
    <x v="15"/>
    <x v="15"/>
    <x v="4"/>
    <x v="19"/>
    <n v="1"/>
    <s v=""/>
    <n v="1"/>
    <s v=""/>
  </r>
  <r>
    <x v="15"/>
    <x v="15"/>
    <x v="4"/>
    <x v="28"/>
    <n v="1"/>
    <s v=""/>
    <n v="1"/>
    <s v=""/>
  </r>
  <r>
    <x v="15"/>
    <x v="15"/>
    <x v="4"/>
    <x v="18"/>
    <n v="11"/>
    <n v="6"/>
    <n v="5"/>
    <s v=""/>
  </r>
  <r>
    <x v="15"/>
    <x v="15"/>
    <x v="4"/>
    <x v="30"/>
    <n v="3749"/>
    <n v="1897"/>
    <n v="1852"/>
    <s v=""/>
  </r>
  <r>
    <x v="15"/>
    <x v="15"/>
    <x v="5"/>
    <x v="0"/>
    <n v="3981"/>
    <n v="2023"/>
    <n v="1958"/>
    <s v=""/>
  </r>
  <r>
    <x v="15"/>
    <x v="15"/>
    <x v="5"/>
    <x v="33"/>
    <n v="1"/>
    <s v=""/>
    <n v="1"/>
    <s v=""/>
  </r>
  <r>
    <x v="15"/>
    <x v="15"/>
    <x v="5"/>
    <x v="42"/>
    <n v="1"/>
    <s v=""/>
    <n v="1"/>
    <s v=""/>
  </r>
  <r>
    <x v="15"/>
    <x v="15"/>
    <x v="5"/>
    <x v="4"/>
    <n v="1"/>
    <n v="1"/>
    <s v=""/>
    <s v=""/>
  </r>
  <r>
    <x v="15"/>
    <x v="15"/>
    <x v="5"/>
    <x v="18"/>
    <n v="3"/>
    <n v="1"/>
    <n v="2"/>
    <s v=""/>
  </r>
  <r>
    <x v="15"/>
    <x v="15"/>
    <x v="5"/>
    <x v="30"/>
    <n v="16"/>
    <n v="9"/>
    <n v="7"/>
    <s v=""/>
  </r>
  <r>
    <x v="15"/>
    <x v="15"/>
    <x v="5"/>
    <x v="44"/>
    <n v="3958"/>
    <n v="2011"/>
    <n v="1947"/>
    <s v=""/>
  </r>
  <r>
    <x v="15"/>
    <x v="15"/>
    <x v="5"/>
    <x v="2"/>
    <n v="1"/>
    <n v="1"/>
    <s v=""/>
    <s v=""/>
  </r>
  <r>
    <x v="15"/>
    <x v="15"/>
    <x v="6"/>
    <x v="0"/>
    <n v="4070"/>
    <n v="1996"/>
    <n v="2074"/>
    <s v=""/>
  </r>
  <r>
    <x v="15"/>
    <x v="15"/>
    <x v="6"/>
    <x v="49"/>
    <n v="1"/>
    <n v="1"/>
    <s v=""/>
    <s v=""/>
  </r>
  <r>
    <x v="15"/>
    <x v="15"/>
    <x v="6"/>
    <x v="5"/>
    <n v="1"/>
    <n v="1"/>
    <s v=""/>
    <s v=""/>
  </r>
  <r>
    <x v="15"/>
    <x v="15"/>
    <x v="6"/>
    <x v="30"/>
    <n v="2"/>
    <n v="2"/>
    <s v=""/>
    <s v=""/>
  </r>
  <r>
    <x v="15"/>
    <x v="15"/>
    <x v="6"/>
    <x v="44"/>
    <n v="21"/>
    <n v="13"/>
    <n v="8"/>
    <s v=""/>
  </r>
  <r>
    <x v="15"/>
    <x v="15"/>
    <x v="6"/>
    <x v="50"/>
    <n v="4045"/>
    <n v="1979"/>
    <n v="2066"/>
    <s v=""/>
  </r>
  <r>
    <x v="15"/>
    <x v="15"/>
    <x v="7"/>
    <x v="0"/>
    <n v="4072"/>
    <n v="2001"/>
    <n v="2071"/>
    <s v=""/>
  </r>
  <r>
    <x v="15"/>
    <x v="15"/>
    <x v="7"/>
    <x v="55"/>
    <n v="1"/>
    <s v=""/>
    <n v="1"/>
    <s v=""/>
  </r>
  <r>
    <x v="15"/>
    <x v="15"/>
    <x v="7"/>
    <x v="4"/>
    <n v="1"/>
    <s v=""/>
    <n v="1"/>
    <s v=""/>
  </r>
  <r>
    <x v="15"/>
    <x v="15"/>
    <x v="7"/>
    <x v="18"/>
    <n v="1"/>
    <s v=""/>
    <n v="1"/>
    <s v=""/>
  </r>
  <r>
    <x v="15"/>
    <x v="15"/>
    <x v="7"/>
    <x v="50"/>
    <n v="6"/>
    <n v="4"/>
    <n v="2"/>
    <s v=""/>
  </r>
  <r>
    <x v="15"/>
    <x v="15"/>
    <x v="7"/>
    <x v="57"/>
    <n v="4063"/>
    <n v="1997"/>
    <n v="2066"/>
    <s v=""/>
  </r>
  <r>
    <x v="15"/>
    <x v="15"/>
    <x v="8"/>
    <x v="0"/>
    <n v="4136"/>
    <n v="2129"/>
    <n v="2007"/>
    <s v=""/>
  </r>
  <r>
    <x v="15"/>
    <x v="15"/>
    <x v="8"/>
    <x v="1"/>
    <n v="1"/>
    <s v=""/>
    <n v="1"/>
    <s v=""/>
  </r>
  <r>
    <x v="15"/>
    <x v="15"/>
    <x v="8"/>
    <x v="57"/>
    <n v="15"/>
    <n v="8"/>
    <n v="7"/>
    <s v=""/>
  </r>
  <r>
    <x v="15"/>
    <x v="15"/>
    <x v="8"/>
    <x v="69"/>
    <n v="4120"/>
    <n v="2121"/>
    <n v="1999"/>
    <s v=""/>
  </r>
  <r>
    <x v="15"/>
    <x v="15"/>
    <x v="9"/>
    <x v="0"/>
    <n v="4225"/>
    <n v="2143"/>
    <n v="2082"/>
    <s v=""/>
  </r>
  <r>
    <x v="15"/>
    <x v="15"/>
    <x v="9"/>
    <x v="3"/>
    <n v="1"/>
    <s v=""/>
    <n v="1"/>
    <s v=""/>
  </r>
  <r>
    <x v="15"/>
    <x v="15"/>
    <x v="9"/>
    <x v="30"/>
    <n v="1"/>
    <s v=""/>
    <n v="1"/>
    <s v=""/>
  </r>
  <r>
    <x v="15"/>
    <x v="15"/>
    <x v="9"/>
    <x v="69"/>
    <n v="13"/>
    <n v="9"/>
    <n v="4"/>
    <s v=""/>
  </r>
  <r>
    <x v="15"/>
    <x v="15"/>
    <x v="9"/>
    <x v="71"/>
    <n v="4209"/>
    <n v="2133"/>
    <n v="2076"/>
    <s v=""/>
  </r>
  <r>
    <x v="15"/>
    <x v="15"/>
    <x v="9"/>
    <x v="2"/>
    <n v="1"/>
    <n v="1"/>
    <s v=""/>
    <s v=""/>
  </r>
  <r>
    <x v="15"/>
    <x v="15"/>
    <x v="10"/>
    <x v="0"/>
    <n v="4123"/>
    <n v="2128"/>
    <n v="1995"/>
    <s v=""/>
  </r>
  <r>
    <x v="15"/>
    <x v="15"/>
    <x v="10"/>
    <x v="72"/>
    <n v="1"/>
    <n v="1"/>
    <s v=""/>
    <s v=""/>
  </r>
  <r>
    <x v="15"/>
    <x v="15"/>
    <x v="10"/>
    <x v="71"/>
    <n v="21"/>
    <n v="12"/>
    <n v="9"/>
    <s v=""/>
  </r>
  <r>
    <x v="15"/>
    <x v="15"/>
    <x v="10"/>
    <x v="73"/>
    <n v="4101"/>
    <n v="2115"/>
    <n v="1986"/>
    <s v=""/>
  </r>
  <r>
    <x v="15"/>
    <x v="15"/>
    <x v="11"/>
    <x v="0"/>
    <n v="4125"/>
    <n v="2081"/>
    <n v="2044"/>
    <s v=""/>
  </r>
  <r>
    <x v="15"/>
    <x v="15"/>
    <x v="11"/>
    <x v="73"/>
    <n v="17"/>
    <n v="8"/>
    <n v="9"/>
    <s v=""/>
  </r>
  <r>
    <x v="15"/>
    <x v="15"/>
    <x v="11"/>
    <x v="74"/>
    <n v="4108"/>
    <n v="2073"/>
    <n v="2035"/>
    <s v=""/>
  </r>
  <r>
    <x v="15"/>
    <x v="15"/>
    <x v="12"/>
    <x v="0"/>
    <n v="4169"/>
    <n v="2142"/>
    <n v="2027"/>
    <s v=""/>
  </r>
  <r>
    <x v="15"/>
    <x v="15"/>
    <x v="12"/>
    <x v="74"/>
    <n v="17"/>
    <n v="12"/>
    <n v="5"/>
    <s v=""/>
  </r>
  <r>
    <x v="15"/>
    <x v="15"/>
    <x v="12"/>
    <x v="77"/>
    <n v="4152"/>
    <n v="2130"/>
    <n v="2022"/>
    <s v=""/>
  </r>
  <r>
    <x v="15"/>
    <x v="15"/>
    <x v="13"/>
    <x v="0"/>
    <n v="4250"/>
    <n v="2147"/>
    <n v="2103"/>
    <s v=""/>
  </r>
  <r>
    <x v="15"/>
    <x v="15"/>
    <x v="13"/>
    <x v="73"/>
    <n v="2"/>
    <s v=""/>
    <n v="2"/>
    <s v=""/>
  </r>
  <r>
    <x v="15"/>
    <x v="15"/>
    <x v="13"/>
    <x v="77"/>
    <n v="18"/>
    <n v="10"/>
    <n v="8"/>
    <s v=""/>
  </r>
  <r>
    <x v="15"/>
    <x v="15"/>
    <x v="13"/>
    <x v="78"/>
    <n v="4230"/>
    <n v="2137"/>
    <n v="2093"/>
    <s v=""/>
  </r>
  <r>
    <x v="15"/>
    <x v="15"/>
    <x v="14"/>
    <x v="0"/>
    <n v="4265"/>
    <n v="2205"/>
    <n v="2059"/>
    <n v="1"/>
  </r>
  <r>
    <x v="15"/>
    <x v="15"/>
    <x v="14"/>
    <x v="77"/>
    <n v="2"/>
    <n v="2"/>
    <s v=""/>
    <s v=""/>
  </r>
  <r>
    <x v="15"/>
    <x v="15"/>
    <x v="14"/>
    <x v="78"/>
    <n v="22"/>
    <n v="13"/>
    <n v="9"/>
    <s v=""/>
  </r>
  <r>
    <x v="15"/>
    <x v="15"/>
    <x v="14"/>
    <x v="79"/>
    <n v="4241"/>
    <n v="2190"/>
    <n v="2050"/>
    <n v="1"/>
  </r>
  <r>
    <x v="15"/>
    <x v="15"/>
    <x v="15"/>
    <x v="0"/>
    <n v="4250"/>
    <n v="2165"/>
    <n v="2085"/>
    <s v=""/>
  </r>
  <r>
    <x v="15"/>
    <x v="15"/>
    <x v="15"/>
    <x v="79"/>
    <n v="23"/>
    <n v="9"/>
    <n v="14"/>
    <s v=""/>
  </r>
  <r>
    <x v="15"/>
    <x v="15"/>
    <x v="15"/>
    <x v="80"/>
    <n v="4227"/>
    <n v="2156"/>
    <n v="2071"/>
    <s v=""/>
  </r>
  <r>
    <x v="15"/>
    <x v="15"/>
    <x v="16"/>
    <x v="0"/>
    <n v="4277"/>
    <n v="2220"/>
    <n v="2057"/>
    <s v=""/>
  </r>
  <r>
    <x v="15"/>
    <x v="15"/>
    <x v="16"/>
    <x v="79"/>
    <n v="1"/>
    <n v="1"/>
    <s v=""/>
    <s v=""/>
  </r>
  <r>
    <x v="15"/>
    <x v="15"/>
    <x v="16"/>
    <x v="80"/>
    <n v="25"/>
    <n v="19"/>
    <n v="6"/>
    <s v=""/>
  </r>
  <r>
    <x v="15"/>
    <x v="15"/>
    <x v="16"/>
    <x v="81"/>
    <n v="4251"/>
    <n v="2200"/>
    <n v="2051"/>
    <s v=""/>
  </r>
  <r>
    <x v="15"/>
    <x v="15"/>
    <x v="17"/>
    <x v="0"/>
    <n v="4346"/>
    <n v="2271"/>
    <n v="2075"/>
    <s v=""/>
  </r>
  <r>
    <x v="15"/>
    <x v="15"/>
    <x v="17"/>
    <x v="73"/>
    <n v="1"/>
    <n v="1"/>
    <s v=""/>
    <s v=""/>
  </r>
  <r>
    <x v="15"/>
    <x v="15"/>
    <x v="17"/>
    <x v="81"/>
    <n v="18"/>
    <n v="14"/>
    <n v="4"/>
    <s v=""/>
  </r>
  <r>
    <x v="15"/>
    <x v="15"/>
    <x v="17"/>
    <x v="82"/>
    <n v="4327"/>
    <n v="2256"/>
    <n v="2071"/>
    <s v=""/>
  </r>
  <r>
    <x v="15"/>
    <x v="15"/>
    <x v="18"/>
    <x v="0"/>
    <n v="4457"/>
    <n v="2311"/>
    <n v="2146"/>
    <s v=""/>
  </r>
  <r>
    <x v="15"/>
    <x v="15"/>
    <x v="18"/>
    <x v="79"/>
    <n v="11"/>
    <n v="11"/>
    <s v=""/>
    <s v=""/>
  </r>
  <r>
    <x v="15"/>
    <x v="15"/>
    <x v="18"/>
    <x v="80"/>
    <n v="5"/>
    <n v="5"/>
    <s v=""/>
    <s v=""/>
  </r>
  <r>
    <x v="15"/>
    <x v="15"/>
    <x v="18"/>
    <x v="82"/>
    <n v="28"/>
    <n v="17"/>
    <n v="11"/>
    <s v=""/>
  </r>
  <r>
    <x v="15"/>
    <x v="15"/>
    <x v="18"/>
    <x v="83"/>
    <n v="4413"/>
    <n v="2278"/>
    <n v="2135"/>
    <s v=""/>
  </r>
  <r>
    <x v="15"/>
    <x v="15"/>
    <x v="19"/>
    <x v="0"/>
    <n v="4525"/>
    <n v="2435"/>
    <n v="2090"/>
    <s v=""/>
  </r>
  <r>
    <x v="15"/>
    <x v="15"/>
    <x v="19"/>
    <x v="79"/>
    <n v="1"/>
    <n v="1"/>
    <s v=""/>
    <s v=""/>
  </r>
  <r>
    <x v="15"/>
    <x v="15"/>
    <x v="19"/>
    <x v="83"/>
    <n v="30"/>
    <n v="22"/>
    <n v="8"/>
    <s v=""/>
  </r>
  <r>
    <x v="15"/>
    <x v="15"/>
    <x v="19"/>
    <x v="84"/>
    <n v="4494"/>
    <n v="2412"/>
    <n v="2082"/>
    <s v=""/>
  </r>
  <r>
    <x v="15"/>
    <x v="15"/>
    <x v="20"/>
    <x v="0"/>
    <n v="4626"/>
    <n v="2413"/>
    <n v="2213"/>
    <s v=""/>
  </r>
  <r>
    <x v="15"/>
    <x v="15"/>
    <x v="20"/>
    <x v="84"/>
    <n v="29"/>
    <n v="23"/>
    <n v="6"/>
    <s v=""/>
  </r>
  <r>
    <x v="15"/>
    <x v="15"/>
    <x v="20"/>
    <x v="85"/>
    <n v="4597"/>
    <n v="2390"/>
    <n v="2207"/>
    <s v=""/>
  </r>
  <r>
    <x v="15"/>
    <x v="15"/>
    <x v="21"/>
    <x v="0"/>
    <n v="4596"/>
    <n v="2437"/>
    <n v="2159"/>
    <s v=""/>
  </r>
  <r>
    <x v="15"/>
    <x v="15"/>
    <x v="21"/>
    <x v="81"/>
    <n v="1"/>
    <s v=""/>
    <n v="1"/>
    <s v=""/>
  </r>
  <r>
    <x v="15"/>
    <x v="15"/>
    <x v="21"/>
    <x v="85"/>
    <n v="49"/>
    <n v="35"/>
    <n v="14"/>
    <s v=""/>
  </r>
  <r>
    <x v="15"/>
    <x v="15"/>
    <x v="21"/>
    <x v="86"/>
    <n v="4546"/>
    <n v="2402"/>
    <n v="2144"/>
    <s v=""/>
  </r>
  <r>
    <x v="15"/>
    <x v="15"/>
    <x v="22"/>
    <x v="0"/>
    <n v="4967"/>
    <n v="2676"/>
    <n v="2290"/>
    <n v="1"/>
  </r>
  <r>
    <x v="15"/>
    <x v="15"/>
    <x v="22"/>
    <x v="86"/>
    <n v="41"/>
    <n v="35"/>
    <n v="6"/>
    <s v=""/>
  </r>
  <r>
    <x v="15"/>
    <x v="15"/>
    <x v="22"/>
    <x v="87"/>
    <n v="4926"/>
    <n v="2641"/>
    <n v="2284"/>
    <n v="1"/>
  </r>
  <r>
    <x v="15"/>
    <x v="15"/>
    <x v="23"/>
    <x v="0"/>
    <n v="5067"/>
    <n v="2728"/>
    <n v="2339"/>
    <s v=""/>
  </r>
  <r>
    <x v="15"/>
    <x v="15"/>
    <x v="23"/>
    <x v="87"/>
    <n v="43"/>
    <n v="32"/>
    <n v="11"/>
    <s v=""/>
  </r>
  <r>
    <x v="15"/>
    <x v="15"/>
    <x v="23"/>
    <x v="88"/>
    <n v="5024"/>
    <n v="2696"/>
    <n v="2328"/>
    <s v=""/>
  </r>
  <r>
    <x v="15"/>
    <x v="15"/>
    <x v="24"/>
    <x v="0"/>
    <n v="5330"/>
    <n v="2898"/>
    <n v="2432"/>
    <s v=""/>
  </r>
  <r>
    <x v="15"/>
    <x v="15"/>
    <x v="24"/>
    <x v="79"/>
    <n v="1"/>
    <n v="1"/>
    <s v=""/>
    <s v=""/>
  </r>
  <r>
    <x v="15"/>
    <x v="15"/>
    <x v="24"/>
    <x v="86"/>
    <n v="1"/>
    <n v="1"/>
    <s v=""/>
    <s v=""/>
  </r>
  <r>
    <x v="15"/>
    <x v="15"/>
    <x v="24"/>
    <x v="88"/>
    <n v="43"/>
    <n v="31"/>
    <n v="12"/>
    <s v=""/>
  </r>
  <r>
    <x v="15"/>
    <x v="15"/>
    <x v="24"/>
    <x v="89"/>
    <n v="5285"/>
    <n v="2865"/>
    <n v="2420"/>
    <s v=""/>
  </r>
  <r>
    <x v="15"/>
    <x v="15"/>
    <x v="25"/>
    <x v="0"/>
    <n v="5407"/>
    <n v="2909"/>
    <n v="2498"/>
    <s v=""/>
  </r>
  <r>
    <x v="15"/>
    <x v="15"/>
    <x v="25"/>
    <x v="89"/>
    <n v="45"/>
    <n v="34"/>
    <n v="11"/>
    <s v=""/>
  </r>
  <r>
    <x v="15"/>
    <x v="15"/>
    <x v="25"/>
    <x v="90"/>
    <n v="5362"/>
    <n v="2875"/>
    <n v="2487"/>
    <s v=""/>
  </r>
  <r>
    <x v="15"/>
    <x v="15"/>
    <x v="26"/>
    <x v="0"/>
    <n v="5702"/>
    <n v="3094"/>
    <n v="2608"/>
    <s v=""/>
  </r>
  <r>
    <x v="15"/>
    <x v="15"/>
    <x v="26"/>
    <x v="84"/>
    <n v="1"/>
    <n v="1"/>
    <s v=""/>
    <s v=""/>
  </r>
  <r>
    <x v="15"/>
    <x v="15"/>
    <x v="26"/>
    <x v="85"/>
    <n v="2"/>
    <n v="2"/>
    <s v=""/>
    <s v=""/>
  </r>
  <r>
    <x v="15"/>
    <x v="15"/>
    <x v="26"/>
    <x v="87"/>
    <n v="1"/>
    <n v="1"/>
    <s v=""/>
    <s v=""/>
  </r>
  <r>
    <x v="15"/>
    <x v="15"/>
    <x v="26"/>
    <x v="88"/>
    <n v="1"/>
    <s v=""/>
    <n v="1"/>
    <s v=""/>
  </r>
  <r>
    <x v="15"/>
    <x v="15"/>
    <x v="26"/>
    <x v="90"/>
    <n v="39"/>
    <n v="26"/>
    <n v="13"/>
    <s v=""/>
  </r>
  <r>
    <x v="15"/>
    <x v="15"/>
    <x v="26"/>
    <x v="91"/>
    <n v="5658"/>
    <n v="3064"/>
    <n v="2594"/>
    <s v=""/>
  </r>
  <r>
    <x v="15"/>
    <x v="15"/>
    <x v="27"/>
    <x v="0"/>
    <n v="5646"/>
    <n v="3102"/>
    <n v="2544"/>
    <s v=""/>
  </r>
  <r>
    <x v="15"/>
    <x v="15"/>
    <x v="27"/>
    <x v="91"/>
    <n v="27"/>
    <n v="20"/>
    <n v="7"/>
    <s v=""/>
  </r>
  <r>
    <x v="15"/>
    <x v="15"/>
    <x v="27"/>
    <x v="92"/>
    <n v="5619"/>
    <n v="3082"/>
    <n v="2537"/>
    <s v=""/>
  </r>
  <r>
    <x v="15"/>
    <x v="15"/>
    <x v="28"/>
    <x v="0"/>
    <n v="5779"/>
    <n v="3127"/>
    <n v="2652"/>
    <s v=""/>
  </r>
  <r>
    <x v="15"/>
    <x v="15"/>
    <x v="28"/>
    <x v="92"/>
    <n v="33"/>
    <n v="22"/>
    <n v="11"/>
    <s v=""/>
  </r>
  <r>
    <x v="15"/>
    <x v="15"/>
    <x v="28"/>
    <x v="93"/>
    <n v="5746"/>
    <n v="3105"/>
    <n v="2641"/>
    <s v=""/>
  </r>
  <r>
    <x v="15"/>
    <x v="15"/>
    <x v="29"/>
    <x v="0"/>
    <n v="5996"/>
    <n v="3273"/>
    <n v="2723"/>
    <s v=""/>
  </r>
  <r>
    <x v="15"/>
    <x v="15"/>
    <x v="29"/>
    <x v="93"/>
    <n v="35"/>
    <n v="27"/>
    <n v="8"/>
    <s v=""/>
  </r>
  <r>
    <x v="15"/>
    <x v="15"/>
    <x v="29"/>
    <x v="94"/>
    <n v="5961"/>
    <n v="3246"/>
    <n v="2715"/>
    <s v=""/>
  </r>
  <r>
    <x v="15"/>
    <x v="15"/>
    <x v="30"/>
    <x v="0"/>
    <n v="11929"/>
    <n v="7115"/>
    <n v="4814"/>
    <s v=""/>
  </r>
  <r>
    <x v="15"/>
    <x v="15"/>
    <x v="30"/>
    <x v="94"/>
    <n v="28"/>
    <n v="19"/>
    <n v="9"/>
    <s v=""/>
  </r>
  <r>
    <x v="15"/>
    <x v="15"/>
    <x v="30"/>
    <x v="95"/>
    <n v="11901"/>
    <n v="7096"/>
    <n v="4805"/>
    <s v=""/>
  </r>
  <r>
    <x v="15"/>
    <x v="15"/>
    <x v="31"/>
    <x v="0"/>
    <n v="10709"/>
    <n v="6111"/>
    <n v="4598"/>
    <s v=""/>
  </r>
  <r>
    <x v="15"/>
    <x v="15"/>
    <x v="31"/>
    <x v="95"/>
    <n v="72"/>
    <n v="49"/>
    <n v="23"/>
    <s v=""/>
  </r>
  <r>
    <x v="15"/>
    <x v="15"/>
    <x v="31"/>
    <x v="96"/>
    <n v="10636"/>
    <n v="6062"/>
    <n v="4574"/>
    <s v=""/>
  </r>
  <r>
    <x v="15"/>
    <x v="15"/>
    <x v="31"/>
    <x v="2"/>
    <n v="1"/>
    <s v=""/>
    <n v="1"/>
    <s v=""/>
  </r>
  <r>
    <x v="15"/>
    <x v="15"/>
    <x v="32"/>
    <x v="0"/>
    <n v="6609"/>
    <n v="3625"/>
    <n v="2983"/>
    <n v="1"/>
  </r>
  <r>
    <x v="15"/>
    <x v="15"/>
    <x v="32"/>
    <x v="81"/>
    <n v="1"/>
    <n v="1"/>
    <s v=""/>
    <s v=""/>
  </r>
  <r>
    <x v="15"/>
    <x v="15"/>
    <x v="32"/>
    <x v="82"/>
    <n v="3"/>
    <n v="3"/>
    <s v=""/>
    <s v=""/>
  </r>
  <r>
    <x v="15"/>
    <x v="15"/>
    <x v="32"/>
    <x v="84"/>
    <n v="6"/>
    <n v="5"/>
    <n v="1"/>
    <s v=""/>
  </r>
  <r>
    <x v="15"/>
    <x v="15"/>
    <x v="32"/>
    <x v="85"/>
    <n v="2"/>
    <n v="1"/>
    <n v="1"/>
    <s v=""/>
  </r>
  <r>
    <x v="15"/>
    <x v="15"/>
    <x v="32"/>
    <x v="96"/>
    <n v="26"/>
    <n v="17"/>
    <n v="9"/>
    <s v=""/>
  </r>
  <r>
    <x v="15"/>
    <x v="15"/>
    <x v="32"/>
    <x v="97"/>
    <n v="6571"/>
    <n v="3598"/>
    <n v="2972"/>
    <n v="1"/>
  </r>
  <r>
    <x v="15"/>
    <x v="15"/>
    <x v="33"/>
    <x v="0"/>
    <n v="6185"/>
    <n v="3391"/>
    <n v="2794"/>
    <s v=""/>
  </r>
  <r>
    <x v="15"/>
    <x v="15"/>
    <x v="33"/>
    <x v="97"/>
    <n v="20"/>
    <n v="11"/>
    <n v="9"/>
    <s v=""/>
  </r>
  <r>
    <x v="15"/>
    <x v="15"/>
    <x v="33"/>
    <x v="98"/>
    <n v="6165"/>
    <n v="3380"/>
    <n v="2785"/>
    <s v=""/>
  </r>
  <r>
    <x v="15"/>
    <x v="15"/>
    <x v="34"/>
    <x v="0"/>
    <n v="6463"/>
    <n v="3572"/>
    <n v="2891"/>
    <s v=""/>
  </r>
  <r>
    <x v="15"/>
    <x v="15"/>
    <x v="34"/>
    <x v="96"/>
    <n v="1"/>
    <s v=""/>
    <n v="1"/>
    <s v=""/>
  </r>
  <r>
    <x v="15"/>
    <x v="15"/>
    <x v="34"/>
    <x v="98"/>
    <n v="30"/>
    <n v="17"/>
    <n v="13"/>
    <s v=""/>
  </r>
  <r>
    <x v="15"/>
    <x v="15"/>
    <x v="34"/>
    <x v="99"/>
    <n v="6432"/>
    <n v="3555"/>
    <n v="2877"/>
    <s v=""/>
  </r>
  <r>
    <x v="16"/>
    <x v="16"/>
    <x v="0"/>
    <x v="0"/>
    <n v="3541"/>
    <n v="1763"/>
    <n v="1777"/>
    <n v="1"/>
  </r>
  <r>
    <x v="16"/>
    <x v="16"/>
    <x v="0"/>
    <x v="1"/>
    <n v="3540"/>
    <n v="1762"/>
    <n v="1777"/>
    <n v="1"/>
  </r>
  <r>
    <x v="16"/>
    <x v="16"/>
    <x v="0"/>
    <x v="2"/>
    <n v="1"/>
    <n v="1"/>
    <s v=""/>
    <s v=""/>
  </r>
  <r>
    <x v="16"/>
    <x v="16"/>
    <x v="1"/>
    <x v="0"/>
    <n v="3772"/>
    <n v="1883"/>
    <n v="1889"/>
    <s v=""/>
  </r>
  <r>
    <x v="16"/>
    <x v="16"/>
    <x v="1"/>
    <x v="4"/>
    <n v="3770"/>
    <n v="1881"/>
    <n v="1889"/>
    <s v=""/>
  </r>
  <r>
    <x v="16"/>
    <x v="16"/>
    <x v="1"/>
    <x v="2"/>
    <n v="2"/>
    <n v="2"/>
    <s v=""/>
    <s v=""/>
  </r>
  <r>
    <x v="16"/>
    <x v="16"/>
    <x v="2"/>
    <x v="0"/>
    <n v="4045"/>
    <n v="2054"/>
    <n v="1991"/>
    <s v=""/>
  </r>
  <r>
    <x v="16"/>
    <x v="16"/>
    <x v="2"/>
    <x v="5"/>
    <n v="4044"/>
    <n v="2053"/>
    <n v="1991"/>
    <s v=""/>
  </r>
  <r>
    <x v="16"/>
    <x v="16"/>
    <x v="2"/>
    <x v="2"/>
    <n v="1"/>
    <n v="1"/>
    <s v=""/>
    <s v=""/>
  </r>
  <r>
    <x v="16"/>
    <x v="16"/>
    <x v="3"/>
    <x v="0"/>
    <n v="4278"/>
    <n v="2172"/>
    <n v="2105"/>
    <n v="1"/>
  </r>
  <r>
    <x v="16"/>
    <x v="16"/>
    <x v="3"/>
    <x v="13"/>
    <n v="1"/>
    <n v="1"/>
    <s v=""/>
    <s v=""/>
  </r>
  <r>
    <x v="16"/>
    <x v="16"/>
    <x v="3"/>
    <x v="15"/>
    <n v="1"/>
    <s v=""/>
    <n v="1"/>
    <s v=""/>
  </r>
  <r>
    <x v="16"/>
    <x v="16"/>
    <x v="3"/>
    <x v="16"/>
    <n v="1"/>
    <s v=""/>
    <n v="1"/>
    <s v=""/>
  </r>
  <r>
    <x v="16"/>
    <x v="16"/>
    <x v="3"/>
    <x v="5"/>
    <n v="11"/>
    <n v="2"/>
    <n v="9"/>
    <s v=""/>
  </r>
  <r>
    <x v="16"/>
    <x v="16"/>
    <x v="3"/>
    <x v="18"/>
    <n v="4263"/>
    <n v="2168"/>
    <n v="2094"/>
    <n v="1"/>
  </r>
  <r>
    <x v="16"/>
    <x v="16"/>
    <x v="3"/>
    <x v="2"/>
    <n v="1"/>
    <n v="1"/>
    <s v=""/>
    <s v=""/>
  </r>
  <r>
    <x v="16"/>
    <x v="16"/>
    <x v="4"/>
    <x v="0"/>
    <n v="4515"/>
    <n v="2305"/>
    <n v="2210"/>
    <s v=""/>
  </r>
  <r>
    <x v="16"/>
    <x v="16"/>
    <x v="4"/>
    <x v="19"/>
    <n v="1"/>
    <s v=""/>
    <n v="1"/>
    <s v=""/>
  </r>
  <r>
    <x v="16"/>
    <x v="16"/>
    <x v="4"/>
    <x v="23"/>
    <n v="2"/>
    <n v="1"/>
    <n v="1"/>
    <s v=""/>
  </r>
  <r>
    <x v="16"/>
    <x v="16"/>
    <x v="4"/>
    <x v="29"/>
    <n v="1"/>
    <s v=""/>
    <n v="1"/>
    <s v=""/>
  </r>
  <r>
    <x v="16"/>
    <x v="16"/>
    <x v="4"/>
    <x v="18"/>
    <n v="18"/>
    <n v="8"/>
    <n v="10"/>
    <s v=""/>
  </r>
  <r>
    <x v="16"/>
    <x v="16"/>
    <x v="4"/>
    <x v="30"/>
    <n v="4493"/>
    <n v="2296"/>
    <n v="2197"/>
    <s v=""/>
  </r>
  <r>
    <x v="16"/>
    <x v="16"/>
    <x v="5"/>
    <x v="0"/>
    <n v="4459"/>
    <n v="2235"/>
    <n v="2224"/>
    <s v=""/>
  </r>
  <r>
    <x v="16"/>
    <x v="16"/>
    <x v="5"/>
    <x v="36"/>
    <n v="1"/>
    <s v=""/>
    <n v="1"/>
    <s v=""/>
  </r>
  <r>
    <x v="16"/>
    <x v="16"/>
    <x v="5"/>
    <x v="1"/>
    <n v="1"/>
    <s v=""/>
    <n v="1"/>
    <s v=""/>
  </r>
  <r>
    <x v="16"/>
    <x v="16"/>
    <x v="5"/>
    <x v="4"/>
    <n v="1"/>
    <s v=""/>
    <n v="1"/>
    <s v=""/>
  </r>
  <r>
    <x v="16"/>
    <x v="16"/>
    <x v="5"/>
    <x v="5"/>
    <n v="1"/>
    <s v=""/>
    <n v="1"/>
    <s v=""/>
  </r>
  <r>
    <x v="16"/>
    <x v="16"/>
    <x v="5"/>
    <x v="30"/>
    <n v="18"/>
    <n v="8"/>
    <n v="10"/>
    <s v=""/>
  </r>
  <r>
    <x v="16"/>
    <x v="16"/>
    <x v="5"/>
    <x v="44"/>
    <n v="4437"/>
    <n v="2227"/>
    <n v="2210"/>
    <s v=""/>
  </r>
  <r>
    <x v="16"/>
    <x v="16"/>
    <x v="6"/>
    <x v="0"/>
    <n v="4479"/>
    <n v="2226"/>
    <n v="2253"/>
    <s v=""/>
  </r>
  <r>
    <x v="16"/>
    <x v="16"/>
    <x v="6"/>
    <x v="1"/>
    <n v="1"/>
    <n v="1"/>
    <s v=""/>
    <s v=""/>
  </r>
  <r>
    <x v="16"/>
    <x v="16"/>
    <x v="6"/>
    <x v="44"/>
    <n v="26"/>
    <n v="12"/>
    <n v="14"/>
    <s v=""/>
  </r>
  <r>
    <x v="16"/>
    <x v="16"/>
    <x v="6"/>
    <x v="50"/>
    <n v="4452"/>
    <n v="2213"/>
    <n v="2239"/>
    <s v=""/>
  </r>
  <r>
    <x v="16"/>
    <x v="16"/>
    <x v="7"/>
    <x v="0"/>
    <n v="4550"/>
    <n v="2295"/>
    <n v="2255"/>
    <s v=""/>
  </r>
  <r>
    <x v="16"/>
    <x v="16"/>
    <x v="7"/>
    <x v="8"/>
    <n v="1"/>
    <s v=""/>
    <n v="1"/>
    <s v=""/>
  </r>
  <r>
    <x v="16"/>
    <x v="16"/>
    <x v="7"/>
    <x v="51"/>
    <n v="1"/>
    <s v=""/>
    <n v="1"/>
    <s v=""/>
  </r>
  <r>
    <x v="16"/>
    <x v="16"/>
    <x v="7"/>
    <x v="55"/>
    <n v="1"/>
    <n v="1"/>
    <s v=""/>
    <s v=""/>
  </r>
  <r>
    <x v="16"/>
    <x v="16"/>
    <x v="7"/>
    <x v="28"/>
    <n v="1"/>
    <s v=""/>
    <n v="1"/>
    <s v=""/>
  </r>
  <r>
    <x v="16"/>
    <x v="16"/>
    <x v="7"/>
    <x v="43"/>
    <n v="1"/>
    <s v=""/>
    <n v="1"/>
    <s v=""/>
  </r>
  <r>
    <x v="16"/>
    <x v="16"/>
    <x v="7"/>
    <x v="4"/>
    <n v="1"/>
    <n v="1"/>
    <s v=""/>
    <s v=""/>
  </r>
  <r>
    <x v="16"/>
    <x v="16"/>
    <x v="7"/>
    <x v="18"/>
    <n v="1"/>
    <s v=""/>
    <n v="1"/>
    <s v=""/>
  </r>
  <r>
    <x v="16"/>
    <x v="16"/>
    <x v="7"/>
    <x v="50"/>
    <n v="11"/>
    <n v="6"/>
    <n v="5"/>
    <s v=""/>
  </r>
  <r>
    <x v="16"/>
    <x v="16"/>
    <x v="7"/>
    <x v="57"/>
    <n v="4532"/>
    <n v="2287"/>
    <n v="2245"/>
    <s v=""/>
  </r>
  <r>
    <x v="16"/>
    <x v="16"/>
    <x v="8"/>
    <x v="0"/>
    <n v="4580"/>
    <n v="2233"/>
    <n v="2347"/>
    <s v=""/>
  </r>
  <r>
    <x v="16"/>
    <x v="16"/>
    <x v="8"/>
    <x v="58"/>
    <n v="1"/>
    <n v="1"/>
    <s v=""/>
    <s v=""/>
  </r>
  <r>
    <x v="16"/>
    <x v="16"/>
    <x v="8"/>
    <x v="62"/>
    <n v="1"/>
    <n v="1"/>
    <s v=""/>
    <s v=""/>
  </r>
  <r>
    <x v="16"/>
    <x v="16"/>
    <x v="8"/>
    <x v="66"/>
    <n v="1"/>
    <s v=""/>
    <n v="1"/>
    <s v=""/>
  </r>
  <r>
    <x v="16"/>
    <x v="16"/>
    <x v="8"/>
    <x v="18"/>
    <n v="1"/>
    <n v="1"/>
    <s v=""/>
    <s v=""/>
  </r>
  <r>
    <x v="16"/>
    <x v="16"/>
    <x v="8"/>
    <x v="57"/>
    <n v="23"/>
    <n v="9"/>
    <n v="14"/>
    <s v=""/>
  </r>
  <r>
    <x v="16"/>
    <x v="16"/>
    <x v="8"/>
    <x v="69"/>
    <n v="4553"/>
    <n v="2221"/>
    <n v="2332"/>
    <s v=""/>
  </r>
  <r>
    <x v="16"/>
    <x v="16"/>
    <x v="9"/>
    <x v="0"/>
    <n v="4733"/>
    <n v="2321"/>
    <n v="2411"/>
    <n v="1"/>
  </r>
  <r>
    <x v="16"/>
    <x v="16"/>
    <x v="9"/>
    <x v="63"/>
    <n v="1"/>
    <n v="1"/>
    <s v=""/>
    <s v=""/>
  </r>
  <r>
    <x v="16"/>
    <x v="16"/>
    <x v="9"/>
    <x v="3"/>
    <n v="1"/>
    <n v="1"/>
    <s v=""/>
    <s v=""/>
  </r>
  <r>
    <x v="16"/>
    <x v="16"/>
    <x v="9"/>
    <x v="69"/>
    <n v="13"/>
    <n v="6"/>
    <n v="7"/>
    <s v=""/>
  </r>
  <r>
    <x v="16"/>
    <x v="16"/>
    <x v="9"/>
    <x v="71"/>
    <n v="4718"/>
    <n v="2313"/>
    <n v="2404"/>
    <n v="1"/>
  </r>
  <r>
    <x v="16"/>
    <x v="16"/>
    <x v="10"/>
    <x v="0"/>
    <n v="4702"/>
    <n v="2231"/>
    <n v="2471"/>
    <s v=""/>
  </r>
  <r>
    <x v="16"/>
    <x v="16"/>
    <x v="10"/>
    <x v="71"/>
    <n v="18"/>
    <n v="10"/>
    <n v="8"/>
    <s v=""/>
  </r>
  <r>
    <x v="16"/>
    <x v="16"/>
    <x v="10"/>
    <x v="73"/>
    <n v="4684"/>
    <n v="2221"/>
    <n v="2463"/>
    <s v=""/>
  </r>
  <r>
    <x v="16"/>
    <x v="16"/>
    <x v="11"/>
    <x v="0"/>
    <n v="4777"/>
    <n v="2312"/>
    <n v="2465"/>
    <s v=""/>
  </r>
  <r>
    <x v="16"/>
    <x v="16"/>
    <x v="11"/>
    <x v="42"/>
    <n v="1"/>
    <n v="1"/>
    <s v=""/>
    <s v=""/>
  </r>
  <r>
    <x v="16"/>
    <x v="16"/>
    <x v="11"/>
    <x v="73"/>
    <n v="16"/>
    <n v="4"/>
    <n v="12"/>
    <s v=""/>
  </r>
  <r>
    <x v="16"/>
    <x v="16"/>
    <x v="11"/>
    <x v="74"/>
    <n v="4760"/>
    <n v="2307"/>
    <n v="2453"/>
    <s v=""/>
  </r>
  <r>
    <x v="16"/>
    <x v="16"/>
    <x v="12"/>
    <x v="0"/>
    <n v="4790"/>
    <n v="2304"/>
    <n v="2486"/>
    <s v=""/>
  </r>
  <r>
    <x v="16"/>
    <x v="16"/>
    <x v="12"/>
    <x v="44"/>
    <n v="1"/>
    <n v="1"/>
    <s v=""/>
    <s v=""/>
  </r>
  <r>
    <x v="16"/>
    <x v="16"/>
    <x v="12"/>
    <x v="71"/>
    <n v="1"/>
    <n v="1"/>
    <s v=""/>
    <s v=""/>
  </r>
  <r>
    <x v="16"/>
    <x v="16"/>
    <x v="12"/>
    <x v="73"/>
    <n v="2"/>
    <s v=""/>
    <n v="2"/>
    <s v=""/>
  </r>
  <r>
    <x v="16"/>
    <x v="16"/>
    <x v="12"/>
    <x v="74"/>
    <n v="26"/>
    <n v="14"/>
    <n v="12"/>
    <s v=""/>
  </r>
  <r>
    <x v="16"/>
    <x v="16"/>
    <x v="12"/>
    <x v="77"/>
    <n v="4760"/>
    <n v="2288"/>
    <n v="2472"/>
    <s v=""/>
  </r>
  <r>
    <x v="16"/>
    <x v="16"/>
    <x v="13"/>
    <x v="0"/>
    <n v="5084"/>
    <n v="2547"/>
    <n v="2537"/>
    <s v=""/>
  </r>
  <r>
    <x v="16"/>
    <x v="16"/>
    <x v="13"/>
    <x v="73"/>
    <n v="1"/>
    <s v=""/>
    <n v="1"/>
    <s v=""/>
  </r>
  <r>
    <x v="16"/>
    <x v="16"/>
    <x v="13"/>
    <x v="74"/>
    <n v="1"/>
    <n v="1"/>
    <s v=""/>
    <s v=""/>
  </r>
  <r>
    <x v="16"/>
    <x v="16"/>
    <x v="13"/>
    <x v="77"/>
    <n v="12"/>
    <n v="8"/>
    <n v="4"/>
    <s v=""/>
  </r>
  <r>
    <x v="16"/>
    <x v="16"/>
    <x v="13"/>
    <x v="78"/>
    <n v="5070"/>
    <n v="2538"/>
    <n v="2532"/>
    <s v=""/>
  </r>
  <r>
    <x v="16"/>
    <x v="16"/>
    <x v="14"/>
    <x v="0"/>
    <n v="5032"/>
    <n v="2441"/>
    <n v="2591"/>
    <s v=""/>
  </r>
  <r>
    <x v="16"/>
    <x v="16"/>
    <x v="14"/>
    <x v="72"/>
    <n v="1"/>
    <s v=""/>
    <n v="1"/>
    <s v=""/>
  </r>
  <r>
    <x v="16"/>
    <x v="16"/>
    <x v="14"/>
    <x v="74"/>
    <n v="1"/>
    <s v=""/>
    <n v="1"/>
    <s v=""/>
  </r>
  <r>
    <x v="16"/>
    <x v="16"/>
    <x v="14"/>
    <x v="78"/>
    <n v="20"/>
    <n v="12"/>
    <n v="8"/>
    <s v=""/>
  </r>
  <r>
    <x v="16"/>
    <x v="16"/>
    <x v="14"/>
    <x v="79"/>
    <n v="5010"/>
    <n v="2429"/>
    <n v="2581"/>
    <s v=""/>
  </r>
  <r>
    <x v="16"/>
    <x v="16"/>
    <x v="15"/>
    <x v="0"/>
    <n v="5186"/>
    <n v="2535"/>
    <n v="2651"/>
    <s v=""/>
  </r>
  <r>
    <x v="16"/>
    <x v="16"/>
    <x v="15"/>
    <x v="79"/>
    <n v="30"/>
    <n v="15"/>
    <n v="15"/>
    <s v=""/>
  </r>
  <r>
    <x v="16"/>
    <x v="16"/>
    <x v="15"/>
    <x v="80"/>
    <n v="5156"/>
    <n v="2520"/>
    <n v="2636"/>
    <s v=""/>
  </r>
  <r>
    <x v="16"/>
    <x v="16"/>
    <x v="16"/>
    <x v="0"/>
    <n v="5096"/>
    <n v="2577"/>
    <n v="2519"/>
    <s v=""/>
  </r>
  <r>
    <x v="16"/>
    <x v="16"/>
    <x v="16"/>
    <x v="80"/>
    <n v="34"/>
    <n v="20"/>
    <n v="14"/>
    <s v=""/>
  </r>
  <r>
    <x v="16"/>
    <x v="16"/>
    <x v="16"/>
    <x v="81"/>
    <n v="5062"/>
    <n v="2557"/>
    <n v="2505"/>
    <s v=""/>
  </r>
  <r>
    <x v="16"/>
    <x v="16"/>
    <x v="17"/>
    <x v="0"/>
    <n v="5336"/>
    <n v="2620"/>
    <n v="2716"/>
    <s v=""/>
  </r>
  <r>
    <x v="16"/>
    <x v="16"/>
    <x v="17"/>
    <x v="81"/>
    <n v="39"/>
    <n v="24"/>
    <n v="15"/>
    <s v=""/>
  </r>
  <r>
    <x v="16"/>
    <x v="16"/>
    <x v="17"/>
    <x v="82"/>
    <n v="5297"/>
    <n v="2596"/>
    <n v="2701"/>
    <s v=""/>
  </r>
  <r>
    <x v="16"/>
    <x v="16"/>
    <x v="18"/>
    <x v="0"/>
    <n v="5270"/>
    <n v="2686"/>
    <n v="2584"/>
    <s v=""/>
  </r>
  <r>
    <x v="16"/>
    <x v="16"/>
    <x v="18"/>
    <x v="79"/>
    <n v="9"/>
    <n v="5"/>
    <n v="4"/>
    <s v=""/>
  </r>
  <r>
    <x v="16"/>
    <x v="16"/>
    <x v="18"/>
    <x v="80"/>
    <n v="8"/>
    <n v="7"/>
    <n v="1"/>
    <s v=""/>
  </r>
  <r>
    <x v="16"/>
    <x v="16"/>
    <x v="18"/>
    <x v="81"/>
    <n v="1"/>
    <n v="1"/>
    <s v=""/>
    <s v=""/>
  </r>
  <r>
    <x v="16"/>
    <x v="16"/>
    <x v="18"/>
    <x v="82"/>
    <n v="34"/>
    <n v="26"/>
    <n v="8"/>
    <s v=""/>
  </r>
  <r>
    <x v="16"/>
    <x v="16"/>
    <x v="18"/>
    <x v="83"/>
    <n v="5218"/>
    <n v="2647"/>
    <n v="2571"/>
    <s v=""/>
  </r>
  <r>
    <x v="16"/>
    <x v="16"/>
    <x v="19"/>
    <x v="0"/>
    <n v="5197"/>
    <n v="2601"/>
    <n v="2596"/>
    <s v=""/>
  </r>
  <r>
    <x v="16"/>
    <x v="16"/>
    <x v="19"/>
    <x v="79"/>
    <n v="2"/>
    <n v="1"/>
    <n v="1"/>
    <s v=""/>
  </r>
  <r>
    <x v="16"/>
    <x v="16"/>
    <x v="19"/>
    <x v="80"/>
    <n v="3"/>
    <n v="2"/>
    <n v="1"/>
    <s v=""/>
  </r>
  <r>
    <x v="16"/>
    <x v="16"/>
    <x v="19"/>
    <x v="83"/>
    <n v="27"/>
    <n v="24"/>
    <n v="3"/>
    <s v=""/>
  </r>
  <r>
    <x v="16"/>
    <x v="16"/>
    <x v="19"/>
    <x v="84"/>
    <n v="5165"/>
    <n v="2574"/>
    <n v="2591"/>
    <s v=""/>
  </r>
  <r>
    <x v="16"/>
    <x v="16"/>
    <x v="20"/>
    <x v="0"/>
    <n v="5392"/>
    <n v="2731"/>
    <n v="2660"/>
    <n v="1"/>
  </r>
  <r>
    <x v="16"/>
    <x v="16"/>
    <x v="20"/>
    <x v="84"/>
    <n v="43"/>
    <n v="29"/>
    <n v="14"/>
    <s v=""/>
  </r>
  <r>
    <x v="16"/>
    <x v="16"/>
    <x v="20"/>
    <x v="85"/>
    <n v="5349"/>
    <n v="2702"/>
    <n v="2646"/>
    <n v="1"/>
  </r>
  <r>
    <x v="16"/>
    <x v="16"/>
    <x v="21"/>
    <x v="0"/>
    <n v="5344"/>
    <n v="2775"/>
    <n v="2568"/>
    <n v="1"/>
  </r>
  <r>
    <x v="16"/>
    <x v="16"/>
    <x v="21"/>
    <x v="85"/>
    <n v="48"/>
    <n v="28"/>
    <n v="20"/>
    <s v=""/>
  </r>
  <r>
    <x v="16"/>
    <x v="16"/>
    <x v="21"/>
    <x v="86"/>
    <n v="5296"/>
    <n v="2747"/>
    <n v="2548"/>
    <n v="1"/>
  </r>
  <r>
    <x v="16"/>
    <x v="16"/>
    <x v="22"/>
    <x v="0"/>
    <n v="5373"/>
    <n v="2790"/>
    <n v="2583"/>
    <s v=""/>
  </r>
  <r>
    <x v="16"/>
    <x v="16"/>
    <x v="22"/>
    <x v="86"/>
    <n v="35"/>
    <n v="25"/>
    <n v="10"/>
    <s v=""/>
  </r>
  <r>
    <x v="16"/>
    <x v="16"/>
    <x v="22"/>
    <x v="87"/>
    <n v="5338"/>
    <n v="2765"/>
    <n v="2573"/>
    <s v=""/>
  </r>
  <r>
    <x v="16"/>
    <x v="16"/>
    <x v="23"/>
    <x v="0"/>
    <n v="5590"/>
    <n v="2956"/>
    <n v="2634"/>
    <s v=""/>
  </r>
  <r>
    <x v="16"/>
    <x v="16"/>
    <x v="23"/>
    <x v="87"/>
    <n v="48"/>
    <n v="33"/>
    <n v="15"/>
    <s v=""/>
  </r>
  <r>
    <x v="16"/>
    <x v="16"/>
    <x v="23"/>
    <x v="88"/>
    <n v="5542"/>
    <n v="2923"/>
    <n v="2619"/>
    <s v=""/>
  </r>
  <r>
    <x v="16"/>
    <x v="16"/>
    <x v="24"/>
    <x v="0"/>
    <n v="5830"/>
    <n v="2979"/>
    <n v="2851"/>
    <s v=""/>
  </r>
  <r>
    <x v="16"/>
    <x v="16"/>
    <x v="24"/>
    <x v="88"/>
    <n v="48"/>
    <n v="33"/>
    <n v="15"/>
    <s v=""/>
  </r>
  <r>
    <x v="16"/>
    <x v="16"/>
    <x v="24"/>
    <x v="89"/>
    <n v="5782"/>
    <n v="2946"/>
    <n v="2836"/>
    <s v=""/>
  </r>
  <r>
    <x v="16"/>
    <x v="16"/>
    <x v="25"/>
    <x v="0"/>
    <n v="5757"/>
    <n v="3006"/>
    <n v="2751"/>
    <s v=""/>
  </r>
  <r>
    <x v="16"/>
    <x v="16"/>
    <x v="25"/>
    <x v="89"/>
    <n v="36"/>
    <n v="20"/>
    <n v="16"/>
    <s v=""/>
  </r>
  <r>
    <x v="16"/>
    <x v="16"/>
    <x v="25"/>
    <x v="90"/>
    <n v="5721"/>
    <n v="2986"/>
    <n v="2735"/>
    <s v=""/>
  </r>
  <r>
    <x v="16"/>
    <x v="16"/>
    <x v="26"/>
    <x v="0"/>
    <n v="6099"/>
    <n v="3175"/>
    <n v="2924"/>
    <s v=""/>
  </r>
  <r>
    <x v="16"/>
    <x v="16"/>
    <x v="26"/>
    <x v="15"/>
    <n v="1"/>
    <s v=""/>
    <n v="1"/>
    <s v=""/>
  </r>
  <r>
    <x v="16"/>
    <x v="16"/>
    <x v="26"/>
    <x v="23"/>
    <n v="1"/>
    <s v=""/>
    <n v="1"/>
    <s v=""/>
  </r>
  <r>
    <x v="16"/>
    <x v="16"/>
    <x v="26"/>
    <x v="88"/>
    <n v="1"/>
    <n v="1"/>
    <s v=""/>
    <s v=""/>
  </r>
  <r>
    <x v="16"/>
    <x v="16"/>
    <x v="26"/>
    <x v="90"/>
    <n v="41"/>
    <n v="28"/>
    <n v="13"/>
    <s v=""/>
  </r>
  <r>
    <x v="16"/>
    <x v="16"/>
    <x v="26"/>
    <x v="91"/>
    <n v="6055"/>
    <n v="3146"/>
    <n v="2909"/>
    <s v=""/>
  </r>
  <r>
    <x v="16"/>
    <x v="16"/>
    <x v="27"/>
    <x v="0"/>
    <n v="6185"/>
    <n v="3210"/>
    <n v="2975"/>
    <s v=""/>
  </r>
  <r>
    <x v="16"/>
    <x v="16"/>
    <x v="27"/>
    <x v="91"/>
    <n v="22"/>
    <n v="16"/>
    <n v="6"/>
    <s v=""/>
  </r>
  <r>
    <x v="16"/>
    <x v="16"/>
    <x v="27"/>
    <x v="92"/>
    <n v="6163"/>
    <n v="3194"/>
    <n v="2969"/>
    <s v=""/>
  </r>
  <r>
    <x v="16"/>
    <x v="16"/>
    <x v="28"/>
    <x v="0"/>
    <n v="6238"/>
    <n v="3218"/>
    <n v="3020"/>
    <s v=""/>
  </r>
  <r>
    <x v="16"/>
    <x v="16"/>
    <x v="28"/>
    <x v="92"/>
    <n v="31"/>
    <n v="19"/>
    <n v="12"/>
    <s v=""/>
  </r>
  <r>
    <x v="16"/>
    <x v="16"/>
    <x v="28"/>
    <x v="93"/>
    <n v="6207"/>
    <n v="3199"/>
    <n v="3008"/>
    <s v=""/>
  </r>
  <r>
    <x v="16"/>
    <x v="16"/>
    <x v="29"/>
    <x v="0"/>
    <n v="6432"/>
    <n v="3350"/>
    <n v="3082"/>
    <s v=""/>
  </r>
  <r>
    <x v="16"/>
    <x v="16"/>
    <x v="29"/>
    <x v="88"/>
    <n v="1"/>
    <n v="1"/>
    <s v=""/>
    <s v=""/>
  </r>
  <r>
    <x v="16"/>
    <x v="16"/>
    <x v="29"/>
    <x v="93"/>
    <n v="40"/>
    <n v="26"/>
    <n v="14"/>
    <s v=""/>
  </r>
  <r>
    <x v="16"/>
    <x v="16"/>
    <x v="29"/>
    <x v="94"/>
    <n v="6391"/>
    <n v="3323"/>
    <n v="3068"/>
    <s v=""/>
  </r>
  <r>
    <x v="16"/>
    <x v="16"/>
    <x v="30"/>
    <x v="0"/>
    <n v="11930"/>
    <n v="6926"/>
    <n v="5004"/>
    <s v=""/>
  </r>
  <r>
    <x v="16"/>
    <x v="16"/>
    <x v="30"/>
    <x v="94"/>
    <n v="35"/>
    <n v="23"/>
    <n v="12"/>
    <s v=""/>
  </r>
  <r>
    <x v="16"/>
    <x v="16"/>
    <x v="30"/>
    <x v="95"/>
    <n v="11894"/>
    <n v="6903"/>
    <n v="4991"/>
    <s v=""/>
  </r>
  <r>
    <x v="16"/>
    <x v="16"/>
    <x v="30"/>
    <x v="2"/>
    <n v="1"/>
    <s v=""/>
    <n v="1"/>
    <s v=""/>
  </r>
  <r>
    <x v="16"/>
    <x v="16"/>
    <x v="31"/>
    <x v="0"/>
    <n v="11215"/>
    <n v="6183"/>
    <n v="5032"/>
    <s v=""/>
  </r>
  <r>
    <x v="16"/>
    <x v="16"/>
    <x v="31"/>
    <x v="95"/>
    <n v="73"/>
    <n v="56"/>
    <n v="17"/>
    <s v=""/>
  </r>
  <r>
    <x v="16"/>
    <x v="16"/>
    <x v="31"/>
    <x v="96"/>
    <n v="11142"/>
    <n v="6127"/>
    <n v="5015"/>
    <s v=""/>
  </r>
  <r>
    <x v="16"/>
    <x v="16"/>
    <x v="32"/>
    <x v="0"/>
    <n v="7229"/>
    <n v="3864"/>
    <n v="3365"/>
    <s v=""/>
  </r>
  <r>
    <x v="16"/>
    <x v="16"/>
    <x v="32"/>
    <x v="81"/>
    <n v="4"/>
    <n v="4"/>
    <s v=""/>
    <s v=""/>
  </r>
  <r>
    <x v="16"/>
    <x v="16"/>
    <x v="32"/>
    <x v="83"/>
    <n v="1"/>
    <n v="1"/>
    <s v=""/>
    <s v=""/>
  </r>
  <r>
    <x v="16"/>
    <x v="16"/>
    <x v="32"/>
    <x v="84"/>
    <n v="2"/>
    <n v="2"/>
    <s v=""/>
    <s v=""/>
  </r>
  <r>
    <x v="16"/>
    <x v="16"/>
    <x v="32"/>
    <x v="85"/>
    <n v="2"/>
    <n v="2"/>
    <s v=""/>
    <s v=""/>
  </r>
  <r>
    <x v="16"/>
    <x v="16"/>
    <x v="32"/>
    <x v="94"/>
    <n v="4"/>
    <n v="3"/>
    <n v="1"/>
    <s v=""/>
  </r>
  <r>
    <x v="16"/>
    <x v="16"/>
    <x v="32"/>
    <x v="96"/>
    <n v="26"/>
    <n v="17"/>
    <n v="9"/>
    <s v=""/>
  </r>
  <r>
    <x v="16"/>
    <x v="16"/>
    <x v="32"/>
    <x v="97"/>
    <n v="7190"/>
    <n v="3835"/>
    <n v="3355"/>
    <s v=""/>
  </r>
  <r>
    <x v="16"/>
    <x v="16"/>
    <x v="33"/>
    <x v="0"/>
    <n v="6849"/>
    <n v="3534"/>
    <n v="3315"/>
    <s v=""/>
  </r>
  <r>
    <x v="16"/>
    <x v="16"/>
    <x v="33"/>
    <x v="91"/>
    <n v="1"/>
    <s v=""/>
    <n v="1"/>
    <s v=""/>
  </r>
  <r>
    <x v="16"/>
    <x v="16"/>
    <x v="33"/>
    <x v="96"/>
    <n v="1"/>
    <s v=""/>
    <n v="1"/>
    <s v=""/>
  </r>
  <r>
    <x v="16"/>
    <x v="16"/>
    <x v="33"/>
    <x v="97"/>
    <n v="25"/>
    <n v="14"/>
    <n v="11"/>
    <s v=""/>
  </r>
  <r>
    <x v="16"/>
    <x v="16"/>
    <x v="33"/>
    <x v="98"/>
    <n v="6822"/>
    <n v="3520"/>
    <n v="3302"/>
    <s v=""/>
  </r>
  <r>
    <x v="16"/>
    <x v="16"/>
    <x v="34"/>
    <x v="0"/>
    <n v="7099"/>
    <n v="3754"/>
    <n v="3345"/>
    <s v=""/>
  </r>
  <r>
    <x v="16"/>
    <x v="16"/>
    <x v="34"/>
    <x v="96"/>
    <n v="1"/>
    <s v=""/>
    <n v="1"/>
    <s v=""/>
  </r>
  <r>
    <x v="16"/>
    <x v="16"/>
    <x v="34"/>
    <x v="98"/>
    <n v="36"/>
    <n v="19"/>
    <n v="17"/>
    <s v=""/>
  </r>
  <r>
    <x v="16"/>
    <x v="16"/>
    <x v="34"/>
    <x v="99"/>
    <n v="7062"/>
    <n v="3735"/>
    <n v="3327"/>
    <s v=""/>
  </r>
  <r>
    <x v="17"/>
    <x v="17"/>
    <x v="0"/>
    <x v="0"/>
    <n v="4119"/>
    <n v="1935"/>
    <n v="2184"/>
    <s v=""/>
  </r>
  <r>
    <x v="17"/>
    <x v="17"/>
    <x v="0"/>
    <x v="1"/>
    <n v="4116"/>
    <n v="1933"/>
    <n v="2183"/>
    <s v=""/>
  </r>
  <r>
    <x v="17"/>
    <x v="17"/>
    <x v="0"/>
    <x v="2"/>
    <n v="3"/>
    <n v="2"/>
    <n v="1"/>
    <s v=""/>
  </r>
  <r>
    <x v="17"/>
    <x v="17"/>
    <x v="1"/>
    <x v="0"/>
    <n v="3861"/>
    <n v="1817"/>
    <n v="2044"/>
    <s v=""/>
  </r>
  <r>
    <x v="17"/>
    <x v="17"/>
    <x v="1"/>
    <x v="4"/>
    <n v="3860"/>
    <n v="1817"/>
    <n v="2043"/>
    <s v=""/>
  </r>
  <r>
    <x v="17"/>
    <x v="17"/>
    <x v="1"/>
    <x v="2"/>
    <n v="1"/>
    <s v=""/>
    <n v="1"/>
    <s v=""/>
  </r>
  <r>
    <x v="17"/>
    <x v="17"/>
    <x v="2"/>
    <x v="0"/>
    <n v="3895"/>
    <n v="1817"/>
    <n v="2078"/>
    <s v=""/>
  </r>
  <r>
    <x v="17"/>
    <x v="17"/>
    <x v="2"/>
    <x v="5"/>
    <n v="3894"/>
    <n v="1816"/>
    <n v="2078"/>
    <s v=""/>
  </r>
  <r>
    <x v="17"/>
    <x v="17"/>
    <x v="2"/>
    <x v="2"/>
    <n v="1"/>
    <n v="1"/>
    <s v=""/>
    <s v=""/>
  </r>
  <r>
    <x v="17"/>
    <x v="17"/>
    <x v="3"/>
    <x v="0"/>
    <n v="3851"/>
    <n v="1778"/>
    <n v="2071"/>
    <n v="2"/>
  </r>
  <r>
    <x v="17"/>
    <x v="17"/>
    <x v="3"/>
    <x v="10"/>
    <n v="1"/>
    <s v=""/>
    <n v="1"/>
    <s v=""/>
  </r>
  <r>
    <x v="17"/>
    <x v="17"/>
    <x v="3"/>
    <x v="14"/>
    <n v="1"/>
    <s v=""/>
    <n v="1"/>
    <s v=""/>
  </r>
  <r>
    <x v="17"/>
    <x v="17"/>
    <x v="3"/>
    <x v="5"/>
    <n v="18"/>
    <n v="9"/>
    <n v="9"/>
    <s v=""/>
  </r>
  <r>
    <x v="17"/>
    <x v="17"/>
    <x v="3"/>
    <x v="18"/>
    <n v="3828"/>
    <n v="1766"/>
    <n v="2060"/>
    <n v="2"/>
  </r>
  <r>
    <x v="17"/>
    <x v="17"/>
    <x v="3"/>
    <x v="2"/>
    <n v="3"/>
    <n v="3"/>
    <s v=""/>
    <s v=""/>
  </r>
  <r>
    <x v="17"/>
    <x v="17"/>
    <x v="4"/>
    <x v="0"/>
    <n v="3792"/>
    <n v="1703"/>
    <n v="2088"/>
    <n v="1"/>
  </r>
  <r>
    <x v="17"/>
    <x v="17"/>
    <x v="4"/>
    <x v="19"/>
    <n v="1"/>
    <n v="1"/>
    <s v=""/>
    <s v=""/>
  </r>
  <r>
    <x v="17"/>
    <x v="17"/>
    <x v="4"/>
    <x v="18"/>
    <n v="13"/>
    <n v="6"/>
    <n v="7"/>
    <s v=""/>
  </r>
  <r>
    <x v="17"/>
    <x v="17"/>
    <x v="4"/>
    <x v="30"/>
    <n v="3778"/>
    <n v="1696"/>
    <n v="2081"/>
    <n v="1"/>
  </r>
  <r>
    <x v="17"/>
    <x v="17"/>
    <x v="5"/>
    <x v="0"/>
    <n v="4049"/>
    <n v="1910"/>
    <n v="2139"/>
    <s v=""/>
  </r>
  <r>
    <x v="17"/>
    <x v="17"/>
    <x v="5"/>
    <x v="35"/>
    <n v="1"/>
    <s v=""/>
    <n v="1"/>
    <s v=""/>
  </r>
  <r>
    <x v="17"/>
    <x v="17"/>
    <x v="5"/>
    <x v="36"/>
    <n v="1"/>
    <n v="1"/>
    <s v=""/>
    <s v=""/>
  </r>
  <r>
    <x v="17"/>
    <x v="17"/>
    <x v="5"/>
    <x v="39"/>
    <n v="1"/>
    <s v=""/>
    <n v="1"/>
    <s v=""/>
  </r>
  <r>
    <x v="17"/>
    <x v="17"/>
    <x v="5"/>
    <x v="30"/>
    <n v="18"/>
    <n v="9"/>
    <n v="9"/>
    <s v=""/>
  </r>
  <r>
    <x v="17"/>
    <x v="17"/>
    <x v="5"/>
    <x v="44"/>
    <n v="4028"/>
    <n v="1900"/>
    <n v="2128"/>
    <s v=""/>
  </r>
  <r>
    <x v="17"/>
    <x v="17"/>
    <x v="6"/>
    <x v="0"/>
    <n v="4381"/>
    <n v="2095"/>
    <n v="2286"/>
    <s v=""/>
  </r>
  <r>
    <x v="17"/>
    <x v="17"/>
    <x v="6"/>
    <x v="34"/>
    <n v="1"/>
    <s v=""/>
    <n v="1"/>
    <s v=""/>
  </r>
  <r>
    <x v="17"/>
    <x v="17"/>
    <x v="6"/>
    <x v="1"/>
    <n v="1"/>
    <n v="1"/>
    <s v=""/>
    <s v=""/>
  </r>
  <r>
    <x v="17"/>
    <x v="17"/>
    <x v="6"/>
    <x v="44"/>
    <n v="22"/>
    <n v="16"/>
    <n v="6"/>
    <s v=""/>
  </r>
  <r>
    <x v="17"/>
    <x v="17"/>
    <x v="6"/>
    <x v="50"/>
    <n v="4357"/>
    <n v="2078"/>
    <n v="2279"/>
    <s v=""/>
  </r>
  <r>
    <x v="17"/>
    <x v="17"/>
    <x v="7"/>
    <x v="0"/>
    <n v="4583"/>
    <n v="2150"/>
    <n v="2433"/>
    <s v=""/>
  </r>
  <r>
    <x v="17"/>
    <x v="17"/>
    <x v="7"/>
    <x v="4"/>
    <n v="1"/>
    <s v=""/>
    <n v="1"/>
    <s v=""/>
  </r>
  <r>
    <x v="17"/>
    <x v="17"/>
    <x v="7"/>
    <x v="18"/>
    <n v="2"/>
    <n v="1"/>
    <n v="1"/>
    <s v=""/>
  </r>
  <r>
    <x v="17"/>
    <x v="17"/>
    <x v="7"/>
    <x v="50"/>
    <n v="10"/>
    <n v="5"/>
    <n v="5"/>
    <s v=""/>
  </r>
  <r>
    <x v="17"/>
    <x v="17"/>
    <x v="7"/>
    <x v="57"/>
    <n v="4570"/>
    <n v="2144"/>
    <n v="2426"/>
    <s v=""/>
  </r>
  <r>
    <x v="17"/>
    <x v="17"/>
    <x v="8"/>
    <x v="0"/>
    <n v="4766"/>
    <n v="2308"/>
    <n v="2458"/>
    <s v=""/>
  </r>
  <r>
    <x v="17"/>
    <x v="17"/>
    <x v="8"/>
    <x v="58"/>
    <n v="1"/>
    <n v="1"/>
    <s v=""/>
    <s v=""/>
  </r>
  <r>
    <x v="17"/>
    <x v="17"/>
    <x v="8"/>
    <x v="60"/>
    <n v="1"/>
    <n v="1"/>
    <s v=""/>
    <s v=""/>
  </r>
  <r>
    <x v="17"/>
    <x v="17"/>
    <x v="8"/>
    <x v="61"/>
    <n v="1"/>
    <s v=""/>
    <n v="1"/>
    <s v=""/>
  </r>
  <r>
    <x v="17"/>
    <x v="17"/>
    <x v="8"/>
    <x v="66"/>
    <n v="1"/>
    <n v="1"/>
    <s v=""/>
    <s v=""/>
  </r>
  <r>
    <x v="17"/>
    <x v="17"/>
    <x v="8"/>
    <x v="4"/>
    <n v="1"/>
    <n v="1"/>
    <s v=""/>
    <s v=""/>
  </r>
  <r>
    <x v="17"/>
    <x v="17"/>
    <x v="8"/>
    <x v="44"/>
    <n v="1"/>
    <s v=""/>
    <n v="1"/>
    <s v=""/>
  </r>
  <r>
    <x v="17"/>
    <x v="17"/>
    <x v="8"/>
    <x v="50"/>
    <n v="1"/>
    <n v="1"/>
    <s v=""/>
    <s v=""/>
  </r>
  <r>
    <x v="17"/>
    <x v="17"/>
    <x v="8"/>
    <x v="57"/>
    <n v="27"/>
    <n v="14"/>
    <n v="13"/>
    <s v=""/>
  </r>
  <r>
    <x v="17"/>
    <x v="17"/>
    <x v="8"/>
    <x v="69"/>
    <n v="4732"/>
    <n v="2289"/>
    <n v="2443"/>
    <s v=""/>
  </r>
  <r>
    <x v="17"/>
    <x v="17"/>
    <x v="9"/>
    <x v="0"/>
    <n v="5056"/>
    <n v="2452"/>
    <n v="2604"/>
    <s v=""/>
  </r>
  <r>
    <x v="17"/>
    <x v="17"/>
    <x v="9"/>
    <x v="30"/>
    <n v="1"/>
    <n v="1"/>
    <s v=""/>
    <s v=""/>
  </r>
  <r>
    <x v="17"/>
    <x v="17"/>
    <x v="9"/>
    <x v="69"/>
    <n v="26"/>
    <n v="12"/>
    <n v="14"/>
    <s v=""/>
  </r>
  <r>
    <x v="17"/>
    <x v="17"/>
    <x v="9"/>
    <x v="71"/>
    <n v="5029"/>
    <n v="2439"/>
    <n v="2590"/>
    <s v=""/>
  </r>
  <r>
    <x v="17"/>
    <x v="17"/>
    <x v="10"/>
    <x v="0"/>
    <n v="4991"/>
    <n v="2355"/>
    <n v="2636"/>
    <s v=""/>
  </r>
  <r>
    <x v="17"/>
    <x v="17"/>
    <x v="10"/>
    <x v="69"/>
    <n v="1"/>
    <s v=""/>
    <n v="1"/>
    <s v=""/>
  </r>
  <r>
    <x v="17"/>
    <x v="17"/>
    <x v="10"/>
    <x v="71"/>
    <n v="21"/>
    <n v="13"/>
    <n v="8"/>
    <s v=""/>
  </r>
  <r>
    <x v="17"/>
    <x v="17"/>
    <x v="10"/>
    <x v="73"/>
    <n v="4969"/>
    <n v="2342"/>
    <n v="2627"/>
    <s v=""/>
  </r>
  <r>
    <x v="17"/>
    <x v="17"/>
    <x v="11"/>
    <x v="0"/>
    <n v="5095"/>
    <n v="2441"/>
    <n v="2654"/>
    <s v=""/>
  </r>
  <r>
    <x v="17"/>
    <x v="17"/>
    <x v="11"/>
    <x v="73"/>
    <n v="14"/>
    <n v="7"/>
    <n v="7"/>
    <s v=""/>
  </r>
  <r>
    <x v="17"/>
    <x v="17"/>
    <x v="11"/>
    <x v="74"/>
    <n v="5081"/>
    <n v="2434"/>
    <n v="2647"/>
    <s v=""/>
  </r>
  <r>
    <x v="17"/>
    <x v="17"/>
    <x v="12"/>
    <x v="0"/>
    <n v="5155"/>
    <n v="2454"/>
    <n v="2701"/>
    <s v=""/>
  </r>
  <r>
    <x v="17"/>
    <x v="17"/>
    <x v="12"/>
    <x v="76"/>
    <n v="1"/>
    <n v="1"/>
    <s v=""/>
    <s v=""/>
  </r>
  <r>
    <x v="17"/>
    <x v="17"/>
    <x v="12"/>
    <x v="74"/>
    <n v="23"/>
    <n v="12"/>
    <n v="11"/>
    <s v=""/>
  </r>
  <r>
    <x v="17"/>
    <x v="17"/>
    <x v="12"/>
    <x v="77"/>
    <n v="5131"/>
    <n v="2441"/>
    <n v="2690"/>
    <s v=""/>
  </r>
  <r>
    <x v="17"/>
    <x v="17"/>
    <x v="13"/>
    <x v="0"/>
    <n v="5254"/>
    <n v="2442"/>
    <n v="2812"/>
    <s v=""/>
  </r>
  <r>
    <x v="17"/>
    <x v="17"/>
    <x v="13"/>
    <x v="77"/>
    <n v="23"/>
    <n v="14"/>
    <n v="9"/>
    <s v=""/>
  </r>
  <r>
    <x v="17"/>
    <x v="17"/>
    <x v="13"/>
    <x v="78"/>
    <n v="5231"/>
    <n v="2428"/>
    <n v="2803"/>
    <s v=""/>
  </r>
  <r>
    <x v="17"/>
    <x v="17"/>
    <x v="14"/>
    <x v="0"/>
    <n v="5525"/>
    <n v="2522"/>
    <n v="3003"/>
    <s v=""/>
  </r>
  <r>
    <x v="17"/>
    <x v="17"/>
    <x v="14"/>
    <x v="77"/>
    <n v="1"/>
    <n v="1"/>
    <s v=""/>
    <s v=""/>
  </r>
  <r>
    <x v="17"/>
    <x v="17"/>
    <x v="14"/>
    <x v="78"/>
    <n v="23"/>
    <n v="13"/>
    <n v="10"/>
    <s v=""/>
  </r>
  <r>
    <x v="17"/>
    <x v="17"/>
    <x v="14"/>
    <x v="79"/>
    <n v="5501"/>
    <n v="2508"/>
    <n v="2993"/>
    <s v=""/>
  </r>
  <r>
    <x v="17"/>
    <x v="17"/>
    <x v="15"/>
    <x v="0"/>
    <n v="5650"/>
    <n v="2641"/>
    <n v="3009"/>
    <s v=""/>
  </r>
  <r>
    <x v="17"/>
    <x v="17"/>
    <x v="15"/>
    <x v="79"/>
    <n v="11"/>
    <n v="8"/>
    <n v="3"/>
    <s v=""/>
  </r>
  <r>
    <x v="17"/>
    <x v="17"/>
    <x v="15"/>
    <x v="80"/>
    <n v="5639"/>
    <n v="2633"/>
    <n v="3006"/>
    <s v=""/>
  </r>
  <r>
    <x v="17"/>
    <x v="17"/>
    <x v="16"/>
    <x v="0"/>
    <n v="5686"/>
    <n v="2645"/>
    <n v="3041"/>
    <s v=""/>
  </r>
  <r>
    <x v="17"/>
    <x v="17"/>
    <x v="16"/>
    <x v="74"/>
    <n v="1"/>
    <n v="1"/>
    <s v=""/>
    <s v=""/>
  </r>
  <r>
    <x v="17"/>
    <x v="17"/>
    <x v="16"/>
    <x v="80"/>
    <n v="32"/>
    <n v="24"/>
    <n v="8"/>
    <s v=""/>
  </r>
  <r>
    <x v="17"/>
    <x v="17"/>
    <x v="16"/>
    <x v="81"/>
    <n v="5653"/>
    <n v="2620"/>
    <n v="3033"/>
    <s v=""/>
  </r>
  <r>
    <x v="17"/>
    <x v="17"/>
    <x v="17"/>
    <x v="0"/>
    <n v="5811"/>
    <n v="2698"/>
    <n v="3113"/>
    <s v=""/>
  </r>
  <r>
    <x v="17"/>
    <x v="17"/>
    <x v="17"/>
    <x v="81"/>
    <n v="30"/>
    <n v="18"/>
    <n v="12"/>
    <s v=""/>
  </r>
  <r>
    <x v="17"/>
    <x v="17"/>
    <x v="17"/>
    <x v="82"/>
    <n v="5781"/>
    <n v="2680"/>
    <n v="3101"/>
    <s v=""/>
  </r>
  <r>
    <x v="17"/>
    <x v="17"/>
    <x v="18"/>
    <x v="0"/>
    <n v="6108"/>
    <n v="2783"/>
    <n v="3325"/>
    <s v=""/>
  </r>
  <r>
    <x v="17"/>
    <x v="17"/>
    <x v="18"/>
    <x v="79"/>
    <n v="7"/>
    <n v="7"/>
    <s v=""/>
    <s v=""/>
  </r>
  <r>
    <x v="17"/>
    <x v="17"/>
    <x v="18"/>
    <x v="80"/>
    <n v="5"/>
    <n v="2"/>
    <n v="3"/>
    <s v=""/>
  </r>
  <r>
    <x v="17"/>
    <x v="17"/>
    <x v="18"/>
    <x v="82"/>
    <n v="36"/>
    <n v="22"/>
    <n v="14"/>
    <s v=""/>
  </r>
  <r>
    <x v="17"/>
    <x v="17"/>
    <x v="18"/>
    <x v="83"/>
    <n v="6060"/>
    <n v="2752"/>
    <n v="3308"/>
    <s v=""/>
  </r>
  <r>
    <x v="17"/>
    <x v="17"/>
    <x v="19"/>
    <x v="0"/>
    <n v="6076"/>
    <n v="2845"/>
    <n v="3231"/>
    <s v=""/>
  </r>
  <r>
    <x v="17"/>
    <x v="17"/>
    <x v="19"/>
    <x v="81"/>
    <n v="1"/>
    <n v="1"/>
    <s v=""/>
    <s v=""/>
  </r>
  <r>
    <x v="17"/>
    <x v="17"/>
    <x v="19"/>
    <x v="82"/>
    <n v="1"/>
    <s v=""/>
    <n v="1"/>
    <s v=""/>
  </r>
  <r>
    <x v="17"/>
    <x v="17"/>
    <x v="19"/>
    <x v="83"/>
    <n v="27"/>
    <n v="16"/>
    <n v="11"/>
    <s v=""/>
  </r>
  <r>
    <x v="17"/>
    <x v="17"/>
    <x v="19"/>
    <x v="84"/>
    <n v="6047"/>
    <n v="2828"/>
    <n v="3219"/>
    <s v=""/>
  </r>
  <r>
    <x v="17"/>
    <x v="17"/>
    <x v="20"/>
    <x v="0"/>
    <n v="6174"/>
    <n v="2966"/>
    <n v="3208"/>
    <s v=""/>
  </r>
  <r>
    <x v="17"/>
    <x v="17"/>
    <x v="20"/>
    <x v="83"/>
    <n v="1"/>
    <s v=""/>
    <n v="1"/>
    <s v=""/>
  </r>
  <r>
    <x v="17"/>
    <x v="17"/>
    <x v="20"/>
    <x v="84"/>
    <n v="31"/>
    <n v="21"/>
    <n v="10"/>
    <s v=""/>
  </r>
  <r>
    <x v="17"/>
    <x v="17"/>
    <x v="20"/>
    <x v="85"/>
    <n v="6142"/>
    <n v="2945"/>
    <n v="3197"/>
    <s v=""/>
  </r>
  <r>
    <x v="17"/>
    <x v="17"/>
    <x v="21"/>
    <x v="0"/>
    <n v="6155"/>
    <n v="2990"/>
    <n v="3164"/>
    <n v="1"/>
  </r>
  <r>
    <x v="17"/>
    <x v="17"/>
    <x v="21"/>
    <x v="74"/>
    <n v="1"/>
    <s v=""/>
    <n v="1"/>
    <s v=""/>
  </r>
  <r>
    <x v="17"/>
    <x v="17"/>
    <x v="21"/>
    <x v="84"/>
    <n v="1"/>
    <n v="1"/>
    <s v=""/>
    <s v=""/>
  </r>
  <r>
    <x v="17"/>
    <x v="17"/>
    <x v="21"/>
    <x v="85"/>
    <n v="53"/>
    <n v="30"/>
    <n v="23"/>
    <s v=""/>
  </r>
  <r>
    <x v="17"/>
    <x v="17"/>
    <x v="21"/>
    <x v="86"/>
    <n v="6100"/>
    <n v="2959"/>
    <n v="3140"/>
    <n v="1"/>
  </r>
  <r>
    <x v="17"/>
    <x v="17"/>
    <x v="22"/>
    <x v="0"/>
    <n v="6184"/>
    <n v="2967"/>
    <n v="3217"/>
    <s v=""/>
  </r>
  <r>
    <x v="17"/>
    <x v="17"/>
    <x v="22"/>
    <x v="85"/>
    <n v="2"/>
    <n v="1"/>
    <n v="1"/>
    <s v=""/>
  </r>
  <r>
    <x v="17"/>
    <x v="17"/>
    <x v="22"/>
    <x v="86"/>
    <n v="34"/>
    <n v="23"/>
    <n v="11"/>
    <s v=""/>
  </r>
  <r>
    <x v="17"/>
    <x v="17"/>
    <x v="22"/>
    <x v="87"/>
    <n v="6148"/>
    <n v="2943"/>
    <n v="3205"/>
    <s v=""/>
  </r>
  <r>
    <x v="17"/>
    <x v="17"/>
    <x v="23"/>
    <x v="0"/>
    <n v="6277"/>
    <n v="2979"/>
    <n v="3298"/>
    <s v=""/>
  </r>
  <r>
    <x v="17"/>
    <x v="17"/>
    <x v="23"/>
    <x v="87"/>
    <n v="40"/>
    <n v="25"/>
    <n v="15"/>
    <s v=""/>
  </r>
  <r>
    <x v="17"/>
    <x v="17"/>
    <x v="23"/>
    <x v="88"/>
    <n v="6237"/>
    <n v="2954"/>
    <n v="3283"/>
    <s v=""/>
  </r>
  <r>
    <x v="17"/>
    <x v="17"/>
    <x v="24"/>
    <x v="0"/>
    <n v="6133"/>
    <n v="2983"/>
    <n v="3150"/>
    <s v=""/>
  </r>
  <r>
    <x v="17"/>
    <x v="17"/>
    <x v="24"/>
    <x v="18"/>
    <n v="1"/>
    <s v=""/>
    <n v="1"/>
    <s v=""/>
  </r>
  <r>
    <x v="17"/>
    <x v="17"/>
    <x v="24"/>
    <x v="88"/>
    <n v="42"/>
    <n v="32"/>
    <n v="10"/>
    <s v=""/>
  </r>
  <r>
    <x v="17"/>
    <x v="17"/>
    <x v="24"/>
    <x v="89"/>
    <n v="6090"/>
    <n v="2951"/>
    <n v="3139"/>
    <s v=""/>
  </r>
  <r>
    <x v="17"/>
    <x v="17"/>
    <x v="25"/>
    <x v="0"/>
    <n v="6450"/>
    <n v="3143"/>
    <n v="3307"/>
    <s v=""/>
  </r>
  <r>
    <x v="17"/>
    <x v="17"/>
    <x v="25"/>
    <x v="89"/>
    <n v="32"/>
    <n v="22"/>
    <n v="10"/>
    <s v=""/>
  </r>
  <r>
    <x v="17"/>
    <x v="17"/>
    <x v="25"/>
    <x v="90"/>
    <n v="6418"/>
    <n v="3121"/>
    <n v="3297"/>
    <s v=""/>
  </r>
  <r>
    <x v="17"/>
    <x v="17"/>
    <x v="26"/>
    <x v="0"/>
    <n v="6406"/>
    <n v="3154"/>
    <n v="3252"/>
    <s v=""/>
  </r>
  <r>
    <x v="17"/>
    <x v="17"/>
    <x v="26"/>
    <x v="85"/>
    <n v="1"/>
    <n v="1"/>
    <s v=""/>
    <s v=""/>
  </r>
  <r>
    <x v="17"/>
    <x v="17"/>
    <x v="26"/>
    <x v="88"/>
    <n v="1"/>
    <s v=""/>
    <n v="1"/>
    <s v=""/>
  </r>
  <r>
    <x v="17"/>
    <x v="17"/>
    <x v="26"/>
    <x v="89"/>
    <n v="1"/>
    <n v="1"/>
    <s v=""/>
    <s v=""/>
  </r>
  <r>
    <x v="17"/>
    <x v="17"/>
    <x v="26"/>
    <x v="90"/>
    <n v="36"/>
    <n v="24"/>
    <n v="12"/>
    <s v=""/>
  </r>
  <r>
    <x v="17"/>
    <x v="17"/>
    <x v="26"/>
    <x v="91"/>
    <n v="6367"/>
    <n v="3128"/>
    <n v="3239"/>
    <s v=""/>
  </r>
  <r>
    <x v="17"/>
    <x v="17"/>
    <x v="27"/>
    <x v="0"/>
    <n v="6614"/>
    <n v="3206"/>
    <n v="3408"/>
    <s v=""/>
  </r>
  <r>
    <x v="17"/>
    <x v="17"/>
    <x v="27"/>
    <x v="91"/>
    <n v="34"/>
    <n v="19"/>
    <n v="15"/>
    <s v=""/>
  </r>
  <r>
    <x v="17"/>
    <x v="17"/>
    <x v="27"/>
    <x v="92"/>
    <n v="6580"/>
    <n v="3187"/>
    <n v="3393"/>
    <s v=""/>
  </r>
  <r>
    <x v="17"/>
    <x v="17"/>
    <x v="28"/>
    <x v="0"/>
    <n v="6798"/>
    <n v="3295"/>
    <n v="3503"/>
    <s v=""/>
  </r>
  <r>
    <x v="17"/>
    <x v="17"/>
    <x v="28"/>
    <x v="92"/>
    <n v="27"/>
    <n v="15"/>
    <n v="12"/>
    <s v=""/>
  </r>
  <r>
    <x v="17"/>
    <x v="17"/>
    <x v="28"/>
    <x v="93"/>
    <n v="6771"/>
    <n v="3280"/>
    <n v="3491"/>
    <s v=""/>
  </r>
  <r>
    <x v="17"/>
    <x v="17"/>
    <x v="29"/>
    <x v="0"/>
    <n v="6694"/>
    <n v="3362"/>
    <n v="3332"/>
    <s v=""/>
  </r>
  <r>
    <x v="17"/>
    <x v="17"/>
    <x v="29"/>
    <x v="93"/>
    <n v="45"/>
    <n v="24"/>
    <n v="21"/>
    <s v=""/>
  </r>
  <r>
    <x v="17"/>
    <x v="17"/>
    <x v="29"/>
    <x v="94"/>
    <n v="6649"/>
    <n v="3338"/>
    <n v="3311"/>
    <s v=""/>
  </r>
  <r>
    <x v="17"/>
    <x v="17"/>
    <x v="30"/>
    <x v="0"/>
    <n v="11265"/>
    <n v="6110"/>
    <n v="5155"/>
    <s v=""/>
  </r>
  <r>
    <x v="17"/>
    <x v="17"/>
    <x v="30"/>
    <x v="94"/>
    <n v="41"/>
    <n v="23"/>
    <n v="18"/>
    <s v=""/>
  </r>
  <r>
    <x v="17"/>
    <x v="17"/>
    <x v="30"/>
    <x v="95"/>
    <n v="11224"/>
    <n v="6087"/>
    <n v="5137"/>
    <s v=""/>
  </r>
  <r>
    <x v="17"/>
    <x v="17"/>
    <x v="31"/>
    <x v="0"/>
    <n v="11071"/>
    <n v="5811"/>
    <n v="5260"/>
    <s v=""/>
  </r>
  <r>
    <x v="17"/>
    <x v="17"/>
    <x v="31"/>
    <x v="95"/>
    <n v="77"/>
    <n v="45"/>
    <n v="32"/>
    <s v=""/>
  </r>
  <r>
    <x v="17"/>
    <x v="17"/>
    <x v="31"/>
    <x v="96"/>
    <n v="10994"/>
    <n v="5766"/>
    <n v="5228"/>
    <s v=""/>
  </r>
  <r>
    <x v="17"/>
    <x v="17"/>
    <x v="32"/>
    <x v="0"/>
    <n v="7855"/>
    <n v="3860"/>
    <n v="3995"/>
    <s v=""/>
  </r>
  <r>
    <x v="17"/>
    <x v="17"/>
    <x v="32"/>
    <x v="81"/>
    <n v="1"/>
    <n v="1"/>
    <s v=""/>
    <s v=""/>
  </r>
  <r>
    <x v="17"/>
    <x v="17"/>
    <x v="32"/>
    <x v="83"/>
    <n v="4"/>
    <n v="2"/>
    <n v="2"/>
    <s v=""/>
  </r>
  <r>
    <x v="17"/>
    <x v="17"/>
    <x v="32"/>
    <x v="84"/>
    <n v="3"/>
    <n v="2"/>
    <n v="1"/>
    <s v=""/>
  </r>
  <r>
    <x v="17"/>
    <x v="17"/>
    <x v="32"/>
    <x v="85"/>
    <n v="1"/>
    <n v="1"/>
    <s v=""/>
    <s v=""/>
  </r>
  <r>
    <x v="17"/>
    <x v="17"/>
    <x v="32"/>
    <x v="94"/>
    <n v="3"/>
    <n v="2"/>
    <n v="1"/>
    <s v=""/>
  </r>
  <r>
    <x v="17"/>
    <x v="17"/>
    <x v="32"/>
    <x v="95"/>
    <n v="1"/>
    <s v=""/>
    <n v="1"/>
    <s v=""/>
  </r>
  <r>
    <x v="17"/>
    <x v="17"/>
    <x v="32"/>
    <x v="96"/>
    <n v="29"/>
    <n v="16"/>
    <n v="13"/>
    <s v=""/>
  </r>
  <r>
    <x v="17"/>
    <x v="17"/>
    <x v="32"/>
    <x v="97"/>
    <n v="7813"/>
    <n v="3836"/>
    <n v="3977"/>
    <s v=""/>
  </r>
  <r>
    <x v="17"/>
    <x v="17"/>
    <x v="33"/>
    <x v="0"/>
    <n v="7450"/>
    <n v="3673"/>
    <n v="3777"/>
    <s v=""/>
  </r>
  <r>
    <x v="17"/>
    <x v="17"/>
    <x v="33"/>
    <x v="97"/>
    <n v="30"/>
    <n v="21"/>
    <n v="9"/>
    <s v=""/>
  </r>
  <r>
    <x v="17"/>
    <x v="17"/>
    <x v="33"/>
    <x v="98"/>
    <n v="7420"/>
    <n v="3652"/>
    <n v="3768"/>
    <s v=""/>
  </r>
  <r>
    <x v="17"/>
    <x v="17"/>
    <x v="34"/>
    <x v="0"/>
    <n v="7663"/>
    <n v="3808"/>
    <n v="3855"/>
    <s v=""/>
  </r>
  <r>
    <x v="17"/>
    <x v="17"/>
    <x v="34"/>
    <x v="57"/>
    <n v="1"/>
    <n v="1"/>
    <s v=""/>
    <s v=""/>
  </r>
  <r>
    <x v="17"/>
    <x v="17"/>
    <x v="34"/>
    <x v="96"/>
    <n v="1"/>
    <s v=""/>
    <n v="1"/>
    <s v=""/>
  </r>
  <r>
    <x v="17"/>
    <x v="17"/>
    <x v="34"/>
    <x v="98"/>
    <n v="23"/>
    <n v="14"/>
    <n v="9"/>
    <s v=""/>
  </r>
  <r>
    <x v="17"/>
    <x v="17"/>
    <x v="34"/>
    <x v="99"/>
    <n v="7638"/>
    <n v="3793"/>
    <n v="3845"/>
    <s v=""/>
  </r>
  <r>
    <x v="18"/>
    <x v="18"/>
    <x v="0"/>
    <x v="0"/>
    <n v="3860"/>
    <n v="1563"/>
    <n v="2295"/>
    <n v="2"/>
  </r>
  <r>
    <x v="18"/>
    <x v="18"/>
    <x v="0"/>
    <x v="1"/>
    <n v="3857"/>
    <n v="1560"/>
    <n v="2295"/>
    <n v="2"/>
  </r>
  <r>
    <x v="18"/>
    <x v="18"/>
    <x v="0"/>
    <x v="2"/>
    <n v="3"/>
    <n v="3"/>
    <s v=""/>
    <s v=""/>
  </r>
  <r>
    <x v="18"/>
    <x v="18"/>
    <x v="1"/>
    <x v="0"/>
    <n v="4207"/>
    <n v="1791"/>
    <n v="2416"/>
    <s v=""/>
  </r>
  <r>
    <x v="18"/>
    <x v="18"/>
    <x v="1"/>
    <x v="4"/>
    <n v="4206"/>
    <n v="1791"/>
    <n v="2415"/>
    <s v=""/>
  </r>
  <r>
    <x v="18"/>
    <x v="18"/>
    <x v="1"/>
    <x v="2"/>
    <n v="1"/>
    <s v=""/>
    <n v="1"/>
    <s v=""/>
  </r>
  <r>
    <x v="18"/>
    <x v="18"/>
    <x v="2"/>
    <x v="0"/>
    <n v="4148"/>
    <n v="1737"/>
    <n v="2411"/>
    <s v=""/>
  </r>
  <r>
    <x v="18"/>
    <x v="18"/>
    <x v="2"/>
    <x v="5"/>
    <n v="4148"/>
    <n v="1737"/>
    <n v="2411"/>
    <s v=""/>
  </r>
  <r>
    <x v="18"/>
    <x v="18"/>
    <x v="3"/>
    <x v="0"/>
    <n v="4225"/>
    <n v="1752"/>
    <n v="2473"/>
    <s v=""/>
  </r>
  <r>
    <x v="18"/>
    <x v="18"/>
    <x v="3"/>
    <x v="6"/>
    <n v="1"/>
    <s v=""/>
    <n v="1"/>
    <s v=""/>
  </r>
  <r>
    <x v="18"/>
    <x v="18"/>
    <x v="3"/>
    <x v="10"/>
    <n v="1"/>
    <s v=""/>
    <n v="1"/>
    <s v=""/>
  </r>
  <r>
    <x v="18"/>
    <x v="18"/>
    <x v="3"/>
    <x v="15"/>
    <n v="1"/>
    <n v="1"/>
    <s v=""/>
    <s v=""/>
  </r>
  <r>
    <x v="18"/>
    <x v="18"/>
    <x v="3"/>
    <x v="4"/>
    <n v="1"/>
    <n v="1"/>
    <s v=""/>
    <s v=""/>
  </r>
  <r>
    <x v="18"/>
    <x v="18"/>
    <x v="3"/>
    <x v="5"/>
    <n v="23"/>
    <n v="9"/>
    <n v="14"/>
    <s v=""/>
  </r>
  <r>
    <x v="18"/>
    <x v="18"/>
    <x v="3"/>
    <x v="18"/>
    <n v="4198"/>
    <n v="1741"/>
    <n v="2457"/>
    <s v=""/>
  </r>
  <r>
    <x v="18"/>
    <x v="18"/>
    <x v="4"/>
    <x v="0"/>
    <n v="4338"/>
    <n v="1833"/>
    <n v="2505"/>
    <s v=""/>
  </r>
  <r>
    <x v="18"/>
    <x v="18"/>
    <x v="4"/>
    <x v="20"/>
    <n v="2"/>
    <n v="1"/>
    <n v="1"/>
    <s v=""/>
  </r>
  <r>
    <x v="18"/>
    <x v="18"/>
    <x v="4"/>
    <x v="21"/>
    <n v="1"/>
    <s v=""/>
    <n v="1"/>
    <s v=""/>
  </r>
  <r>
    <x v="18"/>
    <x v="18"/>
    <x v="4"/>
    <x v="25"/>
    <n v="1"/>
    <s v=""/>
    <n v="1"/>
    <s v=""/>
  </r>
  <r>
    <x v="18"/>
    <x v="18"/>
    <x v="4"/>
    <x v="28"/>
    <n v="2"/>
    <n v="1"/>
    <n v="1"/>
    <s v=""/>
  </r>
  <r>
    <x v="18"/>
    <x v="18"/>
    <x v="4"/>
    <x v="4"/>
    <n v="1"/>
    <s v=""/>
    <n v="1"/>
    <s v=""/>
  </r>
  <r>
    <x v="18"/>
    <x v="18"/>
    <x v="4"/>
    <x v="18"/>
    <n v="11"/>
    <n v="6"/>
    <n v="5"/>
    <s v=""/>
  </r>
  <r>
    <x v="18"/>
    <x v="18"/>
    <x v="4"/>
    <x v="30"/>
    <n v="4320"/>
    <n v="1825"/>
    <n v="2495"/>
    <s v=""/>
  </r>
  <r>
    <x v="18"/>
    <x v="18"/>
    <x v="5"/>
    <x v="0"/>
    <n v="4346"/>
    <n v="1840"/>
    <n v="2506"/>
    <s v=""/>
  </r>
  <r>
    <x v="18"/>
    <x v="18"/>
    <x v="5"/>
    <x v="31"/>
    <n v="1"/>
    <n v="1"/>
    <s v=""/>
    <s v=""/>
  </r>
  <r>
    <x v="18"/>
    <x v="18"/>
    <x v="5"/>
    <x v="36"/>
    <n v="1"/>
    <s v=""/>
    <n v="1"/>
    <s v=""/>
  </r>
  <r>
    <x v="18"/>
    <x v="18"/>
    <x v="5"/>
    <x v="40"/>
    <n v="1"/>
    <s v=""/>
    <n v="1"/>
    <s v=""/>
  </r>
  <r>
    <x v="18"/>
    <x v="18"/>
    <x v="5"/>
    <x v="30"/>
    <n v="14"/>
    <n v="7"/>
    <n v="7"/>
    <s v=""/>
  </r>
  <r>
    <x v="18"/>
    <x v="18"/>
    <x v="5"/>
    <x v="44"/>
    <n v="4329"/>
    <n v="1832"/>
    <n v="2497"/>
    <s v=""/>
  </r>
  <r>
    <x v="18"/>
    <x v="18"/>
    <x v="6"/>
    <x v="0"/>
    <n v="4021"/>
    <n v="1697"/>
    <n v="2324"/>
    <s v=""/>
  </r>
  <r>
    <x v="18"/>
    <x v="18"/>
    <x v="6"/>
    <x v="7"/>
    <n v="1"/>
    <s v=""/>
    <n v="1"/>
    <s v=""/>
  </r>
  <r>
    <x v="18"/>
    <x v="18"/>
    <x v="6"/>
    <x v="1"/>
    <n v="1"/>
    <s v=""/>
    <n v="1"/>
    <s v=""/>
  </r>
  <r>
    <x v="18"/>
    <x v="18"/>
    <x v="6"/>
    <x v="44"/>
    <n v="18"/>
    <n v="8"/>
    <n v="10"/>
    <s v=""/>
  </r>
  <r>
    <x v="18"/>
    <x v="18"/>
    <x v="6"/>
    <x v="50"/>
    <n v="4001"/>
    <n v="1689"/>
    <n v="2312"/>
    <s v=""/>
  </r>
  <r>
    <x v="18"/>
    <x v="18"/>
    <x v="7"/>
    <x v="0"/>
    <n v="4110"/>
    <n v="1729"/>
    <n v="2380"/>
    <n v="1"/>
  </r>
  <r>
    <x v="18"/>
    <x v="18"/>
    <x v="7"/>
    <x v="43"/>
    <n v="1"/>
    <n v="1"/>
    <s v=""/>
    <s v=""/>
  </r>
  <r>
    <x v="18"/>
    <x v="18"/>
    <x v="7"/>
    <x v="50"/>
    <n v="27"/>
    <n v="14"/>
    <n v="13"/>
    <s v=""/>
  </r>
  <r>
    <x v="18"/>
    <x v="18"/>
    <x v="7"/>
    <x v="57"/>
    <n v="4082"/>
    <n v="1714"/>
    <n v="2367"/>
    <n v="1"/>
  </r>
  <r>
    <x v="18"/>
    <x v="18"/>
    <x v="8"/>
    <x v="0"/>
    <n v="3942"/>
    <n v="1694"/>
    <n v="2248"/>
    <s v=""/>
  </r>
  <r>
    <x v="18"/>
    <x v="18"/>
    <x v="8"/>
    <x v="58"/>
    <n v="1"/>
    <s v=""/>
    <n v="1"/>
    <s v=""/>
  </r>
  <r>
    <x v="18"/>
    <x v="18"/>
    <x v="8"/>
    <x v="61"/>
    <n v="1"/>
    <s v=""/>
    <n v="1"/>
    <s v=""/>
  </r>
  <r>
    <x v="18"/>
    <x v="18"/>
    <x v="8"/>
    <x v="63"/>
    <n v="1"/>
    <n v="1"/>
    <s v=""/>
    <s v=""/>
  </r>
  <r>
    <x v="18"/>
    <x v="18"/>
    <x v="8"/>
    <x v="65"/>
    <n v="1"/>
    <s v=""/>
    <n v="1"/>
    <s v=""/>
  </r>
  <r>
    <x v="18"/>
    <x v="18"/>
    <x v="8"/>
    <x v="57"/>
    <n v="18"/>
    <n v="6"/>
    <n v="12"/>
    <s v=""/>
  </r>
  <r>
    <x v="18"/>
    <x v="18"/>
    <x v="8"/>
    <x v="69"/>
    <n v="3920"/>
    <n v="1687"/>
    <n v="2233"/>
    <s v=""/>
  </r>
  <r>
    <x v="18"/>
    <x v="18"/>
    <x v="9"/>
    <x v="0"/>
    <n v="4138"/>
    <n v="1767"/>
    <n v="2371"/>
    <s v=""/>
  </r>
  <r>
    <x v="18"/>
    <x v="18"/>
    <x v="9"/>
    <x v="70"/>
    <n v="1"/>
    <s v=""/>
    <n v="1"/>
    <s v=""/>
  </r>
  <r>
    <x v="18"/>
    <x v="18"/>
    <x v="9"/>
    <x v="69"/>
    <n v="13"/>
    <n v="3"/>
    <n v="10"/>
    <s v=""/>
  </r>
  <r>
    <x v="18"/>
    <x v="18"/>
    <x v="9"/>
    <x v="71"/>
    <n v="4124"/>
    <n v="1764"/>
    <n v="2360"/>
    <s v=""/>
  </r>
  <r>
    <x v="18"/>
    <x v="18"/>
    <x v="10"/>
    <x v="0"/>
    <n v="4288"/>
    <n v="1800"/>
    <n v="2488"/>
    <s v=""/>
  </r>
  <r>
    <x v="18"/>
    <x v="18"/>
    <x v="10"/>
    <x v="30"/>
    <n v="1"/>
    <n v="1"/>
    <s v=""/>
    <s v=""/>
  </r>
  <r>
    <x v="18"/>
    <x v="18"/>
    <x v="10"/>
    <x v="71"/>
    <n v="11"/>
    <n v="4"/>
    <n v="7"/>
    <s v=""/>
  </r>
  <r>
    <x v="18"/>
    <x v="18"/>
    <x v="10"/>
    <x v="73"/>
    <n v="4276"/>
    <n v="1795"/>
    <n v="2481"/>
    <s v=""/>
  </r>
  <r>
    <x v="18"/>
    <x v="18"/>
    <x v="11"/>
    <x v="0"/>
    <n v="4486"/>
    <n v="1960"/>
    <n v="2526"/>
    <s v=""/>
  </r>
  <r>
    <x v="18"/>
    <x v="18"/>
    <x v="11"/>
    <x v="73"/>
    <n v="12"/>
    <n v="6"/>
    <n v="6"/>
    <s v=""/>
  </r>
  <r>
    <x v="18"/>
    <x v="18"/>
    <x v="11"/>
    <x v="74"/>
    <n v="4474"/>
    <n v="1954"/>
    <n v="2520"/>
    <s v=""/>
  </r>
  <r>
    <x v="18"/>
    <x v="18"/>
    <x v="12"/>
    <x v="0"/>
    <n v="4644"/>
    <n v="2020"/>
    <n v="2624"/>
    <s v=""/>
  </r>
  <r>
    <x v="18"/>
    <x v="18"/>
    <x v="12"/>
    <x v="73"/>
    <n v="1"/>
    <s v=""/>
    <n v="1"/>
    <s v=""/>
  </r>
  <r>
    <x v="18"/>
    <x v="18"/>
    <x v="12"/>
    <x v="74"/>
    <n v="25"/>
    <n v="14"/>
    <n v="11"/>
    <s v=""/>
  </r>
  <r>
    <x v="18"/>
    <x v="18"/>
    <x v="12"/>
    <x v="77"/>
    <n v="4618"/>
    <n v="2006"/>
    <n v="2612"/>
    <s v=""/>
  </r>
  <r>
    <x v="18"/>
    <x v="18"/>
    <x v="13"/>
    <x v="0"/>
    <n v="5064"/>
    <n v="2244"/>
    <n v="2820"/>
    <s v=""/>
  </r>
  <r>
    <x v="18"/>
    <x v="18"/>
    <x v="13"/>
    <x v="75"/>
    <n v="1"/>
    <s v=""/>
    <n v="1"/>
    <s v=""/>
  </r>
  <r>
    <x v="18"/>
    <x v="18"/>
    <x v="13"/>
    <x v="73"/>
    <n v="1"/>
    <n v="1"/>
    <s v=""/>
    <s v=""/>
  </r>
  <r>
    <x v="18"/>
    <x v="18"/>
    <x v="13"/>
    <x v="77"/>
    <n v="19"/>
    <n v="7"/>
    <n v="12"/>
    <s v=""/>
  </r>
  <r>
    <x v="18"/>
    <x v="18"/>
    <x v="13"/>
    <x v="78"/>
    <n v="5043"/>
    <n v="2236"/>
    <n v="2807"/>
    <s v=""/>
  </r>
  <r>
    <x v="18"/>
    <x v="18"/>
    <x v="14"/>
    <x v="0"/>
    <n v="5506"/>
    <n v="2402"/>
    <n v="3104"/>
    <s v=""/>
  </r>
  <r>
    <x v="18"/>
    <x v="18"/>
    <x v="14"/>
    <x v="78"/>
    <n v="24"/>
    <n v="14"/>
    <n v="10"/>
    <s v=""/>
  </r>
  <r>
    <x v="18"/>
    <x v="18"/>
    <x v="14"/>
    <x v="79"/>
    <n v="5482"/>
    <n v="2388"/>
    <n v="3094"/>
    <s v=""/>
  </r>
  <r>
    <x v="18"/>
    <x v="18"/>
    <x v="15"/>
    <x v="0"/>
    <n v="5698"/>
    <n v="2600"/>
    <n v="3098"/>
    <s v=""/>
  </r>
  <r>
    <x v="18"/>
    <x v="18"/>
    <x v="15"/>
    <x v="79"/>
    <n v="18"/>
    <n v="13"/>
    <n v="5"/>
    <s v=""/>
  </r>
  <r>
    <x v="18"/>
    <x v="18"/>
    <x v="15"/>
    <x v="80"/>
    <n v="5680"/>
    <n v="2587"/>
    <n v="3093"/>
    <s v=""/>
  </r>
  <r>
    <x v="18"/>
    <x v="18"/>
    <x v="16"/>
    <x v="0"/>
    <n v="5692"/>
    <n v="2545"/>
    <n v="3147"/>
    <s v=""/>
  </r>
  <r>
    <x v="18"/>
    <x v="18"/>
    <x v="16"/>
    <x v="73"/>
    <n v="1"/>
    <s v=""/>
    <n v="1"/>
    <s v=""/>
  </r>
  <r>
    <x v="18"/>
    <x v="18"/>
    <x v="16"/>
    <x v="80"/>
    <n v="33"/>
    <n v="18"/>
    <n v="15"/>
    <s v=""/>
  </r>
  <r>
    <x v="18"/>
    <x v="18"/>
    <x v="16"/>
    <x v="81"/>
    <n v="5658"/>
    <n v="2527"/>
    <n v="3131"/>
    <s v=""/>
  </r>
  <r>
    <x v="18"/>
    <x v="18"/>
    <x v="17"/>
    <x v="0"/>
    <n v="5829"/>
    <n v="2506"/>
    <n v="3323"/>
    <s v=""/>
  </r>
  <r>
    <x v="18"/>
    <x v="18"/>
    <x v="17"/>
    <x v="81"/>
    <n v="40"/>
    <n v="30"/>
    <n v="10"/>
    <s v=""/>
  </r>
  <r>
    <x v="18"/>
    <x v="18"/>
    <x v="17"/>
    <x v="82"/>
    <n v="5789"/>
    <n v="2476"/>
    <n v="3313"/>
    <s v=""/>
  </r>
  <r>
    <x v="18"/>
    <x v="18"/>
    <x v="18"/>
    <x v="0"/>
    <n v="5926"/>
    <n v="2479"/>
    <n v="3447"/>
    <s v=""/>
  </r>
  <r>
    <x v="18"/>
    <x v="18"/>
    <x v="18"/>
    <x v="79"/>
    <n v="10"/>
    <n v="7"/>
    <n v="3"/>
    <s v=""/>
  </r>
  <r>
    <x v="18"/>
    <x v="18"/>
    <x v="18"/>
    <x v="80"/>
    <n v="11"/>
    <n v="5"/>
    <n v="6"/>
    <s v=""/>
  </r>
  <r>
    <x v="18"/>
    <x v="18"/>
    <x v="18"/>
    <x v="82"/>
    <n v="30"/>
    <n v="22"/>
    <n v="8"/>
    <s v=""/>
  </r>
  <r>
    <x v="18"/>
    <x v="18"/>
    <x v="18"/>
    <x v="83"/>
    <n v="5875"/>
    <n v="2445"/>
    <n v="3430"/>
    <s v=""/>
  </r>
  <r>
    <x v="18"/>
    <x v="18"/>
    <x v="19"/>
    <x v="0"/>
    <n v="6030"/>
    <n v="2590"/>
    <n v="3440"/>
    <s v=""/>
  </r>
  <r>
    <x v="18"/>
    <x v="18"/>
    <x v="19"/>
    <x v="79"/>
    <n v="1"/>
    <s v=""/>
    <n v="1"/>
    <s v=""/>
  </r>
  <r>
    <x v="18"/>
    <x v="18"/>
    <x v="19"/>
    <x v="81"/>
    <n v="1"/>
    <s v=""/>
    <n v="1"/>
    <s v=""/>
  </r>
  <r>
    <x v="18"/>
    <x v="18"/>
    <x v="19"/>
    <x v="82"/>
    <n v="1"/>
    <n v="1"/>
    <s v=""/>
    <s v=""/>
  </r>
  <r>
    <x v="18"/>
    <x v="18"/>
    <x v="19"/>
    <x v="83"/>
    <n v="28"/>
    <n v="14"/>
    <n v="14"/>
    <s v=""/>
  </r>
  <r>
    <x v="18"/>
    <x v="18"/>
    <x v="19"/>
    <x v="84"/>
    <n v="5999"/>
    <n v="2575"/>
    <n v="3424"/>
    <s v=""/>
  </r>
  <r>
    <x v="18"/>
    <x v="18"/>
    <x v="20"/>
    <x v="0"/>
    <n v="6328"/>
    <n v="2741"/>
    <n v="3587"/>
    <s v=""/>
  </r>
  <r>
    <x v="18"/>
    <x v="18"/>
    <x v="20"/>
    <x v="79"/>
    <n v="1"/>
    <n v="1"/>
    <s v=""/>
    <s v=""/>
  </r>
  <r>
    <x v="18"/>
    <x v="18"/>
    <x v="20"/>
    <x v="84"/>
    <n v="27"/>
    <n v="14"/>
    <n v="13"/>
    <s v=""/>
  </r>
  <r>
    <x v="18"/>
    <x v="18"/>
    <x v="20"/>
    <x v="85"/>
    <n v="6300"/>
    <n v="2726"/>
    <n v="3574"/>
    <s v=""/>
  </r>
  <r>
    <x v="18"/>
    <x v="18"/>
    <x v="21"/>
    <x v="0"/>
    <n v="6502"/>
    <n v="2812"/>
    <n v="3690"/>
    <s v=""/>
  </r>
  <r>
    <x v="18"/>
    <x v="18"/>
    <x v="21"/>
    <x v="85"/>
    <n v="59"/>
    <n v="33"/>
    <n v="26"/>
    <s v=""/>
  </r>
  <r>
    <x v="18"/>
    <x v="18"/>
    <x v="21"/>
    <x v="86"/>
    <n v="6443"/>
    <n v="2779"/>
    <n v="3664"/>
    <s v=""/>
  </r>
  <r>
    <x v="18"/>
    <x v="18"/>
    <x v="22"/>
    <x v="0"/>
    <n v="6447"/>
    <n v="2766"/>
    <n v="3681"/>
    <s v=""/>
  </r>
  <r>
    <x v="18"/>
    <x v="18"/>
    <x v="22"/>
    <x v="86"/>
    <n v="26"/>
    <n v="10"/>
    <n v="16"/>
    <s v=""/>
  </r>
  <r>
    <x v="18"/>
    <x v="18"/>
    <x v="22"/>
    <x v="87"/>
    <n v="6421"/>
    <n v="2756"/>
    <n v="3665"/>
    <s v=""/>
  </r>
  <r>
    <x v="18"/>
    <x v="18"/>
    <x v="23"/>
    <x v="0"/>
    <n v="6744"/>
    <n v="2983"/>
    <n v="3761"/>
    <s v=""/>
  </r>
  <r>
    <x v="18"/>
    <x v="18"/>
    <x v="23"/>
    <x v="87"/>
    <n v="34"/>
    <n v="20"/>
    <n v="14"/>
    <s v=""/>
  </r>
  <r>
    <x v="18"/>
    <x v="18"/>
    <x v="23"/>
    <x v="88"/>
    <n v="6710"/>
    <n v="2963"/>
    <n v="3747"/>
    <s v=""/>
  </r>
  <r>
    <x v="18"/>
    <x v="18"/>
    <x v="24"/>
    <x v="0"/>
    <n v="7009"/>
    <n v="2988"/>
    <n v="4021"/>
    <s v=""/>
  </r>
  <r>
    <x v="18"/>
    <x v="18"/>
    <x v="24"/>
    <x v="85"/>
    <n v="1"/>
    <n v="1"/>
    <s v=""/>
    <s v=""/>
  </r>
  <r>
    <x v="18"/>
    <x v="18"/>
    <x v="24"/>
    <x v="88"/>
    <n v="54"/>
    <n v="33"/>
    <n v="21"/>
    <s v=""/>
  </r>
  <r>
    <x v="18"/>
    <x v="18"/>
    <x v="24"/>
    <x v="89"/>
    <n v="6954"/>
    <n v="2954"/>
    <n v="4000"/>
    <s v=""/>
  </r>
  <r>
    <x v="18"/>
    <x v="18"/>
    <x v="25"/>
    <x v="0"/>
    <n v="7017"/>
    <n v="3085"/>
    <n v="3932"/>
    <s v=""/>
  </r>
  <r>
    <x v="18"/>
    <x v="18"/>
    <x v="25"/>
    <x v="89"/>
    <n v="37"/>
    <n v="23"/>
    <n v="14"/>
    <s v=""/>
  </r>
  <r>
    <x v="18"/>
    <x v="18"/>
    <x v="25"/>
    <x v="90"/>
    <n v="6980"/>
    <n v="3062"/>
    <n v="3918"/>
    <s v=""/>
  </r>
  <r>
    <x v="18"/>
    <x v="18"/>
    <x v="26"/>
    <x v="0"/>
    <n v="7150"/>
    <n v="3169"/>
    <n v="3981"/>
    <s v=""/>
  </r>
  <r>
    <x v="18"/>
    <x v="18"/>
    <x v="26"/>
    <x v="82"/>
    <n v="1"/>
    <n v="1"/>
    <s v=""/>
    <s v=""/>
  </r>
  <r>
    <x v="18"/>
    <x v="18"/>
    <x v="26"/>
    <x v="84"/>
    <n v="1"/>
    <s v=""/>
    <n v="1"/>
    <s v=""/>
  </r>
  <r>
    <x v="18"/>
    <x v="18"/>
    <x v="26"/>
    <x v="86"/>
    <n v="1"/>
    <n v="1"/>
    <s v=""/>
    <s v=""/>
  </r>
  <r>
    <x v="18"/>
    <x v="18"/>
    <x v="26"/>
    <x v="88"/>
    <n v="2"/>
    <s v=""/>
    <n v="2"/>
    <s v=""/>
  </r>
  <r>
    <x v="18"/>
    <x v="18"/>
    <x v="26"/>
    <x v="89"/>
    <n v="1"/>
    <n v="1"/>
    <s v=""/>
    <s v=""/>
  </r>
  <r>
    <x v="18"/>
    <x v="18"/>
    <x v="26"/>
    <x v="90"/>
    <n v="46"/>
    <n v="26"/>
    <n v="20"/>
    <s v=""/>
  </r>
  <r>
    <x v="18"/>
    <x v="18"/>
    <x v="26"/>
    <x v="91"/>
    <n v="7098"/>
    <n v="3140"/>
    <n v="3958"/>
    <s v=""/>
  </r>
  <r>
    <x v="18"/>
    <x v="18"/>
    <x v="27"/>
    <x v="0"/>
    <n v="7135"/>
    <n v="3167"/>
    <n v="3968"/>
    <s v=""/>
  </r>
  <r>
    <x v="18"/>
    <x v="18"/>
    <x v="27"/>
    <x v="90"/>
    <n v="1"/>
    <n v="1"/>
    <s v=""/>
    <s v=""/>
  </r>
  <r>
    <x v="18"/>
    <x v="18"/>
    <x v="27"/>
    <x v="91"/>
    <n v="36"/>
    <n v="18"/>
    <n v="18"/>
    <s v=""/>
  </r>
  <r>
    <x v="18"/>
    <x v="18"/>
    <x v="27"/>
    <x v="92"/>
    <n v="7098"/>
    <n v="3148"/>
    <n v="3950"/>
    <s v=""/>
  </r>
  <r>
    <x v="18"/>
    <x v="18"/>
    <x v="28"/>
    <x v="0"/>
    <n v="7238"/>
    <n v="3253"/>
    <n v="3985"/>
    <s v=""/>
  </r>
  <r>
    <x v="18"/>
    <x v="18"/>
    <x v="28"/>
    <x v="91"/>
    <n v="1"/>
    <n v="1"/>
    <s v=""/>
    <s v=""/>
  </r>
  <r>
    <x v="18"/>
    <x v="18"/>
    <x v="28"/>
    <x v="92"/>
    <n v="40"/>
    <n v="14"/>
    <n v="26"/>
    <s v=""/>
  </r>
  <r>
    <x v="18"/>
    <x v="18"/>
    <x v="28"/>
    <x v="93"/>
    <n v="7197"/>
    <n v="3238"/>
    <n v="3959"/>
    <s v=""/>
  </r>
  <r>
    <x v="18"/>
    <x v="18"/>
    <x v="29"/>
    <x v="0"/>
    <n v="6929"/>
    <n v="3131"/>
    <n v="3798"/>
    <s v=""/>
  </r>
  <r>
    <x v="18"/>
    <x v="18"/>
    <x v="29"/>
    <x v="93"/>
    <n v="36"/>
    <n v="20"/>
    <n v="16"/>
    <s v=""/>
  </r>
  <r>
    <x v="18"/>
    <x v="18"/>
    <x v="29"/>
    <x v="94"/>
    <n v="6893"/>
    <n v="3111"/>
    <n v="3782"/>
    <s v=""/>
  </r>
  <r>
    <x v="18"/>
    <x v="18"/>
    <x v="30"/>
    <x v="0"/>
    <n v="10564"/>
    <n v="5230"/>
    <n v="5334"/>
    <s v=""/>
  </r>
  <r>
    <x v="18"/>
    <x v="18"/>
    <x v="30"/>
    <x v="94"/>
    <n v="39"/>
    <n v="22"/>
    <n v="17"/>
    <s v=""/>
  </r>
  <r>
    <x v="18"/>
    <x v="18"/>
    <x v="30"/>
    <x v="95"/>
    <n v="10524"/>
    <n v="5208"/>
    <n v="5316"/>
    <s v=""/>
  </r>
  <r>
    <x v="18"/>
    <x v="18"/>
    <x v="30"/>
    <x v="2"/>
    <n v="1"/>
    <s v=""/>
    <n v="1"/>
    <s v=""/>
  </r>
  <r>
    <x v="18"/>
    <x v="18"/>
    <x v="31"/>
    <x v="0"/>
    <n v="9863"/>
    <n v="4728"/>
    <n v="5135"/>
    <s v=""/>
  </r>
  <r>
    <x v="18"/>
    <x v="18"/>
    <x v="31"/>
    <x v="95"/>
    <n v="62"/>
    <n v="33"/>
    <n v="29"/>
    <s v=""/>
  </r>
  <r>
    <x v="18"/>
    <x v="18"/>
    <x v="31"/>
    <x v="96"/>
    <n v="9801"/>
    <n v="4695"/>
    <n v="5106"/>
    <s v=""/>
  </r>
  <r>
    <x v="18"/>
    <x v="18"/>
    <x v="32"/>
    <x v="0"/>
    <n v="7979"/>
    <n v="3634"/>
    <n v="4345"/>
    <s v=""/>
  </r>
  <r>
    <x v="18"/>
    <x v="18"/>
    <x v="32"/>
    <x v="81"/>
    <n v="1"/>
    <s v=""/>
    <n v="1"/>
    <s v=""/>
  </r>
  <r>
    <x v="18"/>
    <x v="18"/>
    <x v="32"/>
    <x v="82"/>
    <n v="2"/>
    <n v="2"/>
    <s v=""/>
    <s v=""/>
  </r>
  <r>
    <x v="18"/>
    <x v="18"/>
    <x v="32"/>
    <x v="83"/>
    <n v="3"/>
    <n v="2"/>
    <n v="1"/>
    <s v=""/>
  </r>
  <r>
    <x v="18"/>
    <x v="18"/>
    <x v="32"/>
    <x v="84"/>
    <n v="6"/>
    <n v="3"/>
    <n v="3"/>
    <s v=""/>
  </r>
  <r>
    <x v="18"/>
    <x v="18"/>
    <x v="32"/>
    <x v="94"/>
    <n v="2"/>
    <n v="2"/>
    <s v=""/>
    <s v=""/>
  </r>
  <r>
    <x v="18"/>
    <x v="18"/>
    <x v="32"/>
    <x v="95"/>
    <n v="1"/>
    <n v="1"/>
    <s v=""/>
    <s v=""/>
  </r>
  <r>
    <x v="18"/>
    <x v="18"/>
    <x v="32"/>
    <x v="96"/>
    <n v="26"/>
    <n v="10"/>
    <n v="16"/>
    <s v=""/>
  </r>
  <r>
    <x v="18"/>
    <x v="18"/>
    <x v="32"/>
    <x v="97"/>
    <n v="7938"/>
    <n v="3614"/>
    <n v="4324"/>
    <s v=""/>
  </r>
  <r>
    <x v="18"/>
    <x v="18"/>
    <x v="33"/>
    <x v="0"/>
    <n v="7440"/>
    <n v="3367"/>
    <n v="4073"/>
    <s v=""/>
  </r>
  <r>
    <x v="18"/>
    <x v="18"/>
    <x v="33"/>
    <x v="92"/>
    <n v="1"/>
    <n v="1"/>
    <s v=""/>
    <s v=""/>
  </r>
  <r>
    <x v="18"/>
    <x v="18"/>
    <x v="33"/>
    <x v="97"/>
    <n v="26"/>
    <n v="18"/>
    <n v="8"/>
    <s v=""/>
  </r>
  <r>
    <x v="18"/>
    <x v="18"/>
    <x v="33"/>
    <x v="98"/>
    <n v="7413"/>
    <n v="3348"/>
    <n v="4065"/>
    <s v=""/>
  </r>
  <r>
    <x v="18"/>
    <x v="18"/>
    <x v="34"/>
    <x v="0"/>
    <n v="7613"/>
    <n v="3538"/>
    <n v="4075"/>
    <s v=""/>
  </r>
  <r>
    <x v="18"/>
    <x v="18"/>
    <x v="34"/>
    <x v="98"/>
    <n v="34"/>
    <n v="18"/>
    <n v="16"/>
    <s v=""/>
  </r>
  <r>
    <x v="18"/>
    <x v="18"/>
    <x v="34"/>
    <x v="99"/>
    <n v="7579"/>
    <n v="3520"/>
    <n v="4059"/>
    <s v=""/>
  </r>
  <r>
    <x v="19"/>
    <x v="19"/>
    <x v="0"/>
    <x v="0"/>
    <n v="5858"/>
    <n v="1909"/>
    <n v="3948"/>
    <n v="1"/>
  </r>
  <r>
    <x v="19"/>
    <x v="19"/>
    <x v="0"/>
    <x v="1"/>
    <n v="5856"/>
    <n v="1909"/>
    <n v="3946"/>
    <n v="1"/>
  </r>
  <r>
    <x v="19"/>
    <x v="19"/>
    <x v="0"/>
    <x v="2"/>
    <n v="2"/>
    <s v=""/>
    <n v="2"/>
    <s v=""/>
  </r>
  <r>
    <x v="19"/>
    <x v="19"/>
    <x v="1"/>
    <x v="0"/>
    <n v="6105"/>
    <n v="2051"/>
    <n v="4054"/>
    <s v=""/>
  </r>
  <r>
    <x v="19"/>
    <x v="19"/>
    <x v="1"/>
    <x v="4"/>
    <n v="6104"/>
    <n v="2050"/>
    <n v="4054"/>
    <s v=""/>
  </r>
  <r>
    <x v="19"/>
    <x v="19"/>
    <x v="1"/>
    <x v="2"/>
    <n v="1"/>
    <n v="1"/>
    <s v=""/>
    <s v=""/>
  </r>
  <r>
    <x v="19"/>
    <x v="19"/>
    <x v="2"/>
    <x v="0"/>
    <n v="6022"/>
    <n v="2094"/>
    <n v="3928"/>
    <s v=""/>
  </r>
  <r>
    <x v="19"/>
    <x v="19"/>
    <x v="2"/>
    <x v="5"/>
    <n v="6022"/>
    <n v="2094"/>
    <n v="3928"/>
    <s v=""/>
  </r>
  <r>
    <x v="19"/>
    <x v="19"/>
    <x v="3"/>
    <x v="0"/>
    <n v="6085"/>
    <n v="2075"/>
    <n v="4009"/>
    <n v="1"/>
  </r>
  <r>
    <x v="19"/>
    <x v="19"/>
    <x v="3"/>
    <x v="7"/>
    <n v="1"/>
    <s v=""/>
    <n v="1"/>
    <s v=""/>
  </r>
  <r>
    <x v="19"/>
    <x v="19"/>
    <x v="3"/>
    <x v="8"/>
    <n v="1"/>
    <s v=""/>
    <n v="1"/>
    <s v=""/>
  </r>
  <r>
    <x v="19"/>
    <x v="19"/>
    <x v="3"/>
    <x v="11"/>
    <n v="1"/>
    <s v=""/>
    <n v="1"/>
    <s v=""/>
  </r>
  <r>
    <x v="19"/>
    <x v="19"/>
    <x v="3"/>
    <x v="15"/>
    <n v="1"/>
    <n v="1"/>
    <s v=""/>
    <s v=""/>
  </r>
  <r>
    <x v="19"/>
    <x v="19"/>
    <x v="3"/>
    <x v="17"/>
    <n v="1"/>
    <s v=""/>
    <n v="1"/>
    <s v=""/>
  </r>
  <r>
    <x v="19"/>
    <x v="19"/>
    <x v="3"/>
    <x v="1"/>
    <n v="1"/>
    <s v=""/>
    <n v="1"/>
    <s v=""/>
  </r>
  <r>
    <x v="19"/>
    <x v="19"/>
    <x v="3"/>
    <x v="5"/>
    <n v="22"/>
    <n v="10"/>
    <n v="12"/>
    <s v=""/>
  </r>
  <r>
    <x v="19"/>
    <x v="19"/>
    <x v="3"/>
    <x v="18"/>
    <n v="6056"/>
    <n v="2064"/>
    <n v="3991"/>
    <n v="1"/>
  </r>
  <r>
    <x v="19"/>
    <x v="19"/>
    <x v="3"/>
    <x v="2"/>
    <n v="1"/>
    <s v=""/>
    <n v="1"/>
    <s v=""/>
  </r>
  <r>
    <x v="19"/>
    <x v="19"/>
    <x v="4"/>
    <x v="0"/>
    <n v="6302"/>
    <n v="2116"/>
    <n v="4185"/>
    <n v="1"/>
  </r>
  <r>
    <x v="19"/>
    <x v="19"/>
    <x v="4"/>
    <x v="6"/>
    <n v="1"/>
    <n v="1"/>
    <s v=""/>
    <s v=""/>
  </r>
  <r>
    <x v="19"/>
    <x v="19"/>
    <x v="4"/>
    <x v="19"/>
    <n v="1"/>
    <n v="1"/>
    <s v=""/>
    <s v=""/>
  </r>
  <r>
    <x v="19"/>
    <x v="19"/>
    <x v="4"/>
    <x v="25"/>
    <n v="1"/>
    <s v=""/>
    <n v="1"/>
    <s v=""/>
  </r>
  <r>
    <x v="19"/>
    <x v="19"/>
    <x v="4"/>
    <x v="4"/>
    <n v="1"/>
    <n v="1"/>
    <s v=""/>
    <s v=""/>
  </r>
  <r>
    <x v="19"/>
    <x v="19"/>
    <x v="4"/>
    <x v="18"/>
    <n v="28"/>
    <n v="8"/>
    <n v="20"/>
    <s v=""/>
  </r>
  <r>
    <x v="19"/>
    <x v="19"/>
    <x v="4"/>
    <x v="30"/>
    <n v="6270"/>
    <n v="2105"/>
    <n v="4164"/>
    <n v="1"/>
  </r>
  <r>
    <x v="19"/>
    <x v="19"/>
    <x v="5"/>
    <x v="0"/>
    <n v="6769"/>
    <n v="2328"/>
    <n v="4440"/>
    <n v="1"/>
  </r>
  <r>
    <x v="19"/>
    <x v="19"/>
    <x v="5"/>
    <x v="32"/>
    <n v="2"/>
    <s v=""/>
    <n v="2"/>
    <s v=""/>
  </r>
  <r>
    <x v="19"/>
    <x v="19"/>
    <x v="5"/>
    <x v="34"/>
    <n v="1"/>
    <n v="1"/>
    <s v=""/>
    <s v=""/>
  </r>
  <r>
    <x v="19"/>
    <x v="19"/>
    <x v="5"/>
    <x v="4"/>
    <n v="1"/>
    <s v=""/>
    <n v="1"/>
    <s v=""/>
  </r>
  <r>
    <x v="19"/>
    <x v="19"/>
    <x v="5"/>
    <x v="5"/>
    <n v="1"/>
    <n v="1"/>
    <s v=""/>
    <s v=""/>
  </r>
  <r>
    <x v="19"/>
    <x v="19"/>
    <x v="5"/>
    <x v="18"/>
    <n v="3"/>
    <n v="1"/>
    <n v="2"/>
    <s v=""/>
  </r>
  <r>
    <x v="19"/>
    <x v="19"/>
    <x v="5"/>
    <x v="30"/>
    <n v="18"/>
    <n v="5"/>
    <n v="12"/>
    <n v="1"/>
  </r>
  <r>
    <x v="19"/>
    <x v="19"/>
    <x v="5"/>
    <x v="44"/>
    <n v="6742"/>
    <n v="2319"/>
    <n v="4423"/>
    <s v=""/>
  </r>
  <r>
    <x v="19"/>
    <x v="19"/>
    <x v="5"/>
    <x v="2"/>
    <n v="1"/>
    <n v="1"/>
    <s v=""/>
    <s v=""/>
  </r>
  <r>
    <x v="19"/>
    <x v="19"/>
    <x v="6"/>
    <x v="0"/>
    <n v="7265"/>
    <n v="2486"/>
    <n v="4779"/>
    <s v=""/>
  </r>
  <r>
    <x v="19"/>
    <x v="19"/>
    <x v="6"/>
    <x v="48"/>
    <n v="1"/>
    <n v="1"/>
    <s v=""/>
    <s v=""/>
  </r>
  <r>
    <x v="19"/>
    <x v="19"/>
    <x v="6"/>
    <x v="49"/>
    <n v="1"/>
    <s v=""/>
    <n v="1"/>
    <s v=""/>
  </r>
  <r>
    <x v="19"/>
    <x v="19"/>
    <x v="6"/>
    <x v="44"/>
    <n v="34"/>
    <n v="13"/>
    <n v="21"/>
    <s v=""/>
  </r>
  <r>
    <x v="19"/>
    <x v="19"/>
    <x v="6"/>
    <x v="50"/>
    <n v="7229"/>
    <n v="2472"/>
    <n v="4757"/>
    <s v=""/>
  </r>
  <r>
    <x v="19"/>
    <x v="19"/>
    <x v="7"/>
    <x v="0"/>
    <n v="7245"/>
    <n v="2478"/>
    <n v="4766"/>
    <n v="1"/>
  </r>
  <r>
    <x v="19"/>
    <x v="19"/>
    <x v="7"/>
    <x v="8"/>
    <n v="2"/>
    <s v=""/>
    <n v="2"/>
    <s v=""/>
  </r>
  <r>
    <x v="19"/>
    <x v="19"/>
    <x v="7"/>
    <x v="52"/>
    <n v="1"/>
    <s v=""/>
    <n v="1"/>
    <s v=""/>
  </r>
  <r>
    <x v="19"/>
    <x v="19"/>
    <x v="7"/>
    <x v="53"/>
    <n v="1"/>
    <s v=""/>
    <n v="1"/>
    <s v=""/>
  </r>
  <r>
    <x v="19"/>
    <x v="19"/>
    <x v="7"/>
    <x v="4"/>
    <n v="4"/>
    <n v="1"/>
    <n v="3"/>
    <s v=""/>
  </r>
  <r>
    <x v="19"/>
    <x v="19"/>
    <x v="7"/>
    <x v="44"/>
    <n v="1"/>
    <s v=""/>
    <n v="1"/>
    <s v=""/>
  </r>
  <r>
    <x v="19"/>
    <x v="19"/>
    <x v="7"/>
    <x v="50"/>
    <n v="31"/>
    <n v="7"/>
    <n v="24"/>
    <s v=""/>
  </r>
  <r>
    <x v="19"/>
    <x v="19"/>
    <x v="7"/>
    <x v="57"/>
    <n v="7205"/>
    <n v="2470"/>
    <n v="4734"/>
    <n v="1"/>
  </r>
  <r>
    <x v="19"/>
    <x v="19"/>
    <x v="8"/>
    <x v="0"/>
    <n v="7416"/>
    <n v="2616"/>
    <n v="4800"/>
    <s v=""/>
  </r>
  <r>
    <x v="19"/>
    <x v="19"/>
    <x v="8"/>
    <x v="58"/>
    <n v="2"/>
    <s v=""/>
    <n v="2"/>
    <s v=""/>
  </r>
  <r>
    <x v="19"/>
    <x v="19"/>
    <x v="8"/>
    <x v="8"/>
    <n v="1"/>
    <s v=""/>
    <n v="1"/>
    <s v=""/>
  </r>
  <r>
    <x v="19"/>
    <x v="19"/>
    <x v="8"/>
    <x v="62"/>
    <n v="1"/>
    <s v=""/>
    <n v="1"/>
    <s v=""/>
  </r>
  <r>
    <x v="19"/>
    <x v="19"/>
    <x v="8"/>
    <x v="27"/>
    <n v="1"/>
    <n v="1"/>
    <s v=""/>
    <s v=""/>
  </r>
  <r>
    <x v="19"/>
    <x v="19"/>
    <x v="8"/>
    <x v="66"/>
    <n v="1"/>
    <n v="1"/>
    <s v=""/>
    <s v=""/>
  </r>
  <r>
    <x v="19"/>
    <x v="19"/>
    <x v="8"/>
    <x v="18"/>
    <n v="1"/>
    <s v=""/>
    <n v="1"/>
    <s v=""/>
  </r>
  <r>
    <x v="19"/>
    <x v="19"/>
    <x v="8"/>
    <x v="44"/>
    <n v="2"/>
    <n v="1"/>
    <n v="1"/>
    <s v=""/>
  </r>
  <r>
    <x v="19"/>
    <x v="19"/>
    <x v="8"/>
    <x v="57"/>
    <n v="39"/>
    <n v="18"/>
    <n v="21"/>
    <s v=""/>
  </r>
  <r>
    <x v="19"/>
    <x v="19"/>
    <x v="8"/>
    <x v="69"/>
    <n v="7368"/>
    <n v="2595"/>
    <n v="4773"/>
    <s v=""/>
  </r>
  <r>
    <x v="19"/>
    <x v="19"/>
    <x v="9"/>
    <x v="0"/>
    <n v="7641"/>
    <n v="2702"/>
    <n v="4939"/>
    <s v=""/>
  </r>
  <r>
    <x v="19"/>
    <x v="19"/>
    <x v="9"/>
    <x v="4"/>
    <n v="1"/>
    <n v="1"/>
    <s v=""/>
    <s v=""/>
  </r>
  <r>
    <x v="19"/>
    <x v="19"/>
    <x v="9"/>
    <x v="5"/>
    <n v="1"/>
    <n v="1"/>
    <s v=""/>
    <s v=""/>
  </r>
  <r>
    <x v="19"/>
    <x v="19"/>
    <x v="9"/>
    <x v="69"/>
    <n v="28"/>
    <n v="16"/>
    <n v="12"/>
    <s v=""/>
  </r>
  <r>
    <x v="19"/>
    <x v="19"/>
    <x v="9"/>
    <x v="71"/>
    <n v="7611"/>
    <n v="2684"/>
    <n v="4927"/>
    <s v=""/>
  </r>
  <r>
    <x v="19"/>
    <x v="19"/>
    <x v="10"/>
    <x v="0"/>
    <n v="7463"/>
    <n v="2610"/>
    <n v="4853"/>
    <s v=""/>
  </r>
  <r>
    <x v="19"/>
    <x v="19"/>
    <x v="10"/>
    <x v="71"/>
    <n v="26"/>
    <n v="11"/>
    <n v="15"/>
    <s v=""/>
  </r>
  <r>
    <x v="19"/>
    <x v="19"/>
    <x v="10"/>
    <x v="73"/>
    <n v="7437"/>
    <n v="2599"/>
    <n v="4838"/>
    <s v=""/>
  </r>
  <r>
    <x v="19"/>
    <x v="19"/>
    <x v="11"/>
    <x v="0"/>
    <n v="7448"/>
    <n v="2559"/>
    <n v="4889"/>
    <s v=""/>
  </r>
  <r>
    <x v="19"/>
    <x v="19"/>
    <x v="11"/>
    <x v="50"/>
    <n v="1"/>
    <s v=""/>
    <n v="1"/>
    <s v=""/>
  </r>
  <r>
    <x v="19"/>
    <x v="19"/>
    <x v="11"/>
    <x v="73"/>
    <n v="29"/>
    <n v="12"/>
    <n v="17"/>
    <s v=""/>
  </r>
  <r>
    <x v="19"/>
    <x v="19"/>
    <x v="11"/>
    <x v="74"/>
    <n v="7418"/>
    <n v="2547"/>
    <n v="4871"/>
    <s v=""/>
  </r>
  <r>
    <x v="19"/>
    <x v="19"/>
    <x v="12"/>
    <x v="0"/>
    <n v="7732"/>
    <n v="2573"/>
    <n v="5159"/>
    <s v=""/>
  </r>
  <r>
    <x v="19"/>
    <x v="19"/>
    <x v="12"/>
    <x v="74"/>
    <n v="34"/>
    <n v="11"/>
    <n v="23"/>
    <s v=""/>
  </r>
  <r>
    <x v="19"/>
    <x v="19"/>
    <x v="12"/>
    <x v="77"/>
    <n v="7698"/>
    <n v="2562"/>
    <n v="5136"/>
    <s v=""/>
  </r>
  <r>
    <x v="19"/>
    <x v="19"/>
    <x v="13"/>
    <x v="0"/>
    <n v="8064"/>
    <n v="2858"/>
    <n v="5206"/>
    <s v=""/>
  </r>
  <r>
    <x v="19"/>
    <x v="19"/>
    <x v="13"/>
    <x v="71"/>
    <n v="1"/>
    <n v="1"/>
    <s v=""/>
    <s v=""/>
  </r>
  <r>
    <x v="19"/>
    <x v="19"/>
    <x v="13"/>
    <x v="77"/>
    <n v="30"/>
    <n v="12"/>
    <n v="18"/>
    <s v=""/>
  </r>
  <r>
    <x v="19"/>
    <x v="19"/>
    <x v="13"/>
    <x v="78"/>
    <n v="8033"/>
    <n v="2845"/>
    <n v="5188"/>
    <s v=""/>
  </r>
  <r>
    <x v="19"/>
    <x v="19"/>
    <x v="14"/>
    <x v="0"/>
    <n v="8195"/>
    <n v="2940"/>
    <n v="5255"/>
    <s v=""/>
  </r>
  <r>
    <x v="19"/>
    <x v="19"/>
    <x v="14"/>
    <x v="78"/>
    <n v="37"/>
    <n v="19"/>
    <n v="18"/>
    <s v=""/>
  </r>
  <r>
    <x v="19"/>
    <x v="19"/>
    <x v="14"/>
    <x v="79"/>
    <n v="8158"/>
    <n v="2921"/>
    <n v="5237"/>
    <s v=""/>
  </r>
  <r>
    <x v="19"/>
    <x v="19"/>
    <x v="15"/>
    <x v="0"/>
    <n v="8473"/>
    <n v="3005"/>
    <n v="5468"/>
    <s v=""/>
  </r>
  <r>
    <x v="19"/>
    <x v="19"/>
    <x v="15"/>
    <x v="78"/>
    <n v="1"/>
    <n v="1"/>
    <s v=""/>
    <s v=""/>
  </r>
  <r>
    <x v="19"/>
    <x v="19"/>
    <x v="15"/>
    <x v="79"/>
    <n v="25"/>
    <n v="6"/>
    <n v="19"/>
    <s v=""/>
  </r>
  <r>
    <x v="19"/>
    <x v="19"/>
    <x v="15"/>
    <x v="80"/>
    <n v="8447"/>
    <n v="2998"/>
    <n v="5449"/>
    <s v=""/>
  </r>
  <r>
    <x v="19"/>
    <x v="19"/>
    <x v="16"/>
    <x v="0"/>
    <n v="8657"/>
    <n v="3080"/>
    <n v="5577"/>
    <s v=""/>
  </r>
  <r>
    <x v="19"/>
    <x v="19"/>
    <x v="16"/>
    <x v="73"/>
    <n v="1"/>
    <n v="1"/>
    <s v=""/>
    <s v=""/>
  </r>
  <r>
    <x v="19"/>
    <x v="19"/>
    <x v="16"/>
    <x v="80"/>
    <n v="39"/>
    <n v="13"/>
    <n v="26"/>
    <s v=""/>
  </r>
  <r>
    <x v="19"/>
    <x v="19"/>
    <x v="16"/>
    <x v="81"/>
    <n v="8617"/>
    <n v="3066"/>
    <n v="5551"/>
    <s v=""/>
  </r>
  <r>
    <x v="19"/>
    <x v="19"/>
    <x v="17"/>
    <x v="0"/>
    <n v="9104"/>
    <n v="3231"/>
    <n v="5872"/>
    <n v="1"/>
  </r>
  <r>
    <x v="19"/>
    <x v="19"/>
    <x v="17"/>
    <x v="81"/>
    <n v="50"/>
    <n v="23"/>
    <n v="27"/>
    <s v=""/>
  </r>
  <r>
    <x v="19"/>
    <x v="19"/>
    <x v="17"/>
    <x v="82"/>
    <n v="9054"/>
    <n v="3208"/>
    <n v="5845"/>
    <n v="1"/>
  </r>
  <r>
    <x v="19"/>
    <x v="19"/>
    <x v="18"/>
    <x v="0"/>
    <n v="9455"/>
    <n v="3577"/>
    <n v="5878"/>
    <s v=""/>
  </r>
  <r>
    <x v="19"/>
    <x v="19"/>
    <x v="18"/>
    <x v="79"/>
    <n v="8"/>
    <n v="8"/>
    <s v=""/>
    <s v=""/>
  </r>
  <r>
    <x v="19"/>
    <x v="19"/>
    <x v="18"/>
    <x v="80"/>
    <n v="4"/>
    <n v="2"/>
    <n v="2"/>
    <s v=""/>
  </r>
  <r>
    <x v="19"/>
    <x v="19"/>
    <x v="18"/>
    <x v="82"/>
    <n v="27"/>
    <n v="14"/>
    <n v="13"/>
    <s v=""/>
  </r>
  <r>
    <x v="19"/>
    <x v="19"/>
    <x v="18"/>
    <x v="83"/>
    <n v="9416"/>
    <n v="3553"/>
    <n v="5863"/>
    <s v=""/>
  </r>
  <r>
    <x v="19"/>
    <x v="19"/>
    <x v="19"/>
    <x v="0"/>
    <n v="9841"/>
    <n v="3554"/>
    <n v="6287"/>
    <s v=""/>
  </r>
  <r>
    <x v="19"/>
    <x v="19"/>
    <x v="19"/>
    <x v="74"/>
    <n v="1"/>
    <n v="1"/>
    <s v=""/>
    <s v=""/>
  </r>
  <r>
    <x v="19"/>
    <x v="19"/>
    <x v="19"/>
    <x v="79"/>
    <n v="2"/>
    <n v="2"/>
    <s v=""/>
    <s v=""/>
  </r>
  <r>
    <x v="19"/>
    <x v="19"/>
    <x v="19"/>
    <x v="80"/>
    <n v="3"/>
    <n v="2"/>
    <n v="1"/>
    <s v=""/>
  </r>
  <r>
    <x v="19"/>
    <x v="19"/>
    <x v="19"/>
    <x v="81"/>
    <n v="3"/>
    <s v=""/>
    <n v="3"/>
    <s v=""/>
  </r>
  <r>
    <x v="19"/>
    <x v="19"/>
    <x v="19"/>
    <x v="83"/>
    <n v="39"/>
    <n v="20"/>
    <n v="19"/>
    <s v=""/>
  </r>
  <r>
    <x v="19"/>
    <x v="19"/>
    <x v="19"/>
    <x v="84"/>
    <n v="9793"/>
    <n v="3529"/>
    <n v="6264"/>
    <s v=""/>
  </r>
  <r>
    <x v="19"/>
    <x v="19"/>
    <x v="20"/>
    <x v="0"/>
    <n v="10908"/>
    <n v="3930"/>
    <n v="6977"/>
    <n v="1"/>
  </r>
  <r>
    <x v="19"/>
    <x v="19"/>
    <x v="20"/>
    <x v="83"/>
    <n v="1"/>
    <n v="1"/>
    <s v=""/>
    <s v=""/>
  </r>
  <r>
    <x v="19"/>
    <x v="19"/>
    <x v="20"/>
    <x v="84"/>
    <n v="56"/>
    <n v="29"/>
    <n v="27"/>
    <s v=""/>
  </r>
  <r>
    <x v="19"/>
    <x v="19"/>
    <x v="20"/>
    <x v="85"/>
    <n v="10851"/>
    <n v="3900"/>
    <n v="6950"/>
    <n v="1"/>
  </r>
  <r>
    <x v="19"/>
    <x v="19"/>
    <x v="21"/>
    <x v="0"/>
    <n v="10526"/>
    <n v="3948"/>
    <n v="6577"/>
    <n v="1"/>
  </r>
  <r>
    <x v="19"/>
    <x v="19"/>
    <x v="21"/>
    <x v="85"/>
    <n v="73"/>
    <n v="31"/>
    <n v="42"/>
    <s v=""/>
  </r>
  <r>
    <x v="19"/>
    <x v="19"/>
    <x v="21"/>
    <x v="86"/>
    <n v="10453"/>
    <n v="3917"/>
    <n v="6535"/>
    <n v="1"/>
  </r>
  <r>
    <x v="19"/>
    <x v="19"/>
    <x v="22"/>
    <x v="0"/>
    <n v="10940"/>
    <n v="4025"/>
    <n v="6915"/>
    <s v=""/>
  </r>
  <r>
    <x v="19"/>
    <x v="19"/>
    <x v="22"/>
    <x v="85"/>
    <n v="1"/>
    <s v=""/>
    <n v="1"/>
    <s v=""/>
  </r>
  <r>
    <x v="19"/>
    <x v="19"/>
    <x v="22"/>
    <x v="86"/>
    <n v="51"/>
    <n v="29"/>
    <n v="22"/>
    <s v=""/>
  </r>
  <r>
    <x v="19"/>
    <x v="19"/>
    <x v="22"/>
    <x v="87"/>
    <n v="10888"/>
    <n v="3996"/>
    <n v="6892"/>
    <s v=""/>
  </r>
  <r>
    <x v="19"/>
    <x v="19"/>
    <x v="23"/>
    <x v="0"/>
    <n v="11411"/>
    <n v="4241"/>
    <n v="7170"/>
    <s v=""/>
  </r>
  <r>
    <x v="19"/>
    <x v="19"/>
    <x v="23"/>
    <x v="87"/>
    <n v="55"/>
    <n v="29"/>
    <n v="26"/>
    <s v=""/>
  </r>
  <r>
    <x v="19"/>
    <x v="19"/>
    <x v="23"/>
    <x v="88"/>
    <n v="11356"/>
    <n v="4212"/>
    <n v="7144"/>
    <s v=""/>
  </r>
  <r>
    <x v="19"/>
    <x v="19"/>
    <x v="24"/>
    <x v="0"/>
    <n v="11976"/>
    <n v="4422"/>
    <n v="7554"/>
    <s v=""/>
  </r>
  <r>
    <x v="19"/>
    <x v="19"/>
    <x v="24"/>
    <x v="85"/>
    <n v="1"/>
    <s v=""/>
    <n v="1"/>
    <s v=""/>
  </r>
  <r>
    <x v="19"/>
    <x v="19"/>
    <x v="24"/>
    <x v="86"/>
    <n v="1"/>
    <s v=""/>
    <n v="1"/>
    <s v=""/>
  </r>
  <r>
    <x v="19"/>
    <x v="19"/>
    <x v="24"/>
    <x v="88"/>
    <n v="59"/>
    <n v="22"/>
    <n v="37"/>
    <s v=""/>
  </r>
  <r>
    <x v="19"/>
    <x v="19"/>
    <x v="24"/>
    <x v="89"/>
    <n v="11915"/>
    <n v="4400"/>
    <n v="7515"/>
    <s v=""/>
  </r>
  <r>
    <x v="19"/>
    <x v="19"/>
    <x v="25"/>
    <x v="0"/>
    <n v="12388"/>
    <n v="4484"/>
    <n v="7904"/>
    <s v=""/>
  </r>
  <r>
    <x v="19"/>
    <x v="19"/>
    <x v="25"/>
    <x v="87"/>
    <n v="1"/>
    <s v=""/>
    <n v="1"/>
    <s v=""/>
  </r>
  <r>
    <x v="19"/>
    <x v="19"/>
    <x v="25"/>
    <x v="89"/>
    <n v="64"/>
    <n v="35"/>
    <n v="29"/>
    <s v=""/>
  </r>
  <r>
    <x v="19"/>
    <x v="19"/>
    <x v="25"/>
    <x v="90"/>
    <n v="12323"/>
    <n v="4449"/>
    <n v="7874"/>
    <s v=""/>
  </r>
  <r>
    <x v="19"/>
    <x v="19"/>
    <x v="26"/>
    <x v="0"/>
    <n v="13113"/>
    <n v="4769"/>
    <n v="8344"/>
    <s v=""/>
  </r>
  <r>
    <x v="19"/>
    <x v="19"/>
    <x v="26"/>
    <x v="85"/>
    <n v="2"/>
    <n v="2"/>
    <s v=""/>
    <s v=""/>
  </r>
  <r>
    <x v="19"/>
    <x v="19"/>
    <x v="26"/>
    <x v="86"/>
    <n v="2"/>
    <n v="2"/>
    <s v=""/>
    <s v=""/>
  </r>
  <r>
    <x v="19"/>
    <x v="19"/>
    <x v="26"/>
    <x v="88"/>
    <n v="3"/>
    <n v="2"/>
    <n v="1"/>
    <s v=""/>
  </r>
  <r>
    <x v="19"/>
    <x v="19"/>
    <x v="26"/>
    <x v="90"/>
    <n v="50"/>
    <n v="23"/>
    <n v="27"/>
    <s v=""/>
  </r>
  <r>
    <x v="19"/>
    <x v="19"/>
    <x v="26"/>
    <x v="91"/>
    <n v="13056"/>
    <n v="4740"/>
    <n v="8316"/>
    <s v=""/>
  </r>
  <r>
    <x v="19"/>
    <x v="19"/>
    <x v="27"/>
    <x v="0"/>
    <n v="13245"/>
    <n v="4812"/>
    <n v="8433"/>
    <s v=""/>
  </r>
  <r>
    <x v="19"/>
    <x v="19"/>
    <x v="27"/>
    <x v="84"/>
    <n v="1"/>
    <n v="1"/>
    <s v=""/>
    <s v=""/>
  </r>
  <r>
    <x v="19"/>
    <x v="19"/>
    <x v="27"/>
    <x v="88"/>
    <n v="1"/>
    <s v=""/>
    <n v="1"/>
    <s v=""/>
  </r>
  <r>
    <x v="19"/>
    <x v="19"/>
    <x v="27"/>
    <x v="91"/>
    <n v="56"/>
    <n v="23"/>
    <n v="33"/>
    <s v=""/>
  </r>
  <r>
    <x v="19"/>
    <x v="19"/>
    <x v="27"/>
    <x v="92"/>
    <n v="13187"/>
    <n v="4788"/>
    <n v="8399"/>
    <s v=""/>
  </r>
  <r>
    <x v="19"/>
    <x v="19"/>
    <x v="28"/>
    <x v="0"/>
    <n v="13852"/>
    <n v="4996"/>
    <n v="8856"/>
    <s v=""/>
  </r>
  <r>
    <x v="19"/>
    <x v="19"/>
    <x v="28"/>
    <x v="92"/>
    <n v="64"/>
    <n v="28"/>
    <n v="36"/>
    <s v=""/>
  </r>
  <r>
    <x v="19"/>
    <x v="19"/>
    <x v="28"/>
    <x v="93"/>
    <n v="13788"/>
    <n v="4968"/>
    <n v="8820"/>
    <s v=""/>
  </r>
  <r>
    <x v="19"/>
    <x v="19"/>
    <x v="29"/>
    <x v="0"/>
    <n v="13671"/>
    <n v="4988"/>
    <n v="8683"/>
    <s v=""/>
  </r>
  <r>
    <x v="19"/>
    <x v="19"/>
    <x v="29"/>
    <x v="93"/>
    <n v="69"/>
    <n v="36"/>
    <n v="33"/>
    <s v=""/>
  </r>
  <r>
    <x v="19"/>
    <x v="19"/>
    <x v="29"/>
    <x v="94"/>
    <n v="13602"/>
    <n v="4952"/>
    <n v="8650"/>
    <s v=""/>
  </r>
  <r>
    <x v="19"/>
    <x v="19"/>
    <x v="30"/>
    <x v="0"/>
    <n v="17813"/>
    <n v="7225"/>
    <n v="10588"/>
    <s v=""/>
  </r>
  <r>
    <x v="19"/>
    <x v="19"/>
    <x v="30"/>
    <x v="94"/>
    <n v="61"/>
    <n v="25"/>
    <n v="36"/>
    <s v=""/>
  </r>
  <r>
    <x v="19"/>
    <x v="19"/>
    <x v="30"/>
    <x v="95"/>
    <n v="17752"/>
    <n v="7200"/>
    <n v="10552"/>
    <s v=""/>
  </r>
  <r>
    <x v="19"/>
    <x v="19"/>
    <x v="31"/>
    <x v="0"/>
    <n v="17472"/>
    <n v="6886"/>
    <n v="10586"/>
    <s v=""/>
  </r>
  <r>
    <x v="19"/>
    <x v="19"/>
    <x v="31"/>
    <x v="88"/>
    <n v="1"/>
    <s v=""/>
    <n v="1"/>
    <s v=""/>
  </r>
  <r>
    <x v="19"/>
    <x v="19"/>
    <x v="31"/>
    <x v="95"/>
    <n v="94"/>
    <n v="50"/>
    <n v="44"/>
    <s v=""/>
  </r>
  <r>
    <x v="19"/>
    <x v="19"/>
    <x v="31"/>
    <x v="96"/>
    <n v="17377"/>
    <n v="6836"/>
    <n v="10541"/>
    <s v=""/>
  </r>
  <r>
    <x v="19"/>
    <x v="19"/>
    <x v="32"/>
    <x v="0"/>
    <n v="16154"/>
    <n v="5954"/>
    <n v="10200"/>
    <s v=""/>
  </r>
  <r>
    <x v="19"/>
    <x v="19"/>
    <x v="32"/>
    <x v="81"/>
    <n v="3"/>
    <n v="3"/>
    <s v=""/>
    <s v=""/>
  </r>
  <r>
    <x v="19"/>
    <x v="19"/>
    <x v="32"/>
    <x v="82"/>
    <n v="3"/>
    <n v="2"/>
    <n v="1"/>
    <s v=""/>
  </r>
  <r>
    <x v="19"/>
    <x v="19"/>
    <x v="32"/>
    <x v="83"/>
    <n v="2"/>
    <n v="2"/>
    <s v=""/>
    <s v=""/>
  </r>
  <r>
    <x v="19"/>
    <x v="19"/>
    <x v="32"/>
    <x v="84"/>
    <n v="9"/>
    <n v="3"/>
    <n v="6"/>
    <s v=""/>
  </r>
  <r>
    <x v="19"/>
    <x v="19"/>
    <x v="32"/>
    <x v="85"/>
    <n v="4"/>
    <n v="2"/>
    <n v="2"/>
    <s v=""/>
  </r>
  <r>
    <x v="19"/>
    <x v="19"/>
    <x v="32"/>
    <x v="94"/>
    <n v="4"/>
    <n v="2"/>
    <n v="2"/>
    <s v=""/>
  </r>
  <r>
    <x v="19"/>
    <x v="19"/>
    <x v="32"/>
    <x v="95"/>
    <n v="3"/>
    <s v=""/>
    <n v="3"/>
    <s v=""/>
  </r>
  <r>
    <x v="19"/>
    <x v="19"/>
    <x v="32"/>
    <x v="96"/>
    <n v="45"/>
    <n v="20"/>
    <n v="25"/>
    <s v=""/>
  </r>
  <r>
    <x v="19"/>
    <x v="19"/>
    <x v="32"/>
    <x v="97"/>
    <n v="16081"/>
    <n v="5920"/>
    <n v="10161"/>
    <s v=""/>
  </r>
  <r>
    <x v="19"/>
    <x v="19"/>
    <x v="33"/>
    <x v="0"/>
    <n v="14698"/>
    <n v="5330"/>
    <n v="9368"/>
    <s v=""/>
  </r>
  <r>
    <x v="19"/>
    <x v="19"/>
    <x v="33"/>
    <x v="94"/>
    <n v="1"/>
    <n v="1"/>
    <s v=""/>
    <s v=""/>
  </r>
  <r>
    <x v="19"/>
    <x v="19"/>
    <x v="33"/>
    <x v="97"/>
    <n v="52"/>
    <n v="16"/>
    <n v="36"/>
    <s v=""/>
  </r>
  <r>
    <x v="19"/>
    <x v="19"/>
    <x v="33"/>
    <x v="98"/>
    <n v="14645"/>
    <n v="5313"/>
    <n v="9332"/>
    <s v=""/>
  </r>
  <r>
    <x v="19"/>
    <x v="19"/>
    <x v="34"/>
    <x v="0"/>
    <n v="15334"/>
    <n v="5372"/>
    <n v="9962"/>
    <s v=""/>
  </r>
  <r>
    <x v="19"/>
    <x v="19"/>
    <x v="34"/>
    <x v="98"/>
    <n v="61"/>
    <n v="24"/>
    <n v="37"/>
    <s v=""/>
  </r>
  <r>
    <x v="19"/>
    <x v="19"/>
    <x v="34"/>
    <x v="99"/>
    <n v="15272"/>
    <n v="5347"/>
    <n v="9925"/>
    <s v=""/>
  </r>
  <r>
    <x v="19"/>
    <x v="19"/>
    <x v="34"/>
    <x v="2"/>
    <n v="1"/>
    <n v="1"/>
    <s v=""/>
    <s v=""/>
  </r>
  <r>
    <x v="20"/>
    <x v="20"/>
    <x v="0"/>
    <x v="0"/>
    <n v="44"/>
    <n v="23"/>
    <n v="21"/>
    <s v=""/>
  </r>
  <r>
    <x v="20"/>
    <x v="20"/>
    <x v="0"/>
    <x v="1"/>
    <n v="42"/>
    <n v="21"/>
    <n v="21"/>
    <s v=""/>
  </r>
  <r>
    <x v="20"/>
    <x v="20"/>
    <x v="0"/>
    <x v="2"/>
    <n v="2"/>
    <n v="2"/>
    <s v=""/>
    <s v=""/>
  </r>
  <r>
    <x v="20"/>
    <x v="20"/>
    <x v="1"/>
    <x v="0"/>
    <n v="28"/>
    <n v="10"/>
    <n v="18"/>
    <s v=""/>
  </r>
  <r>
    <x v="20"/>
    <x v="20"/>
    <x v="1"/>
    <x v="4"/>
    <n v="26"/>
    <n v="8"/>
    <n v="18"/>
    <s v=""/>
  </r>
  <r>
    <x v="20"/>
    <x v="20"/>
    <x v="1"/>
    <x v="2"/>
    <n v="2"/>
    <n v="2"/>
    <s v=""/>
    <s v=""/>
  </r>
  <r>
    <x v="20"/>
    <x v="20"/>
    <x v="2"/>
    <x v="0"/>
    <n v="27"/>
    <n v="16"/>
    <n v="11"/>
    <s v=""/>
  </r>
  <r>
    <x v="20"/>
    <x v="20"/>
    <x v="2"/>
    <x v="5"/>
    <n v="25"/>
    <n v="14"/>
    <n v="11"/>
    <s v=""/>
  </r>
  <r>
    <x v="20"/>
    <x v="20"/>
    <x v="2"/>
    <x v="2"/>
    <n v="2"/>
    <n v="2"/>
    <s v=""/>
    <s v=""/>
  </r>
  <r>
    <x v="20"/>
    <x v="20"/>
    <x v="3"/>
    <x v="0"/>
    <n v="26"/>
    <n v="12"/>
    <n v="14"/>
    <s v=""/>
  </r>
  <r>
    <x v="20"/>
    <x v="20"/>
    <x v="3"/>
    <x v="18"/>
    <n v="26"/>
    <n v="12"/>
    <n v="14"/>
    <s v=""/>
  </r>
  <r>
    <x v="20"/>
    <x v="20"/>
    <x v="4"/>
    <x v="0"/>
    <n v="29"/>
    <n v="15"/>
    <n v="14"/>
    <s v=""/>
  </r>
  <r>
    <x v="20"/>
    <x v="20"/>
    <x v="4"/>
    <x v="18"/>
    <n v="1"/>
    <n v="1"/>
    <s v=""/>
    <s v=""/>
  </r>
  <r>
    <x v="20"/>
    <x v="20"/>
    <x v="4"/>
    <x v="30"/>
    <n v="28"/>
    <n v="14"/>
    <n v="14"/>
    <s v=""/>
  </r>
  <r>
    <x v="20"/>
    <x v="20"/>
    <x v="5"/>
    <x v="0"/>
    <n v="28"/>
    <n v="9"/>
    <n v="19"/>
    <s v=""/>
  </r>
  <r>
    <x v="20"/>
    <x v="20"/>
    <x v="5"/>
    <x v="44"/>
    <n v="28"/>
    <n v="9"/>
    <n v="19"/>
    <s v=""/>
  </r>
  <r>
    <x v="20"/>
    <x v="20"/>
    <x v="6"/>
    <x v="0"/>
    <n v="20"/>
    <n v="9"/>
    <n v="11"/>
    <s v=""/>
  </r>
  <r>
    <x v="20"/>
    <x v="20"/>
    <x v="6"/>
    <x v="50"/>
    <n v="20"/>
    <n v="9"/>
    <n v="11"/>
    <s v=""/>
  </r>
  <r>
    <x v="20"/>
    <x v="20"/>
    <x v="7"/>
    <x v="0"/>
    <n v="21"/>
    <n v="12"/>
    <n v="9"/>
    <s v=""/>
  </r>
  <r>
    <x v="20"/>
    <x v="20"/>
    <x v="7"/>
    <x v="57"/>
    <n v="21"/>
    <n v="12"/>
    <n v="9"/>
    <s v=""/>
  </r>
  <r>
    <x v="20"/>
    <x v="20"/>
    <x v="8"/>
    <x v="0"/>
    <n v="13"/>
    <n v="8"/>
    <n v="5"/>
    <s v=""/>
  </r>
  <r>
    <x v="20"/>
    <x v="20"/>
    <x v="8"/>
    <x v="69"/>
    <n v="13"/>
    <n v="8"/>
    <n v="5"/>
    <s v=""/>
  </r>
  <r>
    <x v="20"/>
    <x v="20"/>
    <x v="9"/>
    <x v="0"/>
    <n v="17"/>
    <n v="11"/>
    <n v="6"/>
    <s v=""/>
  </r>
  <r>
    <x v="20"/>
    <x v="20"/>
    <x v="9"/>
    <x v="71"/>
    <n v="17"/>
    <n v="11"/>
    <n v="6"/>
    <s v=""/>
  </r>
  <r>
    <x v="20"/>
    <x v="20"/>
    <x v="10"/>
    <x v="0"/>
    <n v="33"/>
    <n v="19"/>
    <n v="14"/>
    <s v=""/>
  </r>
  <r>
    <x v="20"/>
    <x v="20"/>
    <x v="10"/>
    <x v="73"/>
    <n v="33"/>
    <n v="19"/>
    <n v="14"/>
    <s v=""/>
  </r>
  <r>
    <x v="20"/>
    <x v="20"/>
    <x v="11"/>
    <x v="0"/>
    <n v="19"/>
    <n v="11"/>
    <n v="8"/>
    <s v=""/>
  </r>
  <r>
    <x v="20"/>
    <x v="20"/>
    <x v="11"/>
    <x v="74"/>
    <n v="19"/>
    <n v="11"/>
    <n v="8"/>
    <s v=""/>
  </r>
  <r>
    <x v="20"/>
    <x v="20"/>
    <x v="12"/>
    <x v="0"/>
    <n v="15"/>
    <n v="10"/>
    <n v="5"/>
    <s v=""/>
  </r>
  <r>
    <x v="20"/>
    <x v="20"/>
    <x v="12"/>
    <x v="77"/>
    <n v="14"/>
    <n v="9"/>
    <n v="5"/>
    <s v=""/>
  </r>
  <r>
    <x v="20"/>
    <x v="20"/>
    <x v="12"/>
    <x v="2"/>
    <n v="1"/>
    <n v="1"/>
    <s v=""/>
    <s v=""/>
  </r>
  <r>
    <x v="20"/>
    <x v="20"/>
    <x v="13"/>
    <x v="0"/>
    <n v="26"/>
    <n v="20"/>
    <n v="6"/>
    <s v=""/>
  </r>
  <r>
    <x v="20"/>
    <x v="20"/>
    <x v="13"/>
    <x v="77"/>
    <n v="4"/>
    <n v="3"/>
    <n v="1"/>
    <s v=""/>
  </r>
  <r>
    <x v="20"/>
    <x v="20"/>
    <x v="13"/>
    <x v="78"/>
    <n v="22"/>
    <n v="17"/>
    <n v="5"/>
    <s v=""/>
  </r>
  <r>
    <x v="20"/>
    <x v="20"/>
    <x v="14"/>
    <x v="0"/>
    <n v="18"/>
    <n v="12"/>
    <n v="6"/>
    <s v=""/>
  </r>
  <r>
    <x v="20"/>
    <x v="20"/>
    <x v="14"/>
    <x v="74"/>
    <n v="1"/>
    <n v="1"/>
    <s v=""/>
    <s v=""/>
  </r>
  <r>
    <x v="20"/>
    <x v="20"/>
    <x v="14"/>
    <x v="79"/>
    <n v="17"/>
    <n v="11"/>
    <n v="6"/>
    <s v=""/>
  </r>
  <r>
    <x v="20"/>
    <x v="20"/>
    <x v="15"/>
    <x v="0"/>
    <n v="31"/>
    <n v="19"/>
    <n v="12"/>
    <s v=""/>
  </r>
  <r>
    <x v="20"/>
    <x v="20"/>
    <x v="15"/>
    <x v="80"/>
    <n v="31"/>
    <n v="19"/>
    <n v="12"/>
    <s v=""/>
  </r>
  <r>
    <x v="20"/>
    <x v="20"/>
    <x v="16"/>
    <x v="0"/>
    <n v="36"/>
    <n v="23"/>
    <n v="13"/>
    <s v=""/>
  </r>
  <r>
    <x v="20"/>
    <x v="20"/>
    <x v="16"/>
    <x v="80"/>
    <n v="26"/>
    <n v="18"/>
    <n v="8"/>
    <s v=""/>
  </r>
  <r>
    <x v="20"/>
    <x v="20"/>
    <x v="16"/>
    <x v="81"/>
    <n v="10"/>
    <n v="5"/>
    <n v="5"/>
    <s v=""/>
  </r>
  <r>
    <x v="20"/>
    <x v="20"/>
    <x v="17"/>
    <x v="0"/>
    <n v="49"/>
    <n v="41"/>
    <n v="7"/>
    <n v="1"/>
  </r>
  <r>
    <x v="20"/>
    <x v="20"/>
    <x v="17"/>
    <x v="81"/>
    <n v="30"/>
    <n v="27"/>
    <n v="2"/>
    <n v="1"/>
  </r>
  <r>
    <x v="20"/>
    <x v="20"/>
    <x v="17"/>
    <x v="82"/>
    <n v="19"/>
    <n v="14"/>
    <n v="5"/>
    <s v=""/>
  </r>
  <r>
    <x v="20"/>
    <x v="20"/>
    <x v="18"/>
    <x v="0"/>
    <n v="61"/>
    <n v="46"/>
    <n v="13"/>
    <n v="2"/>
  </r>
  <r>
    <x v="20"/>
    <x v="20"/>
    <x v="18"/>
    <x v="79"/>
    <n v="14"/>
    <n v="12"/>
    <n v="2"/>
    <s v=""/>
  </r>
  <r>
    <x v="20"/>
    <x v="20"/>
    <x v="18"/>
    <x v="80"/>
    <n v="11"/>
    <n v="9"/>
    <n v="2"/>
    <s v=""/>
  </r>
  <r>
    <x v="20"/>
    <x v="20"/>
    <x v="18"/>
    <x v="81"/>
    <n v="1"/>
    <s v=""/>
    <n v="1"/>
    <s v=""/>
  </r>
  <r>
    <x v="20"/>
    <x v="20"/>
    <x v="18"/>
    <x v="82"/>
    <n v="22"/>
    <n v="17"/>
    <n v="5"/>
    <s v=""/>
  </r>
  <r>
    <x v="20"/>
    <x v="20"/>
    <x v="18"/>
    <x v="83"/>
    <n v="13"/>
    <n v="8"/>
    <n v="3"/>
    <n v="2"/>
  </r>
  <r>
    <x v="20"/>
    <x v="20"/>
    <x v="19"/>
    <x v="0"/>
    <n v="29"/>
    <n v="22"/>
    <n v="7"/>
    <s v=""/>
  </r>
  <r>
    <x v="20"/>
    <x v="20"/>
    <x v="19"/>
    <x v="79"/>
    <n v="3"/>
    <n v="1"/>
    <n v="2"/>
    <s v=""/>
  </r>
  <r>
    <x v="20"/>
    <x v="20"/>
    <x v="19"/>
    <x v="81"/>
    <n v="1"/>
    <s v=""/>
    <n v="1"/>
    <s v=""/>
  </r>
  <r>
    <x v="20"/>
    <x v="20"/>
    <x v="19"/>
    <x v="83"/>
    <n v="19"/>
    <n v="16"/>
    <n v="3"/>
    <s v=""/>
  </r>
  <r>
    <x v="20"/>
    <x v="20"/>
    <x v="19"/>
    <x v="84"/>
    <n v="6"/>
    <n v="5"/>
    <n v="1"/>
    <s v=""/>
  </r>
  <r>
    <x v="20"/>
    <x v="20"/>
    <x v="20"/>
    <x v="0"/>
    <n v="15"/>
    <n v="11"/>
    <n v="3"/>
    <n v="1"/>
  </r>
  <r>
    <x v="20"/>
    <x v="20"/>
    <x v="20"/>
    <x v="84"/>
    <n v="4"/>
    <n v="1"/>
    <n v="2"/>
    <n v="1"/>
  </r>
  <r>
    <x v="20"/>
    <x v="20"/>
    <x v="20"/>
    <x v="85"/>
    <n v="11"/>
    <n v="10"/>
    <n v="1"/>
    <s v=""/>
  </r>
  <r>
    <x v="20"/>
    <x v="20"/>
    <x v="21"/>
    <x v="0"/>
    <n v="41"/>
    <n v="30"/>
    <n v="11"/>
    <s v=""/>
  </r>
  <r>
    <x v="20"/>
    <x v="20"/>
    <x v="21"/>
    <x v="85"/>
    <n v="20"/>
    <n v="15"/>
    <n v="5"/>
    <s v=""/>
  </r>
  <r>
    <x v="20"/>
    <x v="20"/>
    <x v="21"/>
    <x v="86"/>
    <n v="21"/>
    <n v="15"/>
    <n v="6"/>
    <s v=""/>
  </r>
  <r>
    <x v="20"/>
    <x v="20"/>
    <x v="22"/>
    <x v="0"/>
    <n v="76"/>
    <n v="66"/>
    <n v="8"/>
    <n v="2"/>
  </r>
  <r>
    <x v="20"/>
    <x v="20"/>
    <x v="22"/>
    <x v="86"/>
    <n v="33"/>
    <n v="29"/>
    <n v="4"/>
    <s v=""/>
  </r>
  <r>
    <x v="20"/>
    <x v="20"/>
    <x v="22"/>
    <x v="87"/>
    <n v="43"/>
    <n v="37"/>
    <n v="4"/>
    <n v="2"/>
  </r>
  <r>
    <x v="20"/>
    <x v="20"/>
    <x v="23"/>
    <x v="0"/>
    <n v="42"/>
    <n v="34"/>
    <n v="6"/>
    <n v="2"/>
  </r>
  <r>
    <x v="20"/>
    <x v="20"/>
    <x v="23"/>
    <x v="87"/>
    <n v="23"/>
    <n v="19"/>
    <n v="3"/>
    <n v="1"/>
  </r>
  <r>
    <x v="20"/>
    <x v="20"/>
    <x v="23"/>
    <x v="88"/>
    <n v="19"/>
    <n v="15"/>
    <n v="3"/>
    <n v="1"/>
  </r>
  <r>
    <x v="20"/>
    <x v="20"/>
    <x v="24"/>
    <x v="0"/>
    <n v="31"/>
    <n v="27"/>
    <n v="3"/>
    <n v="1"/>
  </r>
  <r>
    <x v="20"/>
    <x v="20"/>
    <x v="24"/>
    <x v="88"/>
    <n v="13"/>
    <n v="12"/>
    <n v="1"/>
    <s v=""/>
  </r>
  <r>
    <x v="20"/>
    <x v="20"/>
    <x v="24"/>
    <x v="89"/>
    <n v="18"/>
    <n v="15"/>
    <n v="2"/>
    <n v="1"/>
  </r>
  <r>
    <x v="20"/>
    <x v="20"/>
    <x v="25"/>
    <x v="0"/>
    <n v="18"/>
    <n v="15"/>
    <n v="2"/>
    <n v="1"/>
  </r>
  <r>
    <x v="20"/>
    <x v="20"/>
    <x v="25"/>
    <x v="89"/>
    <n v="5"/>
    <n v="3"/>
    <n v="1"/>
    <n v="1"/>
  </r>
  <r>
    <x v="20"/>
    <x v="20"/>
    <x v="25"/>
    <x v="90"/>
    <n v="13"/>
    <n v="12"/>
    <n v="1"/>
    <s v=""/>
  </r>
  <r>
    <x v="20"/>
    <x v="20"/>
    <x v="26"/>
    <x v="0"/>
    <n v="41"/>
    <n v="35"/>
    <n v="6"/>
    <s v=""/>
  </r>
  <r>
    <x v="20"/>
    <x v="20"/>
    <x v="26"/>
    <x v="81"/>
    <n v="1"/>
    <n v="1"/>
    <s v=""/>
    <s v=""/>
  </r>
  <r>
    <x v="20"/>
    <x v="20"/>
    <x v="26"/>
    <x v="82"/>
    <n v="3"/>
    <n v="3"/>
    <s v=""/>
    <s v=""/>
  </r>
  <r>
    <x v="20"/>
    <x v="20"/>
    <x v="26"/>
    <x v="84"/>
    <n v="3"/>
    <n v="3"/>
    <s v=""/>
    <s v=""/>
  </r>
  <r>
    <x v="20"/>
    <x v="20"/>
    <x v="26"/>
    <x v="90"/>
    <n v="13"/>
    <n v="11"/>
    <n v="2"/>
    <s v=""/>
  </r>
  <r>
    <x v="20"/>
    <x v="20"/>
    <x v="26"/>
    <x v="91"/>
    <n v="20"/>
    <n v="16"/>
    <n v="4"/>
    <s v=""/>
  </r>
  <r>
    <x v="20"/>
    <x v="20"/>
    <x v="26"/>
    <x v="2"/>
    <n v="1"/>
    <n v="1"/>
    <s v=""/>
    <s v=""/>
  </r>
  <r>
    <x v="20"/>
    <x v="20"/>
    <x v="27"/>
    <x v="0"/>
    <n v="5"/>
    <n v="4"/>
    <n v="1"/>
    <s v=""/>
  </r>
  <r>
    <x v="20"/>
    <x v="20"/>
    <x v="27"/>
    <x v="91"/>
    <n v="4"/>
    <n v="3"/>
    <n v="1"/>
    <s v=""/>
  </r>
  <r>
    <x v="20"/>
    <x v="20"/>
    <x v="27"/>
    <x v="92"/>
    <n v="1"/>
    <n v="1"/>
    <s v=""/>
    <s v=""/>
  </r>
  <r>
    <x v="20"/>
    <x v="20"/>
    <x v="28"/>
    <x v="0"/>
    <n v="11"/>
    <n v="10"/>
    <n v="1"/>
    <s v=""/>
  </r>
  <r>
    <x v="20"/>
    <x v="20"/>
    <x v="28"/>
    <x v="92"/>
    <n v="6"/>
    <n v="6"/>
    <s v=""/>
    <s v=""/>
  </r>
  <r>
    <x v="20"/>
    <x v="20"/>
    <x v="28"/>
    <x v="93"/>
    <n v="5"/>
    <n v="4"/>
    <n v="1"/>
    <s v=""/>
  </r>
  <r>
    <x v="20"/>
    <x v="20"/>
    <x v="29"/>
    <x v="0"/>
    <n v="11"/>
    <n v="6"/>
    <n v="5"/>
    <s v=""/>
  </r>
  <r>
    <x v="20"/>
    <x v="20"/>
    <x v="29"/>
    <x v="93"/>
    <n v="10"/>
    <n v="5"/>
    <n v="5"/>
    <s v=""/>
  </r>
  <r>
    <x v="20"/>
    <x v="20"/>
    <x v="29"/>
    <x v="94"/>
    <n v="1"/>
    <n v="1"/>
    <s v=""/>
    <s v=""/>
  </r>
  <r>
    <x v="20"/>
    <x v="20"/>
    <x v="30"/>
    <x v="0"/>
    <n v="7"/>
    <n v="5"/>
    <n v="2"/>
    <s v=""/>
  </r>
  <r>
    <x v="20"/>
    <x v="20"/>
    <x v="30"/>
    <x v="94"/>
    <n v="4"/>
    <n v="3"/>
    <n v="1"/>
    <s v=""/>
  </r>
  <r>
    <x v="20"/>
    <x v="20"/>
    <x v="30"/>
    <x v="95"/>
    <n v="3"/>
    <n v="2"/>
    <n v="1"/>
    <s v=""/>
  </r>
  <r>
    <x v="20"/>
    <x v="20"/>
    <x v="31"/>
    <x v="0"/>
    <n v="4"/>
    <n v="4"/>
    <s v=""/>
    <s v=""/>
  </r>
  <r>
    <x v="20"/>
    <x v="20"/>
    <x v="31"/>
    <x v="95"/>
    <n v="2"/>
    <n v="2"/>
    <s v=""/>
    <s v=""/>
  </r>
  <r>
    <x v="20"/>
    <x v="20"/>
    <x v="31"/>
    <x v="96"/>
    <n v="2"/>
    <n v="2"/>
    <s v=""/>
    <s v=""/>
  </r>
  <r>
    <x v="20"/>
    <x v="20"/>
    <x v="32"/>
    <x v="0"/>
    <n v="10"/>
    <n v="8"/>
    <n v="2"/>
    <s v=""/>
  </r>
  <r>
    <x v="20"/>
    <x v="20"/>
    <x v="32"/>
    <x v="82"/>
    <n v="5"/>
    <n v="3"/>
    <n v="2"/>
    <s v=""/>
  </r>
  <r>
    <x v="20"/>
    <x v="20"/>
    <x v="32"/>
    <x v="85"/>
    <n v="2"/>
    <n v="2"/>
    <s v=""/>
    <s v=""/>
  </r>
  <r>
    <x v="20"/>
    <x v="20"/>
    <x v="32"/>
    <x v="97"/>
    <n v="3"/>
    <n v="3"/>
    <s v=""/>
    <s v=""/>
  </r>
  <r>
    <x v="20"/>
    <x v="20"/>
    <x v="33"/>
    <x v="0"/>
    <n v="1"/>
    <s v=""/>
    <n v="1"/>
    <s v=""/>
  </r>
  <r>
    <x v="20"/>
    <x v="20"/>
    <x v="33"/>
    <x v="98"/>
    <n v="1"/>
    <s v=""/>
    <n v="1"/>
    <s v=""/>
  </r>
  <r>
    <x v="20"/>
    <x v="20"/>
    <x v="34"/>
    <x v="0"/>
    <n v="2"/>
    <n v="2"/>
    <s v=""/>
    <s v=""/>
  </r>
  <r>
    <x v="20"/>
    <x v="20"/>
    <x v="34"/>
    <x v="99"/>
    <n v="2"/>
    <n v="2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18DEF9-FECE-435D-81D9-DE1D91356FA4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K6:M42" firstHeaderRow="0" firstDataRow="1" firstDataCol="1" rowPageCount="1" colPageCount="1"/>
  <pivotFields count="8">
    <pivotField showAll="0"/>
    <pivotField showAll="0">
      <items count="42">
        <item x="1"/>
        <item x="2"/>
        <item x="3"/>
        <item x="20"/>
        <item x="0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f="1" x="21"/>
        <item f="1" x="22"/>
        <item f="1" x="23"/>
        <item f="1" x="24"/>
        <item f="1" x="25"/>
        <item f="1" x="26"/>
        <item f="1" x="27"/>
        <item f="1" x="28"/>
        <item f="1" x="29"/>
        <item f="1" x="30"/>
        <item f="1" x="31"/>
        <item f="1" x="32"/>
        <item f="1" x="33"/>
        <item f="1" x="34"/>
        <item f="1" x="35"/>
        <item f="1" x="36"/>
        <item f="1" x="37"/>
        <item f="1" x="38"/>
        <item f="1" x="39"/>
        <item f="1" x="40"/>
        <item t="default"/>
      </items>
    </pivotField>
    <pivotField axis="axisPage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axis="axisRow" showAll="0">
      <items count="101">
        <item x="58"/>
        <item x="31"/>
        <item x="6"/>
        <item x="19"/>
        <item x="32"/>
        <item x="7"/>
        <item x="8"/>
        <item x="59"/>
        <item x="9"/>
        <item x="20"/>
        <item x="21"/>
        <item x="10"/>
        <item x="11"/>
        <item x="33"/>
        <item x="34"/>
        <item x="51"/>
        <item x="60"/>
        <item x="70"/>
        <item x="45"/>
        <item x="75"/>
        <item x="12"/>
        <item x="35"/>
        <item x="76"/>
        <item x="13"/>
        <item x="72"/>
        <item x="14"/>
        <item x="22"/>
        <item x="15"/>
        <item x="23"/>
        <item x="36"/>
        <item x="46"/>
        <item x="52"/>
        <item x="61"/>
        <item x="24"/>
        <item x="37"/>
        <item x="38"/>
        <item x="25"/>
        <item x="39"/>
        <item x="53"/>
        <item x="54"/>
        <item x="62"/>
        <item x="63"/>
        <item x="64"/>
        <item x="40"/>
        <item x="47"/>
        <item x="65"/>
        <item x="55"/>
        <item x="16"/>
        <item x="26"/>
        <item x="41"/>
        <item x="48"/>
        <item x="56"/>
        <item x="27"/>
        <item x="66"/>
        <item x="67"/>
        <item x="68"/>
        <item x="17"/>
        <item x="28"/>
        <item x="42"/>
        <item x="49"/>
        <item x="43"/>
        <item x="29"/>
        <item x="3"/>
        <item x="1"/>
        <item x="4"/>
        <item x="5"/>
        <item x="18"/>
        <item x="30"/>
        <item x="44"/>
        <item x="50"/>
        <item x="57"/>
        <item x="69"/>
        <item x="71"/>
        <item x="73"/>
        <item x="74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h="1" x="2"/>
        <item h="1" x="0"/>
        <item t="default"/>
      </items>
    </pivotField>
    <pivotField showAll="0"/>
    <pivotField dataField="1" showAll="0"/>
    <pivotField dataField="1" showAll="0"/>
    <pivotField showAll="0"/>
  </pivotFields>
  <rowFields count="1">
    <field x="3"/>
  </rowFields>
  <rowItems count="36"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Suma de Hombre" fld="5" baseField="0" baseItem="0"/>
    <dataField name="Suma de Mujer" fld="6" baseField="0" baseItem="0"/>
  </dataFields>
  <chartFormats count="2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aptionGreaterThanOrEqual" evalOrder="-1" id="2" stringValue1="1990">
      <autoFilter ref="A1">
        <filterColumn colId="0">
          <customFilters>
            <customFilter operator="greaterThanOrEqual" val="199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20637E-9BC9-495A-873D-A269B82D4E05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A6:AC28" firstHeaderRow="0" firstDataRow="1" firstDataCol="1" rowPageCount="2" colPageCount="1"/>
  <pivotFields count="8">
    <pivotField showAll="0">
      <items count="22">
        <item x="2"/>
        <item x="4"/>
        <item x="5"/>
        <item x="6"/>
        <item x="7"/>
        <item x="8"/>
        <item x="9"/>
        <item x="10"/>
        <item x="11"/>
        <item x="3"/>
        <item x="12"/>
        <item x="13"/>
        <item x="14"/>
        <item x="15"/>
        <item x="16"/>
        <item x="17"/>
        <item x="18"/>
        <item x="19"/>
        <item x="1"/>
        <item x="20"/>
        <item x="0"/>
        <item t="default"/>
      </items>
    </pivotField>
    <pivotField axis="axisRow" showAll="0">
      <items count="42">
        <item x="1"/>
        <item h="1" f="1" x="21"/>
        <item h="1" f="1" x="22"/>
        <item h="1" f="1" x="23"/>
        <item h="1" f="1" x="24"/>
        <item h="1" f="1" x="25"/>
        <item h="1" f="1" x="26"/>
        <item h="1" f="1" x="27"/>
        <item h="1" f="1" x="28"/>
        <item h="1" f="1" x="29"/>
        <item h="1" f="1" x="30"/>
        <item h="1" f="1" x="31"/>
        <item h="1" f="1" x="32"/>
        <item h="1" f="1" x="33"/>
        <item h="1" f="1" x="34"/>
        <item h="1" f="1" x="35"/>
        <item h="1" f="1" x="36"/>
        <item h="1" f="1" x="37"/>
        <item h="1" f="1" x="38"/>
        <item h="1" f="1" x="39"/>
        <item h="1" f="1" x="4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0"/>
        <item t="default"/>
      </items>
    </pivotField>
    <pivotField axis="axisPage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axis="axisPage" multipleItemSelectionAllowed="1" showAll="0">
      <items count="101">
        <item x="58"/>
        <item x="31"/>
        <item x="6"/>
        <item x="19"/>
        <item x="32"/>
        <item x="7"/>
        <item x="8"/>
        <item x="59"/>
        <item x="9"/>
        <item x="20"/>
        <item x="21"/>
        <item x="10"/>
        <item x="11"/>
        <item x="33"/>
        <item x="34"/>
        <item x="51"/>
        <item x="60"/>
        <item x="70"/>
        <item x="45"/>
        <item x="75"/>
        <item x="12"/>
        <item x="35"/>
        <item x="76"/>
        <item x="13"/>
        <item x="72"/>
        <item x="14"/>
        <item x="22"/>
        <item x="15"/>
        <item x="23"/>
        <item x="36"/>
        <item x="46"/>
        <item x="52"/>
        <item x="61"/>
        <item x="24"/>
        <item x="37"/>
        <item x="38"/>
        <item x="25"/>
        <item x="39"/>
        <item x="53"/>
        <item x="54"/>
        <item x="62"/>
        <item x="63"/>
        <item x="64"/>
        <item x="40"/>
        <item x="47"/>
        <item x="65"/>
        <item x="55"/>
        <item x="16"/>
        <item x="26"/>
        <item x="41"/>
        <item x="48"/>
        <item x="56"/>
        <item x="27"/>
        <item x="66"/>
        <item x="67"/>
        <item x="68"/>
        <item x="17"/>
        <item x="28"/>
        <item x="42"/>
        <item x="49"/>
        <item x="43"/>
        <item x="29"/>
        <item x="3"/>
        <item x="1"/>
        <item x="4"/>
        <item x="5"/>
        <item x="18"/>
        <item x="30"/>
        <item x="44"/>
        <item x="50"/>
        <item x="57"/>
        <item x="69"/>
        <item x="71"/>
        <item x="73"/>
        <item x="74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h="1" x="2"/>
        <item h="1" x="0"/>
        <item t="default"/>
      </items>
    </pivotField>
    <pivotField showAll="0"/>
    <pivotField dataField="1" showAll="0"/>
    <pivotField dataField="1" showAll="0"/>
    <pivotField showAll="0"/>
  </pivotFields>
  <rowFields count="1">
    <field x="1"/>
  </rowFields>
  <rowItems count="22">
    <i>
      <x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Fields count="1">
    <field x="-2"/>
  </colFields>
  <colItems count="2">
    <i>
      <x/>
    </i>
    <i i="1">
      <x v="1"/>
    </i>
  </colItems>
  <pageFields count="2">
    <pageField fld="2" hier="-1"/>
    <pageField fld="3" hier="-1"/>
  </pageFields>
  <dataFields count="2">
    <dataField name="Suma de Hombre" fld="5" baseField="0" baseItem="0"/>
    <dataField name="Suma de Mujer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workbookViewId="0">
      <selection activeCell="P19" sqref="P19"/>
    </sheetView>
  </sheetViews>
  <sheetFormatPr baseColWidth="10" defaultColWidth="8.85546875" defaultRowHeight="15" x14ac:dyDescent="0.25"/>
  <cols>
    <col min="1" max="1" width="16" customWidth="1"/>
    <col min="2" max="2" width="13.42578125" customWidth="1"/>
    <col min="3" max="3" width="13.7109375" customWidth="1"/>
    <col min="4" max="4" width="11.7109375" customWidth="1"/>
    <col min="5" max="5" width="9.140625" customWidth="1"/>
    <col min="6" max="6" width="12.85546875" customWidth="1"/>
    <col min="7" max="7" width="12.140625" customWidth="1"/>
    <col min="8" max="8" width="13.140625" customWidth="1"/>
  </cols>
  <sheetData>
    <row r="1" spans="1:8" x14ac:dyDescent="0.25">
      <c r="A1" t="s">
        <v>0</v>
      </c>
      <c r="B1" s="1"/>
      <c r="C1" s="1"/>
      <c r="D1" s="1"/>
      <c r="E1" s="48"/>
    </row>
    <row r="2" spans="1:8" x14ac:dyDescent="0.25">
      <c r="A2" t="s">
        <v>1</v>
      </c>
      <c r="B2" s="1"/>
      <c r="C2" s="1"/>
      <c r="D2" s="1"/>
      <c r="E2" s="48"/>
    </row>
    <row r="3" spans="1:8" x14ac:dyDescent="0.25">
      <c r="A3" t="s">
        <v>2</v>
      </c>
      <c r="B3" s="1"/>
      <c r="C3" s="1"/>
      <c r="D3" s="1"/>
      <c r="E3" s="48"/>
    </row>
    <row r="4" spans="1:8" x14ac:dyDescent="0.25">
      <c r="A4" t="s">
        <v>3</v>
      </c>
      <c r="B4" s="1"/>
      <c r="C4" s="1"/>
      <c r="D4" s="1"/>
      <c r="E4" s="48"/>
    </row>
    <row r="5" spans="1:8" x14ac:dyDescent="0.25">
      <c r="B5" s="1"/>
      <c r="C5" s="1"/>
      <c r="D5" s="1"/>
      <c r="E5" s="1"/>
      <c r="F5" s="2" t="s">
        <v>26</v>
      </c>
    </row>
    <row r="6" spans="1:8" x14ac:dyDescent="0.25">
      <c r="A6" t="s">
        <v>2</v>
      </c>
      <c r="B6" s="1" t="s">
        <v>4</v>
      </c>
      <c r="C6" s="1" t="s">
        <v>5</v>
      </c>
      <c r="D6" s="1" t="s">
        <v>6</v>
      </c>
      <c r="E6" s="1"/>
      <c r="F6" s="3" t="s">
        <v>27</v>
      </c>
      <c r="G6" s="3" t="s">
        <v>28</v>
      </c>
      <c r="H6" s="3" t="s">
        <v>29</v>
      </c>
    </row>
    <row r="7" spans="1:8" x14ac:dyDescent="0.25">
      <c r="A7" t="s">
        <v>4</v>
      </c>
      <c r="B7" s="5">
        <v>8851080</v>
      </c>
      <c r="C7" s="6">
        <v>4233783</v>
      </c>
      <c r="D7" s="7">
        <v>4617297</v>
      </c>
      <c r="E7" s="1"/>
      <c r="F7" s="4">
        <f>SUM(F8:F26)</f>
        <v>8851080</v>
      </c>
      <c r="G7" s="43">
        <f>SUM(G8:G26)</f>
        <v>4233783</v>
      </c>
      <c r="H7" s="8">
        <f>SUM(H8:H26)</f>
        <v>4617297</v>
      </c>
    </row>
    <row r="8" spans="1:8" x14ac:dyDescent="0.25">
      <c r="A8" t="s">
        <v>97</v>
      </c>
      <c r="B8" s="37">
        <f>C8+D8</f>
        <v>112784</v>
      </c>
      <c r="C8" s="37">
        <v>57597</v>
      </c>
      <c r="D8" s="37">
        <v>55187</v>
      </c>
      <c r="F8">
        <f t="shared" ref="F8:H9" si="0">B8+(B8/SUM(B$8:B$26)*B$27)</f>
        <v>115365.07303895248</v>
      </c>
      <c r="G8">
        <f t="shared" si="0"/>
        <v>58974.559758571457</v>
      </c>
      <c r="H8">
        <f t="shared" si="0"/>
        <v>56397.832558387629</v>
      </c>
    </row>
    <row r="9" spans="1:8" x14ac:dyDescent="0.25">
      <c r="A9" t="s">
        <v>96</v>
      </c>
      <c r="B9" s="45">
        <f>C9+D9</f>
        <v>505461</v>
      </c>
      <c r="C9" s="46">
        <v>257104</v>
      </c>
      <c r="D9" s="46">
        <v>248357</v>
      </c>
      <c r="E9" s="1"/>
      <c r="F9" s="25">
        <f t="shared" si="0"/>
        <v>517028.52517504222</v>
      </c>
      <c r="G9" s="25">
        <f t="shared" si="0"/>
        <v>263253.21131600178</v>
      </c>
      <c r="H9" s="25">
        <f t="shared" si="0"/>
        <v>253806.08659110797</v>
      </c>
    </row>
    <row r="10" spans="1:8" x14ac:dyDescent="0.25">
      <c r="A10" t="s">
        <v>7</v>
      </c>
      <c r="B10" s="1">
        <v>658948</v>
      </c>
      <c r="C10" s="1">
        <v>334885</v>
      </c>
      <c r="D10" s="1">
        <v>324063</v>
      </c>
      <c r="E10" s="1"/>
      <c r="F10" s="25">
        <f>B10+(B10/SUM(B$8:B$26)*B$27)</f>
        <v>674028.09041062265</v>
      </c>
      <c r="G10">
        <f t="shared" ref="G10:G26" si="1">C10+(C10/SUM(C$8:C$26)*C$27)</f>
        <v>342894.51611627691</v>
      </c>
      <c r="H10">
        <f t="shared" ref="H10:H26" si="2">D10+(D10/SUM(D$8:D$26)*D$27)</f>
        <v>331173.11708135559</v>
      </c>
    </row>
    <row r="11" spans="1:8" x14ac:dyDescent="0.25">
      <c r="A11" t="s">
        <v>8</v>
      </c>
      <c r="B11" s="1">
        <v>660345</v>
      </c>
      <c r="C11" s="1">
        <v>334674</v>
      </c>
      <c r="D11" s="1">
        <v>325671</v>
      </c>
      <c r="E11" s="1"/>
      <c r="F11" s="25">
        <f>B11+(B11/SUM(B$8:B$26)*B$27)</f>
        <v>675457.06089433853</v>
      </c>
      <c r="G11" s="25">
        <f t="shared" si="1"/>
        <v>342678.4695841822</v>
      </c>
      <c r="H11" s="25">
        <f t="shared" si="2"/>
        <v>332816.39746901731</v>
      </c>
    </row>
    <row r="12" spans="1:8" x14ac:dyDescent="0.25">
      <c r="A12" t="s">
        <v>9</v>
      </c>
      <c r="B12" s="1">
        <v>723372</v>
      </c>
      <c r="C12" s="1">
        <v>363265</v>
      </c>
      <c r="D12" s="1">
        <v>360107</v>
      </c>
      <c r="E12" s="1"/>
      <c r="F12" s="25">
        <f t="shared" ref="F12:F26" si="3">B12+(B12/SUM(B$8:B$26)*B$27)</f>
        <v>739926.44004764094</v>
      </c>
      <c r="G12">
        <f t="shared" si="1"/>
        <v>371953.28664162126</v>
      </c>
      <c r="H12">
        <f t="shared" si="2"/>
        <v>368007.94189035991</v>
      </c>
    </row>
    <row r="13" spans="1:8" x14ac:dyDescent="0.25">
      <c r="A13" t="s">
        <v>10</v>
      </c>
      <c r="B13" s="1">
        <v>753404</v>
      </c>
      <c r="C13" s="1">
        <v>372368</v>
      </c>
      <c r="D13" s="1">
        <v>381036</v>
      </c>
      <c r="E13" s="1"/>
      <c r="F13" s="25">
        <f t="shared" si="3"/>
        <v>770645.72534968576</v>
      </c>
      <c r="G13" s="25">
        <f t="shared" si="1"/>
        <v>381274.00503810501</v>
      </c>
      <c r="H13" s="25">
        <f t="shared" si="2"/>
        <v>389396.13544345205</v>
      </c>
    </row>
    <row r="14" spans="1:8" x14ac:dyDescent="0.25">
      <c r="A14" t="s">
        <v>11</v>
      </c>
      <c r="B14" s="1">
        <v>726696</v>
      </c>
      <c r="C14" s="1">
        <v>352969</v>
      </c>
      <c r="D14" s="1">
        <v>373727</v>
      </c>
      <c r="E14" s="1"/>
      <c r="F14" s="25">
        <f t="shared" si="3"/>
        <v>743326.51011769951</v>
      </c>
      <c r="G14">
        <f t="shared" si="1"/>
        <v>361411.03500917077</v>
      </c>
      <c r="H14">
        <f t="shared" si="2"/>
        <v>381926.77203958423</v>
      </c>
    </row>
    <row r="15" spans="1:8" x14ac:dyDescent="0.25">
      <c r="A15" t="s">
        <v>12</v>
      </c>
      <c r="B15" s="1">
        <v>702642</v>
      </c>
      <c r="C15" s="1">
        <v>335988</v>
      </c>
      <c r="D15" s="1">
        <v>366654</v>
      </c>
      <c r="E15" s="1"/>
      <c r="F15" s="25">
        <f t="shared" si="3"/>
        <v>718722.03193924366</v>
      </c>
      <c r="G15" s="25">
        <f t="shared" si="1"/>
        <v>344023.89680300892</v>
      </c>
      <c r="H15" s="25">
        <f t="shared" si="2"/>
        <v>374698.58660305972</v>
      </c>
    </row>
    <row r="16" spans="1:8" x14ac:dyDescent="0.25">
      <c r="A16" t="s">
        <v>13</v>
      </c>
      <c r="B16" s="1">
        <v>722214</v>
      </c>
      <c r="C16" s="1">
        <v>341865</v>
      </c>
      <c r="D16" s="1">
        <v>380349</v>
      </c>
      <c r="E16" s="1"/>
      <c r="F16" s="25">
        <f t="shared" si="3"/>
        <v>738741.93910265667</v>
      </c>
      <c r="G16">
        <f t="shared" si="1"/>
        <v>350041.45826803532</v>
      </c>
      <c r="H16">
        <f t="shared" si="2"/>
        <v>388694.06229275331</v>
      </c>
    </row>
    <row r="17" spans="1:8" x14ac:dyDescent="0.25">
      <c r="A17" t="s">
        <v>14</v>
      </c>
      <c r="B17" s="1">
        <v>629563</v>
      </c>
      <c r="C17" s="1">
        <v>295151</v>
      </c>
      <c r="D17" s="1">
        <v>334412</v>
      </c>
      <c r="E17" s="1"/>
      <c r="F17" s="25">
        <f t="shared" si="3"/>
        <v>643970.61176782206</v>
      </c>
      <c r="G17" s="25">
        <f t="shared" si="1"/>
        <v>302210.18954636739</v>
      </c>
      <c r="H17" s="25">
        <f t="shared" si="2"/>
        <v>341749.17972557893</v>
      </c>
    </row>
    <row r="18" spans="1:8" x14ac:dyDescent="0.25">
      <c r="A18" t="s">
        <v>15</v>
      </c>
      <c r="B18" s="1">
        <v>555481</v>
      </c>
      <c r="C18" s="1">
        <v>256078</v>
      </c>
      <c r="D18" s="1">
        <v>299403</v>
      </c>
      <c r="E18" s="1"/>
      <c r="F18" s="25">
        <f t="shared" si="3"/>
        <v>568193.23784180707</v>
      </c>
      <c r="G18">
        <f t="shared" si="1"/>
        <v>262202.67225472612</v>
      </c>
      <c r="H18">
        <f t="shared" si="2"/>
        <v>305972.06337505084</v>
      </c>
    </row>
    <row r="19" spans="1:8" x14ac:dyDescent="0.25">
      <c r="A19" t="s">
        <v>16</v>
      </c>
      <c r="B19" s="1">
        <v>506310</v>
      </c>
      <c r="C19" s="1">
        <v>230325</v>
      </c>
      <c r="D19" s="1">
        <v>275985</v>
      </c>
      <c r="E19" s="1"/>
      <c r="F19" s="25">
        <f t="shared" si="3"/>
        <v>517896.95462434419</v>
      </c>
      <c r="G19" s="25">
        <f t="shared" si="1"/>
        <v>235833.73224982151</v>
      </c>
      <c r="H19" s="25">
        <f t="shared" si="2"/>
        <v>282040.25981891766</v>
      </c>
    </row>
    <row r="20" spans="1:8" x14ac:dyDescent="0.25">
      <c r="A20" t="s">
        <v>17</v>
      </c>
      <c r="B20" s="1">
        <v>392186</v>
      </c>
      <c r="C20" s="1">
        <v>179065</v>
      </c>
      <c r="D20" s="1">
        <v>213121</v>
      </c>
      <c r="E20" s="1"/>
      <c r="F20" s="25">
        <f t="shared" si="3"/>
        <v>401161.21555233561</v>
      </c>
      <c r="G20">
        <f t="shared" si="1"/>
        <v>183347.73587458718</v>
      </c>
      <c r="H20">
        <f t="shared" si="2"/>
        <v>217796.98973809285</v>
      </c>
    </row>
    <row r="21" spans="1:8" x14ac:dyDescent="0.25">
      <c r="A21" t="s">
        <v>18</v>
      </c>
      <c r="B21" s="1">
        <v>315793</v>
      </c>
      <c r="C21" s="1">
        <v>141010</v>
      </c>
      <c r="D21" s="1">
        <v>174783</v>
      </c>
      <c r="E21" s="1"/>
      <c r="F21" s="25">
        <f t="shared" si="3"/>
        <v>323019.95416184852</v>
      </c>
      <c r="G21" s="25">
        <f t="shared" si="1"/>
        <v>144382.56630651181</v>
      </c>
      <c r="H21" s="25">
        <f t="shared" si="2"/>
        <v>178617.83333126761</v>
      </c>
    </row>
    <row r="22" spans="1:8" x14ac:dyDescent="0.25">
      <c r="A22" t="s">
        <v>19</v>
      </c>
      <c r="B22" s="1">
        <v>227625</v>
      </c>
      <c r="C22" s="1">
        <v>99910</v>
      </c>
      <c r="D22" s="1">
        <v>127715</v>
      </c>
      <c r="E22" s="1"/>
      <c r="F22" s="25">
        <f t="shared" si="3"/>
        <v>232834.22072715597</v>
      </c>
      <c r="G22">
        <f t="shared" si="1"/>
        <v>102299.56882266219</v>
      </c>
      <c r="H22">
        <f t="shared" si="2"/>
        <v>130517.13601381623</v>
      </c>
    </row>
    <row r="23" spans="1:8" x14ac:dyDescent="0.25">
      <c r="A23" t="s">
        <v>20</v>
      </c>
      <c r="B23" s="1">
        <v>179329</v>
      </c>
      <c r="C23" s="1">
        <v>75227</v>
      </c>
      <c r="D23" s="1">
        <v>104102</v>
      </c>
      <c r="E23" s="1"/>
      <c r="F23" s="25">
        <f t="shared" si="3"/>
        <v>183432.96197157673</v>
      </c>
      <c r="G23" s="25">
        <f t="shared" si="1"/>
        <v>77026.220236436871</v>
      </c>
      <c r="H23" s="25">
        <f t="shared" si="2"/>
        <v>106386.05405246287</v>
      </c>
    </row>
    <row r="24" spans="1:8" x14ac:dyDescent="0.25">
      <c r="A24" t="s">
        <v>21</v>
      </c>
      <c r="B24" s="1">
        <v>124499</v>
      </c>
      <c r="C24" s="1">
        <v>50795</v>
      </c>
      <c r="D24" s="1">
        <v>73704</v>
      </c>
      <c r="E24" s="1"/>
      <c r="F24" s="25">
        <f t="shared" si="3"/>
        <v>127348.1719772002</v>
      </c>
      <c r="G24">
        <f t="shared" si="1"/>
        <v>52009.874870855027</v>
      </c>
      <c r="H24">
        <f t="shared" si="2"/>
        <v>75321.105529987166</v>
      </c>
    </row>
    <row r="25" spans="1:8" x14ac:dyDescent="0.25">
      <c r="A25" t="s">
        <v>22</v>
      </c>
      <c r="B25" s="1">
        <v>85121</v>
      </c>
      <c r="C25" s="1">
        <v>32012</v>
      </c>
      <c r="D25" s="1">
        <v>53109</v>
      </c>
      <c r="E25" s="1"/>
      <c r="F25" s="25">
        <f t="shared" si="3"/>
        <v>87069.002537138906</v>
      </c>
      <c r="G25" s="25">
        <f t="shared" si="1"/>
        <v>32777.637845571633</v>
      </c>
      <c r="H25" s="25">
        <f t="shared" si="2"/>
        <v>54274.240117118316</v>
      </c>
    </row>
    <row r="26" spans="1:8" x14ac:dyDescent="0.25">
      <c r="A26" t="s">
        <v>23</v>
      </c>
      <c r="B26" s="1">
        <v>71281</v>
      </c>
      <c r="C26" s="1">
        <v>24600</v>
      </c>
      <c r="D26" s="1">
        <v>46681</v>
      </c>
      <c r="E26" s="1"/>
      <c r="F26" s="25">
        <f t="shared" si="3"/>
        <v>72912.272762888111</v>
      </c>
      <c r="G26">
        <f t="shared" si="1"/>
        <v>25188.363457486637</v>
      </c>
      <c r="H26">
        <f t="shared" si="2"/>
        <v>47705.2063286298</v>
      </c>
    </row>
    <row r="27" spans="1:8" x14ac:dyDescent="0.25">
      <c r="A27" s="9" t="s">
        <v>24</v>
      </c>
      <c r="B27" s="1">
        <v>198026</v>
      </c>
      <c r="C27" s="1">
        <v>98895</v>
      </c>
      <c r="D27" s="1">
        <v>99131</v>
      </c>
      <c r="E27" s="1"/>
    </row>
    <row r="28" spans="1:8" x14ac:dyDescent="0.25">
      <c r="B28" s="1"/>
      <c r="C28" s="1"/>
      <c r="D28" s="1"/>
      <c r="E28" s="1"/>
    </row>
    <row r="29" spans="1:8" x14ac:dyDescent="0.25">
      <c r="B29" s="1"/>
      <c r="C29" s="1"/>
      <c r="D29" s="1"/>
      <c r="E29" s="1"/>
    </row>
    <row r="30" spans="1:8" x14ac:dyDescent="0.25">
      <c r="A30" t="s">
        <v>25</v>
      </c>
      <c r="B30" s="1"/>
      <c r="C30" s="1"/>
      <c r="D30" s="1"/>
      <c r="E30" s="48"/>
    </row>
    <row r="31" spans="1:8" x14ac:dyDescent="0.25">
      <c r="B31" s="1"/>
      <c r="C31" s="1"/>
      <c r="D31" s="1"/>
      <c r="E31" s="1"/>
    </row>
  </sheetData>
  <mergeCells count="5">
    <mergeCell ref="E1"/>
    <mergeCell ref="E2"/>
    <mergeCell ref="E3"/>
    <mergeCell ref="E4"/>
    <mergeCell ref="E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2F8A8-6C94-9C4E-8549-44AF7EA2E6DA}">
  <dimension ref="A1:H31"/>
  <sheetViews>
    <sheetView workbookViewId="0">
      <selection activeCell="H9" sqref="H9"/>
    </sheetView>
  </sheetViews>
  <sheetFormatPr baseColWidth="10" defaultColWidth="8.85546875" defaultRowHeight="15" x14ac:dyDescent="0.25"/>
  <cols>
    <col min="1" max="1" width="17.140625" style="10" customWidth="1"/>
    <col min="2" max="2" width="18.28515625" style="10" customWidth="1"/>
    <col min="3" max="3" width="15.140625" style="10" customWidth="1"/>
    <col min="4" max="4" width="15.28515625" style="10" customWidth="1"/>
    <col min="5" max="5" width="9.140625" style="10" customWidth="1"/>
    <col min="6" max="6" width="14.42578125" style="10" customWidth="1"/>
    <col min="7" max="7" width="12.28515625" style="10" customWidth="1"/>
    <col min="8" max="8" width="10.42578125" style="10" customWidth="1"/>
    <col min="9" max="16384" width="8.85546875" style="10"/>
  </cols>
  <sheetData>
    <row r="1" spans="1:8" x14ac:dyDescent="0.25">
      <c r="A1" s="10" t="s">
        <v>0</v>
      </c>
      <c r="B1" s="11"/>
      <c r="C1" s="11"/>
      <c r="D1" s="11"/>
      <c r="E1" s="47"/>
    </row>
    <row r="2" spans="1:8" x14ac:dyDescent="0.25">
      <c r="A2" s="10" t="s">
        <v>35</v>
      </c>
      <c r="B2" s="11"/>
      <c r="C2" s="11"/>
      <c r="D2" s="11"/>
      <c r="E2" s="47"/>
    </row>
    <row r="3" spans="1:8" x14ac:dyDescent="0.25">
      <c r="A3" s="10" t="s">
        <v>2</v>
      </c>
      <c r="B3" s="11"/>
      <c r="C3" s="11"/>
      <c r="D3" s="11"/>
      <c r="E3" s="47"/>
    </row>
    <row r="4" spans="1:8" x14ac:dyDescent="0.25">
      <c r="A4" s="10" t="s">
        <v>34</v>
      </c>
      <c r="B4" s="11"/>
      <c r="C4" s="11"/>
      <c r="D4" s="11"/>
      <c r="E4" s="47"/>
    </row>
    <row r="5" spans="1:8" x14ac:dyDescent="0.25">
      <c r="B5" s="11"/>
      <c r="C5" s="11"/>
      <c r="D5" s="11"/>
      <c r="E5" s="11"/>
      <c r="F5" s="10" t="s">
        <v>26</v>
      </c>
    </row>
    <row r="6" spans="1:8" x14ac:dyDescent="0.25">
      <c r="A6" s="10" t="s">
        <v>2</v>
      </c>
      <c r="B6" s="11" t="s">
        <v>4</v>
      </c>
      <c r="C6" s="11" t="s">
        <v>33</v>
      </c>
      <c r="D6" s="11" t="s">
        <v>32</v>
      </c>
      <c r="E6" s="11"/>
      <c r="F6" s="10" t="s">
        <v>27</v>
      </c>
      <c r="G6" s="10" t="s">
        <v>36</v>
      </c>
      <c r="H6" s="10" t="s">
        <v>32</v>
      </c>
    </row>
    <row r="7" spans="1:8" x14ac:dyDescent="0.25">
      <c r="A7" s="10" t="s">
        <v>4</v>
      </c>
      <c r="B7" s="13">
        <v>9209944</v>
      </c>
      <c r="C7" s="15">
        <v>4404927</v>
      </c>
      <c r="D7" s="17">
        <v>4805017</v>
      </c>
      <c r="E7" s="11"/>
      <c r="F7" s="14">
        <f>SUM(F8:F26)</f>
        <v>9209944</v>
      </c>
      <c r="G7" s="16">
        <f>SUM(G8:G26)</f>
        <v>4404927</v>
      </c>
      <c r="H7" s="18">
        <f>SUM(H8:H26)</f>
        <v>4805016.9999999991</v>
      </c>
    </row>
    <row r="8" spans="1:8" x14ac:dyDescent="0.25">
      <c r="A8" s="10" t="s">
        <v>98</v>
      </c>
      <c r="B8" s="44">
        <f>C8+D8</f>
        <v>81536</v>
      </c>
      <c r="C8" s="37">
        <v>41310</v>
      </c>
      <c r="D8" s="37">
        <v>40226</v>
      </c>
      <c r="E8" s="11"/>
      <c r="F8" s="10">
        <f t="shared" ref="F8:H10" si="0">B8+(B8/SUM(B$8:B$26)*B$27)</f>
        <v>81621.308522596722</v>
      </c>
      <c r="G8" s="10">
        <f t="shared" si="0"/>
        <v>41354.904378129446</v>
      </c>
      <c r="H8" s="10">
        <f t="shared" si="0"/>
        <v>40266.584886714525</v>
      </c>
    </row>
    <row r="9" spans="1:8" x14ac:dyDescent="0.25">
      <c r="A9" s="10" t="s">
        <v>96</v>
      </c>
      <c r="B9" s="11">
        <f>C9+D9</f>
        <v>398368</v>
      </c>
      <c r="C9" s="45">
        <v>201567</v>
      </c>
      <c r="D9" s="45">
        <v>196801</v>
      </c>
      <c r="E9" s="11"/>
      <c r="F9" s="24">
        <f t="shared" si="0"/>
        <v>398784.79976366035</v>
      </c>
      <c r="G9" s="24">
        <f t="shared" si="0"/>
        <v>201786.1053204168</v>
      </c>
      <c r="H9" s="24">
        <f t="shared" si="0"/>
        <v>196999.55681127391</v>
      </c>
    </row>
    <row r="10" spans="1:8" x14ac:dyDescent="0.25">
      <c r="A10" s="10" t="s">
        <v>7</v>
      </c>
      <c r="B10" s="11">
        <v>563907</v>
      </c>
      <c r="C10" s="11">
        <v>286280</v>
      </c>
      <c r="D10" s="11">
        <v>277627</v>
      </c>
      <c r="E10" s="11"/>
      <c r="F10" s="24">
        <f t="shared" si="0"/>
        <v>564496.99795246206</v>
      </c>
      <c r="G10" s="24">
        <f t="shared" si="0"/>
        <v>286591.18918835383</v>
      </c>
      <c r="H10" s="24">
        <f t="shared" si="0"/>
        <v>277907.10392144119</v>
      </c>
    </row>
    <row r="11" spans="1:8" x14ac:dyDescent="0.25">
      <c r="A11" s="10" t="s">
        <v>8</v>
      </c>
      <c r="B11" s="11">
        <v>608962</v>
      </c>
      <c r="C11" s="11">
        <v>309140</v>
      </c>
      <c r="D11" s="11">
        <v>299822</v>
      </c>
      <c r="E11" s="11"/>
      <c r="F11" s="24">
        <f>B11+(B11/SUM(B$8:B$26)*B$27)</f>
        <v>609599.13756546238</v>
      </c>
      <c r="G11" s="24">
        <f t="shared" ref="G11:G24" si="1">C11+(C11/SUM(C$8:C$26)*C$27)</f>
        <v>309476.03823420324</v>
      </c>
      <c r="H11" s="24">
        <f>D11+(D11/SUM(D$8:D$26)*D$27)</f>
        <v>300124.4969399026</v>
      </c>
    </row>
    <row r="12" spans="1:8" x14ac:dyDescent="0.25">
      <c r="A12" s="10" t="s">
        <v>9</v>
      </c>
      <c r="B12" s="11">
        <v>650389</v>
      </c>
      <c r="C12" s="11">
        <v>331109</v>
      </c>
      <c r="D12" s="11">
        <v>319280</v>
      </c>
      <c r="E12" s="11"/>
      <c r="F12" s="24">
        <f t="shared" ref="F12:F26" si="2">B12+(B12/SUM(B$8:B$26)*B$27)</f>
        <v>651069.4813174936</v>
      </c>
      <c r="G12" s="24">
        <f t="shared" si="1"/>
        <v>331468.91875424987</v>
      </c>
      <c r="H12" s="24">
        <f>D12+(D12/SUM(D$8:D$26)*D$27)</f>
        <v>319602.1285395071</v>
      </c>
    </row>
    <row r="13" spans="1:8" x14ac:dyDescent="0.25">
      <c r="A13" s="10" t="s">
        <v>10</v>
      </c>
      <c r="B13" s="11">
        <v>714605</v>
      </c>
      <c r="C13" s="11">
        <v>359049</v>
      </c>
      <c r="D13" s="11">
        <v>355556</v>
      </c>
      <c r="E13" s="11"/>
      <c r="F13" s="24">
        <f t="shared" si="2"/>
        <v>715352.6684751549</v>
      </c>
      <c r="G13" s="24">
        <f t="shared" si="1"/>
        <v>359439.289810288</v>
      </c>
      <c r="H13" s="24">
        <f t="shared" ref="H13:H26" si="3">D13+(D13/SUM(D$8:D$26)*D$27)</f>
        <v>355914.72818526992</v>
      </c>
    </row>
    <row r="14" spans="1:8" x14ac:dyDescent="0.25">
      <c r="A14" s="10" t="s">
        <v>11</v>
      </c>
      <c r="B14" s="11">
        <v>752289</v>
      </c>
      <c r="C14" s="11">
        <v>372081</v>
      </c>
      <c r="D14" s="11">
        <v>380208</v>
      </c>
      <c r="E14" s="11"/>
      <c r="F14" s="24">
        <f t="shared" si="2"/>
        <v>753076.0960453758</v>
      </c>
      <c r="G14" s="24">
        <f t="shared" si="1"/>
        <v>372485.45572303998</v>
      </c>
      <c r="H14" s="24">
        <f t="shared" si="3"/>
        <v>380591.60012449551</v>
      </c>
    </row>
    <row r="15" spans="1:8" x14ac:dyDescent="0.25">
      <c r="A15" s="10" t="s">
        <v>12</v>
      </c>
      <c r="B15" s="11">
        <v>743611</v>
      </c>
      <c r="C15" s="11">
        <v>363448</v>
      </c>
      <c r="D15" s="11">
        <v>380163</v>
      </c>
      <c r="E15" s="11"/>
      <c r="F15" s="24">
        <f t="shared" si="2"/>
        <v>744389.01653008081</v>
      </c>
      <c r="G15" s="24">
        <f t="shared" si="1"/>
        <v>363843.07156674872</v>
      </c>
      <c r="H15" s="24">
        <f t="shared" si="3"/>
        <v>380546.55472301628</v>
      </c>
    </row>
    <row r="16" spans="1:8" x14ac:dyDescent="0.25">
      <c r="A16" s="10" t="s">
        <v>13</v>
      </c>
      <c r="B16" s="11">
        <v>705850</v>
      </c>
      <c r="C16" s="11">
        <v>340545</v>
      </c>
      <c r="D16" s="11">
        <v>365305</v>
      </c>
      <c r="E16" s="11"/>
      <c r="F16" s="24">
        <f t="shared" si="2"/>
        <v>706588.50839720969</v>
      </c>
      <c r="G16" s="24">
        <f t="shared" si="1"/>
        <v>340915.17577947449</v>
      </c>
      <c r="H16" s="24">
        <f t="shared" si="3"/>
        <v>365673.56416350743</v>
      </c>
    </row>
    <row r="17" spans="1:8" x14ac:dyDescent="0.25">
      <c r="A17" s="10" t="s">
        <v>14</v>
      </c>
      <c r="B17" s="11">
        <v>670307</v>
      </c>
      <c r="C17" s="11">
        <v>317312</v>
      </c>
      <c r="D17" s="11">
        <v>352995</v>
      </c>
      <c r="E17" s="11"/>
      <c r="F17" s="24">
        <f t="shared" si="2"/>
        <v>671008.32088716934</v>
      </c>
      <c r="G17" s="24">
        <f t="shared" si="1"/>
        <v>317656.92127893999</v>
      </c>
      <c r="H17" s="24">
        <f t="shared" si="3"/>
        <v>353351.14433664281</v>
      </c>
    </row>
    <row r="18" spans="1:8" x14ac:dyDescent="0.25">
      <c r="A18" s="10" t="s">
        <v>15</v>
      </c>
      <c r="B18" s="11">
        <v>668945</v>
      </c>
      <c r="C18" s="11">
        <v>313846</v>
      </c>
      <c r="D18" s="11">
        <v>355099</v>
      </c>
      <c r="E18" s="11"/>
      <c r="F18" s="24">
        <f t="shared" si="2"/>
        <v>669644.89586990362</v>
      </c>
      <c r="G18" s="24">
        <f t="shared" si="1"/>
        <v>314187.15370269702</v>
      </c>
      <c r="H18" s="24">
        <f t="shared" si="3"/>
        <v>355457.26710802567</v>
      </c>
    </row>
    <row r="19" spans="1:8" x14ac:dyDescent="0.25">
      <c r="A19" s="10" t="s">
        <v>16</v>
      </c>
      <c r="B19" s="11">
        <v>623483</v>
      </c>
      <c r="C19" s="11">
        <v>286394</v>
      </c>
      <c r="D19" s="11">
        <v>337089</v>
      </c>
      <c r="E19" s="11"/>
      <c r="F19" s="24">
        <f t="shared" si="2"/>
        <v>624135.33042575268</v>
      </c>
      <c r="G19" s="24">
        <f t="shared" si="1"/>
        <v>286705.31310748012</v>
      </c>
      <c r="H19" s="24">
        <f t="shared" si="3"/>
        <v>337429.09642712952</v>
      </c>
    </row>
    <row r="20" spans="1:8" x14ac:dyDescent="0.25">
      <c r="A20" s="10" t="s">
        <v>17</v>
      </c>
      <c r="B20" s="11">
        <v>526447</v>
      </c>
      <c r="C20" s="11">
        <v>239651</v>
      </c>
      <c r="D20" s="11">
        <v>286796</v>
      </c>
      <c r="E20" s="11"/>
      <c r="F20" s="24">
        <f t="shared" si="2"/>
        <v>526997.80474631418</v>
      </c>
      <c r="G20" s="24">
        <f t="shared" si="1"/>
        <v>239911.50300467439</v>
      </c>
      <c r="H20" s="24">
        <f t="shared" si="3"/>
        <v>287085.3547250579</v>
      </c>
    </row>
    <row r="21" spans="1:8" x14ac:dyDescent="0.25">
      <c r="A21" s="10" t="s">
        <v>18</v>
      </c>
      <c r="B21" s="11">
        <v>469514</v>
      </c>
      <c r="C21" s="11">
        <v>209065</v>
      </c>
      <c r="D21" s="11">
        <v>260449</v>
      </c>
      <c r="E21" s="11"/>
      <c r="F21" s="24">
        <f t="shared" si="2"/>
        <v>470005.23755983217</v>
      </c>
      <c r="G21" s="24">
        <f t="shared" si="1"/>
        <v>209292.25572049461</v>
      </c>
      <c r="H21" s="24">
        <f t="shared" si="3"/>
        <v>260711.77266344929</v>
      </c>
    </row>
    <row r="22" spans="1:8" x14ac:dyDescent="0.25">
      <c r="A22" s="10" t="s">
        <v>19</v>
      </c>
      <c r="B22" s="11">
        <v>356196</v>
      </c>
      <c r="C22" s="11">
        <v>157245</v>
      </c>
      <c r="D22" s="11">
        <v>198951</v>
      </c>
      <c r="E22" s="11"/>
      <c r="F22" s="24">
        <f t="shared" si="2"/>
        <v>356568.67654183257</v>
      </c>
      <c r="G22" s="24">
        <f t="shared" si="1"/>
        <v>157415.92686852976</v>
      </c>
      <c r="H22" s="24">
        <f t="shared" si="3"/>
        <v>199151.72599305774</v>
      </c>
    </row>
    <row r="23" spans="1:8" x14ac:dyDescent="0.25">
      <c r="A23" s="10" t="s">
        <v>20</v>
      </c>
      <c r="B23" s="11">
        <v>267744</v>
      </c>
      <c r="C23" s="11">
        <v>115130</v>
      </c>
      <c r="D23" s="11">
        <v>152614</v>
      </c>
      <c r="E23" s="11"/>
      <c r="F23" s="24">
        <f t="shared" si="2"/>
        <v>268024.13202847989</v>
      </c>
      <c r="G23" s="24">
        <f t="shared" si="1"/>
        <v>115255.14744744718</v>
      </c>
      <c r="H23" s="24">
        <f t="shared" si="3"/>
        <v>152767.97558546835</v>
      </c>
    </row>
    <row r="24" spans="1:8" x14ac:dyDescent="0.25">
      <c r="A24" s="10" t="s">
        <v>21</v>
      </c>
      <c r="B24" s="11">
        <v>175215</v>
      </c>
      <c r="C24" s="11">
        <v>74210</v>
      </c>
      <c r="D24" s="11">
        <v>101005</v>
      </c>
      <c r="E24" s="11"/>
      <c r="F24" s="24">
        <f t="shared" si="2"/>
        <v>175398.32187974371</v>
      </c>
      <c r="G24" s="24">
        <f t="shared" si="1"/>
        <v>74290.667003170805</v>
      </c>
      <c r="H24" s="24">
        <f t="shared" si="3"/>
        <v>101106.90614236068</v>
      </c>
    </row>
    <row r="25" spans="1:8" x14ac:dyDescent="0.25">
      <c r="A25" s="10" t="s">
        <v>22</v>
      </c>
      <c r="B25" s="11">
        <v>117480</v>
      </c>
      <c r="C25" s="11">
        <v>46094</v>
      </c>
      <c r="D25" s="11">
        <v>71386</v>
      </c>
      <c r="E25" s="11"/>
      <c r="F25" s="24">
        <f t="shared" si="2"/>
        <v>117602.91558617866</v>
      </c>
      <c r="G25" s="24">
        <f>C25+(C25/SUM(C$8:C$26)*C$27)</f>
        <v>46144.104633393814</v>
      </c>
      <c r="H25" s="24">
        <f t="shared" si="3"/>
        <v>71458.022888753621</v>
      </c>
    </row>
    <row r="26" spans="1:8" x14ac:dyDescent="0.25">
      <c r="A26" s="10" t="s">
        <v>31</v>
      </c>
      <c r="B26" s="11">
        <v>105470</v>
      </c>
      <c r="C26" s="11">
        <v>36668</v>
      </c>
      <c r="D26" s="11">
        <v>68802</v>
      </c>
      <c r="E26" s="11"/>
      <c r="F26" s="24">
        <f t="shared" si="2"/>
        <v>105580.34990529675</v>
      </c>
      <c r="G26" s="24">
        <f>C26+(C26/SUM(C$8:C$26)*C$27)</f>
        <v>36707.858478267983</v>
      </c>
      <c r="H26" s="24">
        <f t="shared" si="3"/>
        <v>68871.415834925981</v>
      </c>
    </row>
    <row r="27" spans="1:8" x14ac:dyDescent="0.25">
      <c r="A27" s="12" t="s">
        <v>24</v>
      </c>
      <c r="B27" s="11">
        <v>9626</v>
      </c>
      <c r="C27" s="11">
        <v>4783</v>
      </c>
      <c r="D27" s="11">
        <v>4843</v>
      </c>
      <c r="E27" s="11"/>
    </row>
    <row r="28" spans="1:8" x14ac:dyDescent="0.25">
      <c r="B28" s="11"/>
      <c r="C28" s="11"/>
      <c r="D28" s="11"/>
      <c r="E28" s="11"/>
    </row>
    <row r="29" spans="1:8" x14ac:dyDescent="0.25">
      <c r="B29" s="11"/>
      <c r="C29" s="11"/>
      <c r="D29" s="11"/>
      <c r="E29" s="11"/>
    </row>
    <row r="30" spans="1:8" x14ac:dyDescent="0.25">
      <c r="A30" s="10" t="s">
        <v>30</v>
      </c>
      <c r="B30" s="11"/>
      <c r="C30" s="11"/>
      <c r="D30" s="11"/>
      <c r="E30" s="47"/>
    </row>
    <row r="31" spans="1:8" x14ac:dyDescent="0.25">
      <c r="B31" s="11"/>
      <c r="C31" s="11"/>
      <c r="D31" s="11"/>
      <c r="E31" s="11"/>
    </row>
  </sheetData>
  <mergeCells count="5">
    <mergeCell ref="E1"/>
    <mergeCell ref="E2"/>
    <mergeCell ref="E3"/>
    <mergeCell ref="E4"/>
    <mergeCell ref="E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21A6-C196-1943-9C83-5979D25CD705}">
  <dimension ref="A1:M24"/>
  <sheetViews>
    <sheetView zoomScale="83" workbookViewId="0">
      <selection activeCell="L5" sqref="L5:M6"/>
    </sheetView>
  </sheetViews>
  <sheetFormatPr baseColWidth="10" defaultRowHeight="15" x14ac:dyDescent="0.25"/>
  <cols>
    <col min="1" max="1" width="14.42578125" customWidth="1"/>
    <col min="2" max="2" width="17" customWidth="1"/>
    <col min="3" max="3" width="13.7109375" customWidth="1"/>
  </cols>
  <sheetData>
    <row r="1" spans="1:13" x14ac:dyDescent="0.25">
      <c r="G1" s="2" t="s">
        <v>37</v>
      </c>
      <c r="H1" s="26">
        <v>40341</v>
      </c>
      <c r="I1">
        <f>2010 + (6-1) / 12 + 12/365</f>
        <v>2010.4495433789955</v>
      </c>
    </row>
    <row r="2" spans="1:13" x14ac:dyDescent="0.25">
      <c r="G2" s="2" t="s">
        <v>38</v>
      </c>
      <c r="H2" s="26">
        <v>43905</v>
      </c>
      <c r="I2">
        <f>2020 + (3-1) / 12 + 15/365</f>
        <v>2020.2077625570778</v>
      </c>
      <c r="K2" s="2" t="s">
        <v>39</v>
      </c>
      <c r="L2">
        <f>I2- I1</f>
        <v>9.7582191780822995</v>
      </c>
    </row>
    <row r="3" spans="1:13" x14ac:dyDescent="0.25">
      <c r="B3" s="19">
        <v>2010</v>
      </c>
      <c r="C3" s="23"/>
      <c r="D3" s="8">
        <v>2020</v>
      </c>
      <c r="E3" s="8"/>
      <c r="H3">
        <v>2019.5</v>
      </c>
    </row>
    <row r="4" spans="1:13" x14ac:dyDescent="0.25">
      <c r="B4" s="20" t="s">
        <v>28</v>
      </c>
      <c r="C4" s="21" t="s">
        <v>29</v>
      </c>
      <c r="D4" s="18" t="s">
        <v>28</v>
      </c>
      <c r="E4" s="22" t="s">
        <v>29</v>
      </c>
      <c r="G4" s="2" t="s">
        <v>40</v>
      </c>
      <c r="H4" s="2" t="s">
        <v>28</v>
      </c>
      <c r="I4" s="2" t="s">
        <v>29</v>
      </c>
      <c r="K4" s="2" t="s">
        <v>41</v>
      </c>
      <c r="L4" s="2" t="s">
        <v>28</v>
      </c>
      <c r="M4" s="2" t="s">
        <v>29</v>
      </c>
    </row>
    <row r="5" spans="1:13" x14ac:dyDescent="0.25">
      <c r="A5" t="s">
        <v>97</v>
      </c>
      <c r="B5">
        <v>57597</v>
      </c>
      <c r="C5">
        <v>55187</v>
      </c>
      <c r="D5">
        <v>41310</v>
      </c>
      <c r="E5">
        <v>40226</v>
      </c>
      <c r="H5">
        <f xml:space="preserve"> LN(D5/B5)/$L$2</f>
        <v>-3.4060095959924139E-2</v>
      </c>
      <c r="I5">
        <f xml:space="preserve"> LN(E5/C5)/$L$2</f>
        <v>-3.2404874270471153E-2</v>
      </c>
      <c r="L5">
        <f>B5 * EXP(H5* ( $H$3- $I$1) )</f>
        <v>42317.937985787707</v>
      </c>
      <c r="M5">
        <f>C5 * EXP(I5* ( $H$3- $I$1) )</f>
        <v>41159.242598785168</v>
      </c>
    </row>
    <row r="6" spans="1:13" x14ac:dyDescent="0.25">
      <c r="A6" t="s">
        <v>96</v>
      </c>
      <c r="B6" s="24">
        <v>257104</v>
      </c>
      <c r="C6" s="24">
        <v>248357</v>
      </c>
      <c r="D6" s="25">
        <v>201567</v>
      </c>
      <c r="E6" s="25">
        <v>196801</v>
      </c>
      <c r="H6">
        <f xml:space="preserve"> LN(D6/B6)/$L$2</f>
        <v>-2.4938857750164585E-2</v>
      </c>
      <c r="I6">
        <f xml:space="preserve"> LN(E6/C6)/$L$2</f>
        <v>-2.3843916295759358E-2</v>
      </c>
      <c r="L6">
        <f>B6 * EXP(H6* ( $H$3- $I$1) )</f>
        <v>205156.40142936358</v>
      </c>
      <c r="M6">
        <f>C6 * EXP(I6* ( $H$3- $I$1) )</f>
        <v>200150.36259921559</v>
      </c>
    </row>
    <row r="7" spans="1:13" x14ac:dyDescent="0.25">
      <c r="A7" t="s">
        <v>7</v>
      </c>
      <c r="B7" s="24">
        <f>'2010'!G10</f>
        <v>342894.51611627691</v>
      </c>
      <c r="C7" s="24">
        <f>'2010'!H10</f>
        <v>331173.11708135559</v>
      </c>
      <c r="D7" s="25">
        <f>'2020'!G10</f>
        <v>286591.18918835383</v>
      </c>
      <c r="E7" s="25">
        <f>'2020'!H10</f>
        <v>277907.10392144119</v>
      </c>
      <c r="H7">
        <f t="shared" ref="H7:H23" si="0" xml:space="preserve"> LN(D7/B7)/$L$2</f>
        <v>-1.8381027421423907E-2</v>
      </c>
      <c r="I7">
        <f t="shared" ref="I7:I23" si="1" xml:space="preserve"> LN(E7/C7)/$L$2</f>
        <v>-1.7969913207807772E-2</v>
      </c>
      <c r="L7">
        <f t="shared" ref="L7:L23" si="2">B7 * EXP(H7* ( $H$3- $I$1) )</f>
        <v>290343.92696762888</v>
      </c>
      <c r="M7">
        <f t="shared" ref="M7:M23" si="3">C7 * EXP(I7* ( $H$3- $I$1) )</f>
        <v>281464.21896088315</v>
      </c>
    </row>
    <row r="8" spans="1:13" x14ac:dyDescent="0.25">
      <c r="A8" t="s">
        <v>8</v>
      </c>
      <c r="B8" s="24">
        <f>'2010'!G11</f>
        <v>342678.4695841822</v>
      </c>
      <c r="C8" s="24">
        <f>'2010'!H11</f>
        <v>332816.39746901731</v>
      </c>
      <c r="D8" s="25">
        <f>'2020'!G11</f>
        <v>309476.03823420324</v>
      </c>
      <c r="E8" s="25">
        <f>'2020'!H11</f>
        <v>300124.4969399026</v>
      </c>
      <c r="H8">
        <f t="shared" si="0"/>
        <v>-1.0443701967479069E-2</v>
      </c>
      <c r="I8">
        <f t="shared" si="1"/>
        <v>-1.0595539894728789E-2</v>
      </c>
      <c r="L8">
        <f t="shared" si="2"/>
        <v>311772.0554983925</v>
      </c>
      <c r="M8">
        <f t="shared" si="3"/>
        <v>302383.62865098182</v>
      </c>
    </row>
    <row r="9" spans="1:13" x14ac:dyDescent="0.25">
      <c r="A9" t="s">
        <v>9</v>
      </c>
      <c r="B9" s="24">
        <f>'2010'!G12</f>
        <v>371953.28664162126</v>
      </c>
      <c r="C9" s="24">
        <f>'2010'!H12</f>
        <v>368007.94189035991</v>
      </c>
      <c r="D9" s="25">
        <f>'2020'!G12</f>
        <v>331468.91875424987</v>
      </c>
      <c r="E9" s="25">
        <f>'2020'!H12</f>
        <v>319602.1285395071</v>
      </c>
      <c r="H9">
        <f t="shared" si="0"/>
        <v>-1.1808940230275197E-2</v>
      </c>
      <c r="I9">
        <f t="shared" si="1"/>
        <v>-1.4452190784534472E-2</v>
      </c>
      <c r="L9">
        <f t="shared" si="2"/>
        <v>334250.92104984185</v>
      </c>
      <c r="M9">
        <f t="shared" si="3"/>
        <v>322888.02567628614</v>
      </c>
    </row>
    <row r="10" spans="1:13" x14ac:dyDescent="0.25">
      <c r="A10" t="s">
        <v>10</v>
      </c>
      <c r="B10" s="24">
        <f>'2010'!G13</f>
        <v>381274.00503810501</v>
      </c>
      <c r="C10" s="24">
        <f>'2010'!H13</f>
        <v>389396.13544345205</v>
      </c>
      <c r="D10" s="25">
        <f>'2020'!G13</f>
        <v>359439.289810288</v>
      </c>
      <c r="E10" s="25">
        <f>'2020'!H13</f>
        <v>355914.72818526992</v>
      </c>
      <c r="H10">
        <f t="shared" si="0"/>
        <v>-6.0434183697216778E-3</v>
      </c>
      <c r="I10">
        <f t="shared" si="1"/>
        <v>-9.2133607853256121E-3</v>
      </c>
      <c r="L10">
        <f t="shared" si="2"/>
        <v>360980.01409265707</v>
      </c>
      <c r="M10">
        <f t="shared" si="3"/>
        <v>358243.1860321798</v>
      </c>
    </row>
    <row r="11" spans="1:13" x14ac:dyDescent="0.25">
      <c r="A11" t="s">
        <v>11</v>
      </c>
      <c r="B11" s="24">
        <f>'2010'!G14</f>
        <v>361411.03500917077</v>
      </c>
      <c r="C11" s="24">
        <f>'2010'!H14</f>
        <v>381926.77203958423</v>
      </c>
      <c r="D11" s="25">
        <f>'2020'!G14</f>
        <v>372485.45572303998</v>
      </c>
      <c r="E11" s="25">
        <f>'2020'!H14</f>
        <v>380591.60012449551</v>
      </c>
      <c r="H11">
        <f t="shared" si="0"/>
        <v>3.0929906078200516E-3</v>
      </c>
      <c r="I11">
        <f t="shared" si="1"/>
        <v>-3.5887792687056729E-4</v>
      </c>
      <c r="L11">
        <f t="shared" si="2"/>
        <v>371670.93857243098</v>
      </c>
      <c r="M11">
        <f t="shared" si="3"/>
        <v>380688.28280583402</v>
      </c>
    </row>
    <row r="12" spans="1:13" x14ac:dyDescent="0.25">
      <c r="A12" t="s">
        <v>12</v>
      </c>
      <c r="B12" s="24">
        <f>'2010'!G15</f>
        <v>344023.89680300892</v>
      </c>
      <c r="C12" s="24">
        <f>'2010'!H15</f>
        <v>374698.58660305972</v>
      </c>
      <c r="D12" s="25">
        <f>'2020'!G15</f>
        <v>363843.07156674872</v>
      </c>
      <c r="E12" s="25">
        <f>'2020'!H15</f>
        <v>380546.55472301628</v>
      </c>
      <c r="H12">
        <f t="shared" si="0"/>
        <v>5.7399336061320265E-3</v>
      </c>
      <c r="I12">
        <f t="shared" si="1"/>
        <v>1.5870300982879801E-3</v>
      </c>
      <c r="L12">
        <f t="shared" si="2"/>
        <v>362367.95378779835</v>
      </c>
      <c r="M12">
        <f t="shared" si="3"/>
        <v>380119.34940009966</v>
      </c>
    </row>
    <row r="13" spans="1:13" x14ac:dyDescent="0.25">
      <c r="A13" t="s">
        <v>13</v>
      </c>
      <c r="B13" s="24">
        <f>'2010'!G16</f>
        <v>350041.45826803532</v>
      </c>
      <c r="C13" s="24">
        <f>'2010'!H16</f>
        <v>388694.06229275331</v>
      </c>
      <c r="D13" s="25">
        <f>'2020'!G16</f>
        <v>340915.17577947449</v>
      </c>
      <c r="E13" s="25">
        <f>'2020'!H16</f>
        <v>365673.56416350743</v>
      </c>
      <c r="H13">
        <f t="shared" si="0"/>
        <v>-2.7072464986598135E-3</v>
      </c>
      <c r="I13">
        <f t="shared" si="1"/>
        <v>-6.2564210322973452E-3</v>
      </c>
      <c r="L13">
        <f t="shared" si="2"/>
        <v>341569.02537261182</v>
      </c>
      <c r="M13">
        <f t="shared" si="3"/>
        <v>367296.37915629899</v>
      </c>
    </row>
    <row r="14" spans="1:13" x14ac:dyDescent="0.25">
      <c r="A14" t="s">
        <v>14</v>
      </c>
      <c r="B14" s="24">
        <f>'2010'!G17</f>
        <v>302210.18954636739</v>
      </c>
      <c r="C14" s="24">
        <f>'2010'!H17</f>
        <v>341749.17972557893</v>
      </c>
      <c r="D14" s="25">
        <f>'2020'!G17</f>
        <v>317656.92127893999</v>
      </c>
      <c r="E14" s="25">
        <f>'2020'!H17</f>
        <v>353351.14433664281</v>
      </c>
      <c r="H14">
        <f t="shared" si="0"/>
        <v>5.108428947427514E-3</v>
      </c>
      <c r="I14">
        <f t="shared" si="1"/>
        <v>3.4212421011245425E-3</v>
      </c>
      <c r="L14">
        <f t="shared" si="2"/>
        <v>316510.48903639941</v>
      </c>
      <c r="M14">
        <f t="shared" si="3"/>
        <v>352496.56538267143</v>
      </c>
    </row>
    <row r="15" spans="1:13" x14ac:dyDescent="0.25">
      <c r="A15" t="s">
        <v>15</v>
      </c>
      <c r="B15" s="24">
        <f>'2010'!G18</f>
        <v>262202.67225472612</v>
      </c>
      <c r="C15" s="24">
        <f>'2010'!H18</f>
        <v>305972.06337505084</v>
      </c>
      <c r="D15" s="25">
        <f>'2020'!G18</f>
        <v>314187.15370269702</v>
      </c>
      <c r="E15" s="25">
        <f>'2020'!H18</f>
        <v>355457.26710802567</v>
      </c>
      <c r="H15">
        <f t="shared" si="0"/>
        <v>1.8535254538620899E-2</v>
      </c>
      <c r="I15">
        <f t="shared" si="1"/>
        <v>1.5362560792794978E-2</v>
      </c>
      <c r="L15">
        <f t="shared" si="2"/>
        <v>310092.38837818184</v>
      </c>
      <c r="M15">
        <f t="shared" si="3"/>
        <v>351613.29982264084</v>
      </c>
    </row>
    <row r="16" spans="1:13" x14ac:dyDescent="0.25">
      <c r="A16" t="s">
        <v>16</v>
      </c>
      <c r="B16" s="24">
        <f>'2010'!G19</f>
        <v>235833.73224982151</v>
      </c>
      <c r="C16" s="24">
        <f>'2010'!H19</f>
        <v>282040.25981891766</v>
      </c>
      <c r="D16" s="25">
        <f>'2020'!G19</f>
        <v>286705.31310748012</v>
      </c>
      <c r="E16" s="25">
        <f>'2020'!H19</f>
        <v>337429.09642712952</v>
      </c>
      <c r="H16">
        <f t="shared" si="0"/>
        <v>2.0016753951457147E-2</v>
      </c>
      <c r="I16">
        <f t="shared" si="1"/>
        <v>1.8374825800250655E-2</v>
      </c>
      <c r="L16">
        <f t="shared" si="2"/>
        <v>282672.1641836309</v>
      </c>
      <c r="M16">
        <f t="shared" si="3"/>
        <v>333069.23786594329</v>
      </c>
    </row>
    <row r="17" spans="1:13" x14ac:dyDescent="0.25">
      <c r="A17" t="s">
        <v>17</v>
      </c>
      <c r="B17" s="24">
        <f>'2010'!G20</f>
        <v>183347.73587458718</v>
      </c>
      <c r="C17" s="24">
        <f>'2010'!H20</f>
        <v>217796.98973809285</v>
      </c>
      <c r="D17" s="25">
        <f>'2020'!G20</f>
        <v>239911.50300467439</v>
      </c>
      <c r="E17" s="25">
        <f>'2020'!H20</f>
        <v>287085.3547250579</v>
      </c>
      <c r="H17">
        <f t="shared" si="0"/>
        <v>2.7554778916660153E-2</v>
      </c>
      <c r="I17">
        <f t="shared" si="1"/>
        <v>2.8306003436075828E-2</v>
      </c>
      <c r="L17">
        <f t="shared" si="2"/>
        <v>235278.01961647786</v>
      </c>
      <c r="M17">
        <f t="shared" si="3"/>
        <v>281391.13624063076</v>
      </c>
    </row>
    <row r="18" spans="1:13" x14ac:dyDescent="0.25">
      <c r="A18" t="s">
        <v>18</v>
      </c>
      <c r="B18" s="24">
        <f>'2010'!G21</f>
        <v>144382.56630651181</v>
      </c>
      <c r="C18" s="24">
        <f>'2010'!H21</f>
        <v>178617.83333126761</v>
      </c>
      <c r="D18" s="25">
        <f>'2020'!G21</f>
        <v>209292.25572049461</v>
      </c>
      <c r="E18" s="25">
        <f>'2020'!H21</f>
        <v>260711.77266344929</v>
      </c>
      <c r="H18">
        <f t="shared" si="0"/>
        <v>3.8046403130908908E-2</v>
      </c>
      <c r="I18">
        <f t="shared" si="1"/>
        <v>3.87536861775429E-2</v>
      </c>
      <c r="L18">
        <f t="shared" si="2"/>
        <v>203731.67477921033</v>
      </c>
      <c r="M18">
        <f t="shared" si="3"/>
        <v>253658.04229803619</v>
      </c>
    </row>
    <row r="19" spans="1:13" x14ac:dyDescent="0.25">
      <c r="A19" t="s">
        <v>19</v>
      </c>
      <c r="B19" s="24">
        <f>'2010'!G22</f>
        <v>102299.56882266219</v>
      </c>
      <c r="C19" s="24">
        <f>'2010'!H22</f>
        <v>130517.13601381623</v>
      </c>
      <c r="D19" s="25">
        <f>'2020'!G22</f>
        <v>157415.92686852976</v>
      </c>
      <c r="E19" s="25">
        <f>'2020'!H22</f>
        <v>199151.72599305774</v>
      </c>
      <c r="H19">
        <f t="shared" si="0"/>
        <v>4.4166466452857878E-2</v>
      </c>
      <c r="I19">
        <f t="shared" si="1"/>
        <v>4.3303233928727973E-2</v>
      </c>
      <c r="L19">
        <f t="shared" si="2"/>
        <v>152571.31816868891</v>
      </c>
      <c r="M19">
        <f t="shared" si="3"/>
        <v>193140.62853176886</v>
      </c>
    </row>
    <row r="20" spans="1:13" x14ac:dyDescent="0.25">
      <c r="A20" t="s">
        <v>20</v>
      </c>
      <c r="B20" s="24">
        <f>'2010'!G23</f>
        <v>77026.220236436871</v>
      </c>
      <c r="C20" s="24">
        <f>'2010'!H23</f>
        <v>106386.05405246287</v>
      </c>
      <c r="D20" s="25">
        <f>'2020'!G23</f>
        <v>115255.14744744718</v>
      </c>
      <c r="E20" s="25">
        <f>'2020'!H23</f>
        <v>152767.97558546835</v>
      </c>
      <c r="H20">
        <f t="shared" si="0"/>
        <v>4.1298770851837668E-2</v>
      </c>
      <c r="I20">
        <f t="shared" si="1"/>
        <v>3.7081127910423541E-2</v>
      </c>
      <c r="L20">
        <f t="shared" si="2"/>
        <v>111935.03076597524</v>
      </c>
      <c r="M20">
        <f t="shared" si="3"/>
        <v>148810.79056277679</v>
      </c>
    </row>
    <row r="21" spans="1:13" x14ac:dyDescent="0.25">
      <c r="A21" t="s">
        <v>21</v>
      </c>
      <c r="B21" s="24">
        <f>'2010'!G24</f>
        <v>52009.874870855027</v>
      </c>
      <c r="C21" s="24">
        <f>'2010'!H24</f>
        <v>75321.105529987166</v>
      </c>
      <c r="D21" s="25">
        <f>'2020'!G24</f>
        <v>74290.667003170805</v>
      </c>
      <c r="E21" s="25">
        <f>'2020'!H24</f>
        <v>101106.90614236068</v>
      </c>
      <c r="H21">
        <f t="shared" si="0"/>
        <v>3.6538606386302928E-2</v>
      </c>
      <c r="I21">
        <f t="shared" si="1"/>
        <v>3.0171289133600912E-2</v>
      </c>
      <c r="L21">
        <f t="shared" si="2"/>
        <v>72394.090563277816</v>
      </c>
      <c r="M21">
        <f t="shared" si="3"/>
        <v>98970.747330312443</v>
      </c>
    </row>
    <row r="22" spans="1:13" x14ac:dyDescent="0.25">
      <c r="A22" t="s">
        <v>22</v>
      </c>
      <c r="B22" s="24">
        <f>'2010'!G25</f>
        <v>32777.637845571633</v>
      </c>
      <c r="C22" s="24">
        <f>'2010'!H25</f>
        <v>54274.240117118316</v>
      </c>
      <c r="D22" s="25">
        <f>'2020'!G25</f>
        <v>46144.104633393814</v>
      </c>
      <c r="E22" s="25">
        <f>'2020'!H25</f>
        <v>71458.022888753621</v>
      </c>
      <c r="H22">
        <f t="shared" si="0"/>
        <v>3.5049704570317058E-2</v>
      </c>
      <c r="I22">
        <f t="shared" si="1"/>
        <v>2.8187568320458465E-2</v>
      </c>
      <c r="L22">
        <f t="shared" si="2"/>
        <v>45013.495313631014</v>
      </c>
      <c r="M22">
        <f t="shared" si="3"/>
        <v>70046.554088027799</v>
      </c>
    </row>
    <row r="23" spans="1:13" x14ac:dyDescent="0.25">
      <c r="A23" t="s">
        <v>23</v>
      </c>
      <c r="B23" s="24">
        <f>'2010'!G26</f>
        <v>25188.363457486637</v>
      </c>
      <c r="C23" s="24">
        <f>'2010'!H26</f>
        <v>47705.2063286298</v>
      </c>
      <c r="D23" s="25">
        <f>'2020'!G26</f>
        <v>36707.858478267983</v>
      </c>
      <c r="E23" s="25">
        <f>'2020'!H26</f>
        <v>68871.415834925981</v>
      </c>
      <c r="H23">
        <f t="shared" si="0"/>
        <v>3.8594002904524978E-2</v>
      </c>
      <c r="I23">
        <f t="shared" si="1"/>
        <v>3.7629887322118492E-2</v>
      </c>
      <c r="L23">
        <f t="shared" si="2"/>
        <v>35718.739585596064</v>
      </c>
      <c r="M23">
        <f t="shared" si="3"/>
        <v>67061.372136270424</v>
      </c>
    </row>
    <row r="24" spans="1:13" x14ac:dyDescent="0.25">
      <c r="B24" s="23">
        <f>SUM(B6:C23)</f>
        <v>8724109.3097759299</v>
      </c>
      <c r="D24" s="8">
        <f>SUM(D6:E23)</f>
        <v>9127904.8486034684</v>
      </c>
    </row>
  </sheetData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D00B2-5883-4C12-850C-CDFAD574126E}">
  <dimension ref="A1:AP2941"/>
  <sheetViews>
    <sheetView tabSelected="1" topLeftCell="AE16" zoomScale="125" zoomScaleNormal="125" workbookViewId="0">
      <selection activeCell="AP9" sqref="AP9"/>
    </sheetView>
  </sheetViews>
  <sheetFormatPr baseColWidth="10" defaultColWidth="8.85546875" defaultRowHeight="15" x14ac:dyDescent="0.25"/>
  <cols>
    <col min="1" max="2" width="12.140625" customWidth="1"/>
    <col min="3" max="3" width="12.28515625" customWidth="1"/>
    <col min="4" max="4" width="16.140625" customWidth="1"/>
    <col min="5" max="5" width="13.140625" customWidth="1"/>
    <col min="6" max="6" width="12" customWidth="1"/>
    <col min="7" max="7" width="13.28515625" customWidth="1"/>
    <col min="8" max="8" width="15.28515625" customWidth="1"/>
    <col min="9" max="10" width="9.140625" customWidth="1"/>
    <col min="11" max="11" width="15.85546875" bestFit="1" customWidth="1"/>
    <col min="12" max="12" width="14.42578125" bestFit="1" customWidth="1"/>
    <col min="13" max="13" width="13" bestFit="1" customWidth="1"/>
    <col min="27" max="27" width="17.5703125" bestFit="1" customWidth="1"/>
    <col min="28" max="28" width="20.42578125" bestFit="1" customWidth="1"/>
    <col min="29" max="29" width="14.42578125" bestFit="1" customWidth="1"/>
    <col min="35" max="35" width="11" customWidth="1"/>
    <col min="36" max="36" width="11.140625" customWidth="1"/>
  </cols>
  <sheetData>
    <row r="1" spans="1:42" x14ac:dyDescent="0.25">
      <c r="A1" t="s">
        <v>42</v>
      </c>
      <c r="C1" s="1"/>
      <c r="D1" s="1"/>
      <c r="E1" s="1"/>
      <c r="F1" s="1"/>
      <c r="G1" s="1"/>
      <c r="H1" s="1"/>
      <c r="I1" s="1"/>
      <c r="J1" s="1"/>
      <c r="K1" s="48"/>
      <c r="AA1" s="1"/>
    </row>
    <row r="2" spans="1:42" x14ac:dyDescent="0.25">
      <c r="A2" t="s">
        <v>43</v>
      </c>
      <c r="C2" s="1"/>
      <c r="D2" s="1"/>
      <c r="E2" s="1"/>
      <c r="F2" s="1"/>
      <c r="G2" s="1"/>
      <c r="H2" s="1"/>
      <c r="I2" s="1"/>
      <c r="J2" s="1"/>
      <c r="K2" s="48"/>
      <c r="AA2" s="1"/>
    </row>
    <row r="3" spans="1:42" x14ac:dyDescent="0.25">
      <c r="A3" t="s">
        <v>2</v>
      </c>
      <c r="C3" s="1"/>
      <c r="D3" s="1"/>
      <c r="E3" s="1"/>
      <c r="F3" s="1"/>
      <c r="G3" s="1"/>
      <c r="H3" s="1"/>
      <c r="I3" s="1"/>
      <c r="J3" s="1"/>
      <c r="K3" s="48"/>
      <c r="AA3" s="42" t="s">
        <v>44</v>
      </c>
      <c r="AB3" t="s">
        <v>45</v>
      </c>
    </row>
    <row r="4" spans="1:42" x14ac:dyDescent="0.25">
      <c r="A4" t="s">
        <v>46</v>
      </c>
      <c r="C4" s="1"/>
      <c r="D4" s="1"/>
      <c r="E4" s="1"/>
      <c r="F4" s="1"/>
      <c r="G4" s="1"/>
      <c r="H4" s="1"/>
      <c r="I4" s="1"/>
      <c r="J4" s="1"/>
      <c r="K4" s="49" t="s">
        <v>44</v>
      </c>
      <c r="L4" t="s">
        <v>45</v>
      </c>
      <c r="AA4" s="42" t="s">
        <v>47</v>
      </c>
      <c r="AB4" t="s">
        <v>48</v>
      </c>
    </row>
    <row r="5" spans="1:42" x14ac:dyDescent="0.25">
      <c r="C5" s="1"/>
      <c r="D5" s="1"/>
      <c r="E5" s="1"/>
      <c r="F5" s="1"/>
      <c r="G5" s="1"/>
      <c r="H5" s="1"/>
      <c r="I5" s="1"/>
      <c r="J5" s="1"/>
      <c r="K5" s="1"/>
      <c r="AA5" s="1"/>
    </row>
    <row r="6" spans="1:42" x14ac:dyDescent="0.25">
      <c r="A6" s="27" t="s">
        <v>49</v>
      </c>
      <c r="B6" s="28" t="s">
        <v>50</v>
      </c>
      <c r="C6" s="29" t="s">
        <v>44</v>
      </c>
      <c r="D6" s="30" t="s">
        <v>47</v>
      </c>
      <c r="E6" s="31" t="s">
        <v>4</v>
      </c>
      <c r="F6" s="6" t="s">
        <v>5</v>
      </c>
      <c r="G6" s="7" t="s">
        <v>6</v>
      </c>
      <c r="H6" s="32" t="s">
        <v>24</v>
      </c>
      <c r="I6" s="1"/>
      <c r="J6" s="1"/>
      <c r="K6" s="42" t="s">
        <v>51</v>
      </c>
      <c r="L6" t="s">
        <v>52</v>
      </c>
      <c r="M6" t="s">
        <v>53</v>
      </c>
      <c r="AA6" s="42" t="s">
        <v>51</v>
      </c>
      <c r="AB6" t="s">
        <v>52</v>
      </c>
      <c r="AC6" t="s">
        <v>53</v>
      </c>
      <c r="AE6" s="33" t="s">
        <v>41</v>
      </c>
      <c r="AF6" s="34" t="s">
        <v>28</v>
      </c>
      <c r="AG6" s="22" t="s">
        <v>29</v>
      </c>
      <c r="AI6" s="2"/>
      <c r="AJ6" s="33" t="s">
        <v>54</v>
      </c>
      <c r="AK6" s="34" t="s">
        <v>28</v>
      </c>
      <c r="AL6" s="22" t="s">
        <v>29</v>
      </c>
      <c r="AN6" s="33" t="s">
        <v>55</v>
      </c>
      <c r="AO6" s="34" t="s">
        <v>28</v>
      </c>
      <c r="AP6" s="22" t="s">
        <v>29</v>
      </c>
    </row>
    <row r="7" spans="1:42" x14ac:dyDescent="0.25">
      <c r="A7" t="s">
        <v>4</v>
      </c>
      <c r="B7" t="str">
        <f t="shared" ref="B7:B70" si="0">IF(A7="Menores de 1 año",0,LEFT(A7,2))</f>
        <v>To</v>
      </c>
      <c r="C7" s="35">
        <v>1990</v>
      </c>
      <c r="D7" s="1" t="s">
        <v>4</v>
      </c>
      <c r="E7" s="36">
        <v>44741</v>
      </c>
      <c r="F7" s="36">
        <v>23509</v>
      </c>
      <c r="G7" s="36">
        <v>21203</v>
      </c>
      <c r="H7" s="35">
        <v>29</v>
      </c>
      <c r="I7" s="1"/>
      <c r="J7" s="1"/>
      <c r="K7" s="37">
        <v>1990</v>
      </c>
      <c r="L7">
        <v>46780</v>
      </c>
      <c r="M7">
        <v>42354</v>
      </c>
      <c r="AA7" s="37">
        <v>0</v>
      </c>
      <c r="AB7" s="50">
        <v>50449</v>
      </c>
      <c r="AC7" s="50">
        <v>39014</v>
      </c>
      <c r="AF7" s="38">
        <v>42317.937985787707</v>
      </c>
      <c r="AG7" s="38">
        <v>41159.242598785168</v>
      </c>
      <c r="AI7" s="2"/>
      <c r="AJ7" s="39">
        <v>0</v>
      </c>
      <c r="AK7" s="2">
        <v>50449</v>
      </c>
      <c r="AL7" s="2">
        <v>39014</v>
      </c>
      <c r="AN7" s="39">
        <v>0</v>
      </c>
      <c r="AO7">
        <f>AK7/AF7</f>
        <v>1.1921422073292671</v>
      </c>
      <c r="AP7">
        <f>AL7/AG7</f>
        <v>0.94787944424301707</v>
      </c>
    </row>
    <row r="8" spans="1:42" x14ac:dyDescent="0.25">
      <c r="A8" t="s">
        <v>4</v>
      </c>
      <c r="B8" t="str">
        <f t="shared" si="0"/>
        <v>To</v>
      </c>
      <c r="C8" s="35">
        <v>1990</v>
      </c>
      <c r="D8" s="35">
        <v>1990</v>
      </c>
      <c r="E8" s="36">
        <v>44584</v>
      </c>
      <c r="F8" s="36">
        <v>23386</v>
      </c>
      <c r="G8" s="36">
        <v>21171</v>
      </c>
      <c r="H8" s="35">
        <v>27</v>
      </c>
      <c r="I8" s="1"/>
      <c r="J8" s="1"/>
      <c r="K8" s="37">
        <v>1991</v>
      </c>
      <c r="L8">
        <v>47674</v>
      </c>
      <c r="M8">
        <v>42492</v>
      </c>
      <c r="AA8" s="37" t="s">
        <v>56</v>
      </c>
      <c r="AB8" s="50">
        <v>6196</v>
      </c>
      <c r="AC8" s="50">
        <v>5150</v>
      </c>
      <c r="AE8" s="2"/>
      <c r="AF8" s="38">
        <v>205156.40142936358</v>
      </c>
      <c r="AG8" s="38">
        <v>200150.36259921559</v>
      </c>
      <c r="AJ8" s="39" t="s">
        <v>56</v>
      </c>
      <c r="AK8" s="2">
        <v>6196</v>
      </c>
      <c r="AL8" s="2">
        <v>5150</v>
      </c>
      <c r="AN8" s="39" t="s">
        <v>56</v>
      </c>
      <c r="AO8">
        <f>AK8/AF8</f>
        <v>3.0201348614185528E-2</v>
      </c>
      <c r="AP8">
        <f>AL8/AG8</f>
        <v>2.5730655358903575E-2</v>
      </c>
    </row>
    <row r="9" spans="1:42" x14ac:dyDescent="0.25">
      <c r="A9" t="s">
        <v>4</v>
      </c>
      <c r="B9" t="str">
        <f t="shared" si="0"/>
        <v>To</v>
      </c>
      <c r="C9" s="35">
        <v>1990</v>
      </c>
      <c r="D9" s="1" t="s">
        <v>24</v>
      </c>
      <c r="E9" s="35">
        <v>157</v>
      </c>
      <c r="F9" s="35">
        <v>123</v>
      </c>
      <c r="G9" s="35">
        <v>32</v>
      </c>
      <c r="H9" s="35">
        <v>2</v>
      </c>
      <c r="I9" s="1"/>
      <c r="J9" s="1"/>
      <c r="K9" s="37">
        <v>1992</v>
      </c>
      <c r="L9">
        <v>48578</v>
      </c>
      <c r="M9">
        <v>42252</v>
      </c>
      <c r="AA9" s="37" t="s">
        <v>57</v>
      </c>
      <c r="AB9" s="50">
        <v>3234</v>
      </c>
      <c r="AC9" s="50">
        <v>2697</v>
      </c>
      <c r="AE9" s="2"/>
      <c r="AF9" s="38">
        <v>290343.92700000003</v>
      </c>
      <c r="AG9" s="38">
        <v>281464.21899999998</v>
      </c>
      <c r="AJ9" s="39" t="s">
        <v>57</v>
      </c>
      <c r="AK9" s="2">
        <v>3234</v>
      </c>
      <c r="AL9" s="2">
        <v>2697</v>
      </c>
      <c r="AN9" s="39" t="s">
        <v>57</v>
      </c>
      <c r="AO9">
        <f t="shared" ref="AO9:AO25" si="1">AK9/AF9</f>
        <v>1.1138514359213718E-2</v>
      </c>
      <c r="AP9">
        <f>AL9/AG9</f>
        <v>9.5820350081514266E-3</v>
      </c>
    </row>
    <row r="10" spans="1:42" x14ac:dyDescent="0.25">
      <c r="A10" t="s">
        <v>4</v>
      </c>
      <c r="B10" t="str">
        <f t="shared" si="0"/>
        <v>To</v>
      </c>
      <c r="C10" s="35">
        <v>1991</v>
      </c>
      <c r="D10" s="1" t="s">
        <v>4</v>
      </c>
      <c r="E10" s="36">
        <v>45203</v>
      </c>
      <c r="F10" s="36">
        <v>23929</v>
      </c>
      <c r="G10" s="36">
        <v>21257</v>
      </c>
      <c r="H10" s="35">
        <v>17</v>
      </c>
      <c r="I10" s="1"/>
      <c r="J10" s="1"/>
      <c r="K10" s="37">
        <v>1993</v>
      </c>
      <c r="L10">
        <v>47746</v>
      </c>
      <c r="M10">
        <v>42570</v>
      </c>
      <c r="AA10" s="37" t="s">
        <v>58</v>
      </c>
      <c r="AB10" s="50">
        <v>3988</v>
      </c>
      <c r="AC10" s="50">
        <v>2946</v>
      </c>
      <c r="AF10" s="38">
        <v>311772.05499999999</v>
      </c>
      <c r="AG10" s="38">
        <v>302383.62900000002</v>
      </c>
      <c r="AJ10" s="39">
        <v>10</v>
      </c>
      <c r="AK10" s="2">
        <v>3988</v>
      </c>
      <c r="AL10" s="2">
        <v>2946</v>
      </c>
      <c r="AN10" s="39">
        <v>10</v>
      </c>
      <c r="AO10">
        <f>AK10/AF10</f>
        <v>1.2791396586201416E-2</v>
      </c>
      <c r="AP10">
        <f t="shared" ref="AP9:AP25" si="2">AL10/AG10</f>
        <v>9.7425909257805744E-3</v>
      </c>
    </row>
    <row r="11" spans="1:42" x14ac:dyDescent="0.25">
      <c r="A11" t="s">
        <v>4</v>
      </c>
      <c r="B11" t="str">
        <f t="shared" si="0"/>
        <v>To</v>
      </c>
      <c r="C11" s="35">
        <v>1991</v>
      </c>
      <c r="D11" s="35">
        <v>1989</v>
      </c>
      <c r="E11" s="35">
        <v>1</v>
      </c>
      <c r="F11" s="1" t="s">
        <v>2</v>
      </c>
      <c r="G11" s="35">
        <v>1</v>
      </c>
      <c r="H11" s="1" t="s">
        <v>2</v>
      </c>
      <c r="I11" s="1"/>
      <c r="J11" s="1"/>
      <c r="K11" s="37">
        <v>1994</v>
      </c>
      <c r="L11">
        <v>48398</v>
      </c>
      <c r="M11">
        <v>43026</v>
      </c>
      <c r="AA11" s="37" t="s">
        <v>59</v>
      </c>
      <c r="AB11" s="50">
        <v>12474</v>
      </c>
      <c r="AC11" s="50">
        <v>5659</v>
      </c>
      <c r="AF11" s="38">
        <v>334250.92099999997</v>
      </c>
      <c r="AG11" s="38">
        <v>322888.02600000001</v>
      </c>
      <c r="AJ11" s="39">
        <v>15</v>
      </c>
      <c r="AK11" s="2">
        <v>12474</v>
      </c>
      <c r="AL11" s="2">
        <v>5659</v>
      </c>
      <c r="AN11" s="39">
        <v>15</v>
      </c>
      <c r="AO11">
        <f t="shared" si="1"/>
        <v>3.7319268897392212E-2</v>
      </c>
      <c r="AP11">
        <f t="shared" si="2"/>
        <v>1.7526199624386195E-2</v>
      </c>
    </row>
    <row r="12" spans="1:42" x14ac:dyDescent="0.25">
      <c r="A12" t="s">
        <v>4</v>
      </c>
      <c r="B12" t="str">
        <f t="shared" si="0"/>
        <v>To</v>
      </c>
      <c r="C12" s="35">
        <v>1991</v>
      </c>
      <c r="D12" s="35">
        <v>1990</v>
      </c>
      <c r="E12" s="35">
        <v>1</v>
      </c>
      <c r="F12" s="1" t="s">
        <v>2</v>
      </c>
      <c r="G12" s="35">
        <v>1</v>
      </c>
      <c r="H12" s="1" t="s">
        <v>2</v>
      </c>
      <c r="I12" s="1"/>
      <c r="J12" s="1"/>
      <c r="K12" s="37">
        <v>1995</v>
      </c>
      <c r="L12">
        <v>49330</v>
      </c>
      <c r="M12">
        <v>43780</v>
      </c>
      <c r="AA12" s="37" t="s">
        <v>60</v>
      </c>
      <c r="AB12" s="50">
        <v>21116</v>
      </c>
      <c r="AC12" s="50">
        <v>7332</v>
      </c>
      <c r="AF12" s="38">
        <v>360980.01400000002</v>
      </c>
      <c r="AG12" s="38">
        <v>358243.18599999999</v>
      </c>
      <c r="AJ12" s="39">
        <v>20</v>
      </c>
      <c r="AK12" s="2">
        <v>21116</v>
      </c>
      <c r="AL12" s="2">
        <v>7332</v>
      </c>
      <c r="AN12" s="39">
        <v>20</v>
      </c>
      <c r="AO12">
        <f t="shared" si="1"/>
        <v>5.8496313316670212E-2</v>
      </c>
      <c r="AP12">
        <f t="shared" si="2"/>
        <v>2.0466544198275413E-2</v>
      </c>
    </row>
    <row r="13" spans="1:42" x14ac:dyDescent="0.25">
      <c r="A13" t="s">
        <v>4</v>
      </c>
      <c r="B13" t="str">
        <f t="shared" si="0"/>
        <v>To</v>
      </c>
      <c r="C13" s="35">
        <v>1991</v>
      </c>
      <c r="D13" s="35">
        <v>1991</v>
      </c>
      <c r="E13" s="36">
        <v>45068</v>
      </c>
      <c r="F13" s="36">
        <v>23819</v>
      </c>
      <c r="G13" s="36">
        <v>21233</v>
      </c>
      <c r="H13" s="35">
        <v>16</v>
      </c>
      <c r="I13" s="1"/>
      <c r="J13" s="1"/>
      <c r="K13" s="37">
        <v>1996</v>
      </c>
      <c r="L13">
        <v>48454</v>
      </c>
      <c r="M13">
        <v>44280</v>
      </c>
      <c r="AA13" s="37" t="s">
        <v>61</v>
      </c>
      <c r="AB13" s="50">
        <v>25764</v>
      </c>
      <c r="AC13" s="50">
        <v>8554</v>
      </c>
      <c r="AF13" s="38">
        <v>371670.93900000001</v>
      </c>
      <c r="AG13" s="38">
        <v>380688.283</v>
      </c>
      <c r="AJ13" s="39">
        <v>25</v>
      </c>
      <c r="AK13" s="2">
        <v>25764</v>
      </c>
      <c r="AL13" s="2">
        <v>8554</v>
      </c>
      <c r="AN13" s="39">
        <v>25</v>
      </c>
      <c r="AO13">
        <f t="shared" si="1"/>
        <v>6.9319382541232252E-2</v>
      </c>
      <c r="AP13">
        <f t="shared" si="2"/>
        <v>2.2469827367920331E-2</v>
      </c>
    </row>
    <row r="14" spans="1:42" x14ac:dyDescent="0.25">
      <c r="A14" t="s">
        <v>4</v>
      </c>
      <c r="B14" t="str">
        <f t="shared" si="0"/>
        <v>To</v>
      </c>
      <c r="C14" s="35">
        <v>1991</v>
      </c>
      <c r="D14" s="1" t="s">
        <v>24</v>
      </c>
      <c r="E14" s="35">
        <v>133</v>
      </c>
      <c r="F14" s="35">
        <v>110</v>
      </c>
      <c r="G14" s="35">
        <v>22</v>
      </c>
      <c r="H14" s="35">
        <v>1</v>
      </c>
      <c r="I14" s="1"/>
      <c r="J14" s="1"/>
      <c r="K14" s="37">
        <v>1997</v>
      </c>
      <c r="L14">
        <v>48942</v>
      </c>
      <c r="M14">
        <v>44842</v>
      </c>
      <c r="AA14" s="37" t="s">
        <v>62</v>
      </c>
      <c r="AB14" s="50">
        <v>30175</v>
      </c>
      <c r="AC14" s="50">
        <v>10557</v>
      </c>
      <c r="AF14" s="38">
        <v>362367.95400000003</v>
      </c>
      <c r="AG14" s="38">
        <v>380119.34899999999</v>
      </c>
      <c r="AJ14" s="39">
        <v>30</v>
      </c>
      <c r="AK14" s="2">
        <v>30175</v>
      </c>
      <c r="AL14" s="2">
        <v>10557</v>
      </c>
      <c r="AN14" s="39">
        <v>30</v>
      </c>
      <c r="AO14">
        <f t="shared" si="1"/>
        <v>8.3271712266256293E-2</v>
      </c>
      <c r="AP14">
        <f t="shared" si="2"/>
        <v>2.7772856151029555E-2</v>
      </c>
    </row>
    <row r="15" spans="1:42" x14ac:dyDescent="0.25">
      <c r="A15" t="s">
        <v>4</v>
      </c>
      <c r="B15" t="str">
        <f t="shared" si="0"/>
        <v>To</v>
      </c>
      <c r="C15" s="35">
        <v>1992</v>
      </c>
      <c r="D15" s="1" t="s">
        <v>4</v>
      </c>
      <c r="E15" s="36">
        <v>45328</v>
      </c>
      <c r="F15" s="36">
        <v>24250</v>
      </c>
      <c r="G15" s="36">
        <v>21067</v>
      </c>
      <c r="H15" s="35">
        <v>11</v>
      </c>
      <c r="I15" s="1"/>
      <c r="J15" s="1"/>
      <c r="K15" s="37">
        <v>1998</v>
      </c>
      <c r="L15">
        <v>48498</v>
      </c>
      <c r="M15">
        <v>44788</v>
      </c>
      <c r="AA15" s="37" t="s">
        <v>63</v>
      </c>
      <c r="AB15" s="50">
        <v>35522</v>
      </c>
      <c r="AC15" s="50">
        <v>14259</v>
      </c>
      <c r="AF15" s="38">
        <v>341569.02500000002</v>
      </c>
      <c r="AG15" s="38">
        <v>367296.37900000002</v>
      </c>
      <c r="AJ15" s="39">
        <v>35</v>
      </c>
      <c r="AK15" s="2">
        <v>35522</v>
      </c>
      <c r="AL15" s="2">
        <v>14259</v>
      </c>
      <c r="AN15" s="39">
        <v>35</v>
      </c>
      <c r="AO15">
        <f t="shared" si="1"/>
        <v>0.10399654945292536</v>
      </c>
      <c r="AP15">
        <f t="shared" si="2"/>
        <v>3.882150986301991E-2</v>
      </c>
    </row>
    <row r="16" spans="1:42" x14ac:dyDescent="0.25">
      <c r="A16" t="s">
        <v>4</v>
      </c>
      <c r="B16" t="str">
        <f t="shared" si="0"/>
        <v>To</v>
      </c>
      <c r="C16" s="35">
        <v>1992</v>
      </c>
      <c r="D16" s="35">
        <v>1992</v>
      </c>
      <c r="E16" s="36">
        <v>45224</v>
      </c>
      <c r="F16" s="36">
        <v>24169</v>
      </c>
      <c r="G16" s="36">
        <v>21045</v>
      </c>
      <c r="H16" s="35">
        <v>10</v>
      </c>
      <c r="I16" s="1"/>
      <c r="J16" s="1"/>
      <c r="K16" s="37">
        <v>1999</v>
      </c>
      <c r="L16">
        <v>48234</v>
      </c>
      <c r="M16">
        <v>44964</v>
      </c>
      <c r="AA16" s="37" t="s">
        <v>64</v>
      </c>
      <c r="AB16" s="50">
        <v>41456</v>
      </c>
      <c r="AC16" s="50">
        <v>19836</v>
      </c>
      <c r="AF16" s="38">
        <v>316510.489</v>
      </c>
      <c r="AG16" s="38">
        <v>352496.565</v>
      </c>
      <c r="AJ16" s="39">
        <v>40</v>
      </c>
      <c r="AK16" s="2">
        <v>41456</v>
      </c>
      <c r="AL16" s="2">
        <v>19836</v>
      </c>
      <c r="AN16" s="39">
        <v>40</v>
      </c>
      <c r="AO16">
        <f t="shared" si="1"/>
        <v>0.13097828173397438</v>
      </c>
      <c r="AP16">
        <f t="shared" si="2"/>
        <v>5.6272888786873712E-2</v>
      </c>
    </row>
    <row r="17" spans="1:42" x14ac:dyDescent="0.25">
      <c r="A17" t="s">
        <v>4</v>
      </c>
      <c r="B17" t="str">
        <f t="shared" si="0"/>
        <v>To</v>
      </c>
      <c r="C17" s="35">
        <v>1992</v>
      </c>
      <c r="D17" s="1" t="s">
        <v>24</v>
      </c>
      <c r="E17" s="35">
        <v>104</v>
      </c>
      <c r="F17" s="35">
        <v>81</v>
      </c>
      <c r="G17" s="35">
        <v>22</v>
      </c>
      <c r="H17" s="35">
        <v>1</v>
      </c>
      <c r="I17" s="1"/>
      <c r="J17" s="1"/>
      <c r="K17" s="37">
        <v>2000</v>
      </c>
      <c r="L17">
        <v>47132</v>
      </c>
      <c r="M17">
        <v>44952</v>
      </c>
      <c r="AA17" s="37" t="s">
        <v>65</v>
      </c>
      <c r="AB17" s="50">
        <v>51386</v>
      </c>
      <c r="AC17" s="50">
        <v>29202</v>
      </c>
      <c r="AF17" s="38">
        <v>310092.38799999998</v>
      </c>
      <c r="AG17" s="38">
        <v>351613.3</v>
      </c>
      <c r="AJ17" s="39">
        <v>45</v>
      </c>
      <c r="AK17" s="2">
        <v>51386</v>
      </c>
      <c r="AL17" s="2">
        <v>29202</v>
      </c>
      <c r="AN17" s="39">
        <v>45</v>
      </c>
      <c r="AO17">
        <f t="shared" si="1"/>
        <v>0.1657119038987826</v>
      </c>
      <c r="AP17">
        <f t="shared" si="2"/>
        <v>8.3051465914400852E-2</v>
      </c>
    </row>
    <row r="18" spans="1:42" x14ac:dyDescent="0.25">
      <c r="A18" t="s">
        <v>4</v>
      </c>
      <c r="B18" t="str">
        <f t="shared" si="0"/>
        <v>To</v>
      </c>
      <c r="C18" s="35">
        <v>1993</v>
      </c>
      <c r="D18" s="1" t="s">
        <v>4</v>
      </c>
      <c r="E18" s="36">
        <v>45301</v>
      </c>
      <c r="F18" s="36">
        <v>23967</v>
      </c>
      <c r="G18" s="36">
        <v>21311</v>
      </c>
      <c r="H18" s="35">
        <v>23</v>
      </c>
      <c r="I18" s="1"/>
      <c r="J18" s="1"/>
      <c r="K18" s="37">
        <v>2001</v>
      </c>
      <c r="L18">
        <v>47848</v>
      </c>
      <c r="M18">
        <v>45480</v>
      </c>
      <c r="AA18" s="37" t="s">
        <v>66</v>
      </c>
      <c r="AB18" s="50">
        <v>62275</v>
      </c>
      <c r="AC18" s="50">
        <v>40024</v>
      </c>
      <c r="AF18" s="38">
        <v>282672.16399999999</v>
      </c>
      <c r="AG18" s="38">
        <v>333069.23800000001</v>
      </c>
      <c r="AJ18" s="39">
        <v>50</v>
      </c>
      <c r="AK18" s="2">
        <v>62275</v>
      </c>
      <c r="AL18" s="2">
        <v>40024</v>
      </c>
      <c r="AN18" s="39">
        <v>50</v>
      </c>
      <c r="AO18">
        <f t="shared" si="1"/>
        <v>0.22030821542088594</v>
      </c>
      <c r="AP18">
        <f t="shared" si="2"/>
        <v>0.12016720679560326</v>
      </c>
    </row>
    <row r="19" spans="1:42" x14ac:dyDescent="0.25">
      <c r="A19" t="s">
        <v>4</v>
      </c>
      <c r="B19" t="str">
        <f t="shared" si="0"/>
        <v>To</v>
      </c>
      <c r="C19" s="35">
        <v>1993</v>
      </c>
      <c r="D19" s="35">
        <v>1903</v>
      </c>
      <c r="E19" s="35">
        <v>4</v>
      </c>
      <c r="F19" s="35">
        <v>3</v>
      </c>
      <c r="G19" s="35">
        <v>1</v>
      </c>
      <c r="H19" s="1" t="s">
        <v>2</v>
      </c>
      <c r="I19" s="1"/>
      <c r="J19" s="1"/>
      <c r="K19" s="37">
        <v>2002</v>
      </c>
      <c r="L19">
        <v>47934</v>
      </c>
      <c r="M19">
        <v>45962</v>
      </c>
      <c r="AA19" s="37" t="s">
        <v>67</v>
      </c>
      <c r="AB19" s="50">
        <v>74606</v>
      </c>
      <c r="AC19" s="50">
        <v>53150</v>
      </c>
      <c r="AF19" s="38">
        <v>235278.02</v>
      </c>
      <c r="AG19" s="38">
        <v>281391.136</v>
      </c>
      <c r="AJ19" s="39">
        <v>55</v>
      </c>
      <c r="AK19" s="2">
        <v>74606</v>
      </c>
      <c r="AL19" s="2">
        <v>53150</v>
      </c>
      <c r="AN19" s="39">
        <v>55</v>
      </c>
      <c r="AO19">
        <f t="shared" si="1"/>
        <v>0.31709719420454152</v>
      </c>
      <c r="AP19">
        <f t="shared" si="2"/>
        <v>0.18888299310181542</v>
      </c>
    </row>
    <row r="20" spans="1:42" x14ac:dyDescent="0.25">
      <c r="A20" t="s">
        <v>4</v>
      </c>
      <c r="B20" t="str">
        <f t="shared" si="0"/>
        <v>To</v>
      </c>
      <c r="C20" s="35">
        <v>1993</v>
      </c>
      <c r="D20" s="35">
        <v>1906</v>
      </c>
      <c r="E20" s="35">
        <v>1</v>
      </c>
      <c r="F20" s="1" t="s">
        <v>2</v>
      </c>
      <c r="G20" s="35">
        <v>1</v>
      </c>
      <c r="H20" s="1" t="s">
        <v>2</v>
      </c>
      <c r="I20" s="1"/>
      <c r="J20" s="1"/>
      <c r="K20" s="37">
        <v>2003</v>
      </c>
      <c r="L20">
        <v>50072</v>
      </c>
      <c r="M20">
        <v>47168</v>
      </c>
      <c r="AA20" s="37" t="s">
        <v>68</v>
      </c>
      <c r="AB20" s="50">
        <v>86957</v>
      </c>
      <c r="AC20" s="50">
        <v>68338</v>
      </c>
      <c r="AF20" s="38">
        <v>203731.67499999999</v>
      </c>
      <c r="AG20" s="38">
        <v>253658.04199999999</v>
      </c>
      <c r="AJ20" s="39">
        <v>60</v>
      </c>
      <c r="AK20" s="2">
        <v>86957</v>
      </c>
      <c r="AL20" s="2">
        <v>68338</v>
      </c>
      <c r="AN20" s="39">
        <v>60</v>
      </c>
      <c r="AO20">
        <f t="shared" si="1"/>
        <v>0.42682120980942218</v>
      </c>
      <c r="AP20">
        <f t="shared" si="2"/>
        <v>0.26940994837451282</v>
      </c>
    </row>
    <row r="21" spans="1:42" x14ac:dyDescent="0.25">
      <c r="A21" t="s">
        <v>4</v>
      </c>
      <c r="B21" t="str">
        <f t="shared" si="0"/>
        <v>To</v>
      </c>
      <c r="C21" s="35">
        <v>1993</v>
      </c>
      <c r="D21" s="35">
        <v>1907</v>
      </c>
      <c r="E21" s="35">
        <v>1</v>
      </c>
      <c r="F21" s="1" t="s">
        <v>2</v>
      </c>
      <c r="G21" s="35">
        <v>1</v>
      </c>
      <c r="H21" s="1" t="s">
        <v>2</v>
      </c>
      <c r="I21" s="1"/>
      <c r="J21" s="1"/>
      <c r="K21" s="37">
        <v>2004</v>
      </c>
      <c r="L21">
        <v>49906</v>
      </c>
      <c r="M21">
        <v>48092</v>
      </c>
      <c r="AA21" s="37" t="s">
        <v>69</v>
      </c>
      <c r="AB21" s="50">
        <v>94843</v>
      </c>
      <c r="AC21" s="50">
        <v>82804</v>
      </c>
      <c r="AF21" s="38">
        <v>152571.318</v>
      </c>
      <c r="AG21" s="38">
        <v>193140.62899999999</v>
      </c>
      <c r="AJ21" s="39">
        <v>65</v>
      </c>
      <c r="AK21" s="2">
        <v>94843</v>
      </c>
      <c r="AL21" s="2">
        <v>82804</v>
      </c>
      <c r="AN21" s="39">
        <v>65</v>
      </c>
      <c r="AO21">
        <f t="shared" si="1"/>
        <v>0.62163060032030393</v>
      </c>
      <c r="AP21">
        <f t="shared" si="2"/>
        <v>0.42872388077394119</v>
      </c>
    </row>
    <row r="22" spans="1:42" x14ac:dyDescent="0.25">
      <c r="A22" t="s">
        <v>4</v>
      </c>
      <c r="B22" t="str">
        <f t="shared" si="0"/>
        <v>To</v>
      </c>
      <c r="C22" s="35">
        <v>1993</v>
      </c>
      <c r="D22" s="35">
        <v>1909</v>
      </c>
      <c r="E22" s="35">
        <v>1</v>
      </c>
      <c r="F22" s="1" t="s">
        <v>2</v>
      </c>
      <c r="G22" s="35">
        <v>1</v>
      </c>
      <c r="H22" s="1" t="s">
        <v>2</v>
      </c>
      <c r="I22" s="1"/>
      <c r="J22" s="1"/>
      <c r="K22" s="37">
        <v>2005</v>
      </c>
      <c r="L22">
        <v>51274</v>
      </c>
      <c r="M22">
        <v>48996</v>
      </c>
      <c r="AA22" s="37" t="s">
        <v>70</v>
      </c>
      <c r="AB22" s="50">
        <v>100787</v>
      </c>
      <c r="AC22" s="50">
        <v>95186</v>
      </c>
      <c r="AF22" s="38">
        <v>111935.031</v>
      </c>
      <c r="AG22" s="38">
        <v>148810.791</v>
      </c>
      <c r="AJ22" s="39">
        <v>70</v>
      </c>
      <c r="AK22" s="2">
        <v>100787</v>
      </c>
      <c r="AL22" s="2">
        <v>95186</v>
      </c>
      <c r="AN22" s="39">
        <v>70</v>
      </c>
      <c r="AO22">
        <f t="shared" si="1"/>
        <v>0.90040623654269591</v>
      </c>
      <c r="AP22">
        <f t="shared" si="2"/>
        <v>0.63964447309469652</v>
      </c>
    </row>
    <row r="23" spans="1:42" x14ac:dyDescent="0.25">
      <c r="A23" t="s">
        <v>4</v>
      </c>
      <c r="B23" t="str">
        <f t="shared" si="0"/>
        <v>To</v>
      </c>
      <c r="C23" s="35">
        <v>1993</v>
      </c>
      <c r="D23" s="35">
        <v>1913</v>
      </c>
      <c r="E23" s="35">
        <v>4</v>
      </c>
      <c r="F23" s="35">
        <v>1</v>
      </c>
      <c r="G23" s="35">
        <v>3</v>
      </c>
      <c r="H23" s="1" t="s">
        <v>2</v>
      </c>
      <c r="I23" s="1"/>
      <c r="J23" s="1"/>
      <c r="K23" s="37">
        <v>2006</v>
      </c>
      <c r="L23">
        <v>51134</v>
      </c>
      <c r="M23">
        <v>48828</v>
      </c>
      <c r="AA23" s="37" t="s">
        <v>71</v>
      </c>
      <c r="AB23" s="50">
        <v>100092</v>
      </c>
      <c r="AC23" s="50">
        <v>106789</v>
      </c>
      <c r="AF23" s="38">
        <v>72394.090599999996</v>
      </c>
      <c r="AG23" s="38">
        <v>98970.747300000003</v>
      </c>
      <c r="AJ23" s="39">
        <v>75</v>
      </c>
      <c r="AK23" s="2">
        <v>100092</v>
      </c>
      <c r="AL23" s="2">
        <v>106789</v>
      </c>
      <c r="AN23" s="39">
        <v>75</v>
      </c>
      <c r="AO23">
        <f t="shared" si="1"/>
        <v>1.3825990377175896</v>
      </c>
      <c r="AP23">
        <f t="shared" si="2"/>
        <v>1.0789955912558822</v>
      </c>
    </row>
    <row r="24" spans="1:42" x14ac:dyDescent="0.25">
      <c r="A24" t="s">
        <v>4</v>
      </c>
      <c r="B24" t="str">
        <f t="shared" si="0"/>
        <v>To</v>
      </c>
      <c r="C24" s="35">
        <v>1993</v>
      </c>
      <c r="D24" s="35">
        <v>1914</v>
      </c>
      <c r="E24" s="35">
        <v>1</v>
      </c>
      <c r="F24" s="1" t="s">
        <v>2</v>
      </c>
      <c r="G24" s="35">
        <v>1</v>
      </c>
      <c r="H24" s="1" t="s">
        <v>2</v>
      </c>
      <c r="I24" s="1"/>
      <c r="J24" s="1"/>
      <c r="K24" s="37">
        <v>2007</v>
      </c>
      <c r="L24">
        <v>52332</v>
      </c>
      <c r="M24">
        <v>50490</v>
      </c>
      <c r="AA24" s="37" t="s">
        <v>72</v>
      </c>
      <c r="AB24" s="50">
        <v>91138</v>
      </c>
      <c r="AC24" s="50">
        <v>115310</v>
      </c>
      <c r="AF24" s="38">
        <v>45013.495300000002</v>
      </c>
      <c r="AG24" s="38">
        <v>70046.554099999994</v>
      </c>
      <c r="AJ24" s="39">
        <v>80</v>
      </c>
      <c r="AK24" s="2">
        <v>91138</v>
      </c>
      <c r="AL24" s="2">
        <v>115310</v>
      </c>
      <c r="AN24" s="39">
        <v>80</v>
      </c>
      <c r="AO24">
        <f t="shared" si="1"/>
        <v>2.0246816958468896</v>
      </c>
      <c r="AP24">
        <f t="shared" si="2"/>
        <v>1.6461909009168521</v>
      </c>
    </row>
    <row r="25" spans="1:42" x14ac:dyDescent="0.25">
      <c r="A25" t="s">
        <v>4</v>
      </c>
      <c r="B25" t="str">
        <f t="shared" si="0"/>
        <v>To</v>
      </c>
      <c r="C25" s="35">
        <v>1993</v>
      </c>
      <c r="D25" s="35">
        <v>1923</v>
      </c>
      <c r="E25" s="35">
        <v>1</v>
      </c>
      <c r="F25" s="1" t="s">
        <v>2</v>
      </c>
      <c r="G25" s="35">
        <v>1</v>
      </c>
      <c r="H25" s="1" t="s">
        <v>2</v>
      </c>
      <c r="I25" s="1"/>
      <c r="J25" s="1"/>
      <c r="K25" s="37">
        <v>2008</v>
      </c>
      <c r="L25">
        <v>53252</v>
      </c>
      <c r="M25">
        <v>51146</v>
      </c>
      <c r="AA25" s="37" t="s">
        <v>73</v>
      </c>
      <c r="AB25" s="50">
        <v>128221</v>
      </c>
      <c r="AC25" s="50">
        <v>226406</v>
      </c>
      <c r="AF25" s="38">
        <v>35718.739600000001</v>
      </c>
      <c r="AG25" s="38">
        <v>67061.372099999993</v>
      </c>
      <c r="AJ25" s="39">
        <v>85</v>
      </c>
      <c r="AK25" s="2">
        <v>128221</v>
      </c>
      <c r="AL25" s="2">
        <v>226406</v>
      </c>
      <c r="AN25" s="39">
        <v>85</v>
      </c>
      <c r="AO25">
        <f t="shared" si="1"/>
        <v>3.5897403277914095</v>
      </c>
      <c r="AP25">
        <f t="shared" si="2"/>
        <v>3.376101515823295</v>
      </c>
    </row>
    <row r="26" spans="1:42" x14ac:dyDescent="0.25">
      <c r="A26" t="s">
        <v>4</v>
      </c>
      <c r="B26" t="str">
        <f t="shared" si="0"/>
        <v>To</v>
      </c>
      <c r="C26" s="35">
        <v>1993</v>
      </c>
      <c r="D26" s="35">
        <v>1930</v>
      </c>
      <c r="E26" s="35">
        <v>2</v>
      </c>
      <c r="F26" s="35">
        <v>2</v>
      </c>
      <c r="G26" s="1" t="s">
        <v>2</v>
      </c>
      <c r="H26" s="1" t="s">
        <v>2</v>
      </c>
      <c r="I26" s="1"/>
      <c r="J26" s="1"/>
      <c r="K26" s="37">
        <v>2009</v>
      </c>
      <c r="L26">
        <v>54850</v>
      </c>
      <c r="M26">
        <v>52778</v>
      </c>
      <c r="AA26" s="37" t="s">
        <v>74</v>
      </c>
      <c r="AB26" s="50">
        <v>597</v>
      </c>
      <c r="AC26" s="50">
        <v>270</v>
      </c>
      <c r="AE26" s="2"/>
      <c r="AJ26" s="39"/>
      <c r="AK26" s="2"/>
      <c r="AL26" s="2"/>
    </row>
    <row r="27" spans="1:42" x14ac:dyDescent="0.25">
      <c r="A27" t="s">
        <v>4</v>
      </c>
      <c r="B27" t="str">
        <f t="shared" si="0"/>
        <v>To</v>
      </c>
      <c r="C27" s="35">
        <v>1993</v>
      </c>
      <c r="D27" s="35">
        <v>1933</v>
      </c>
      <c r="E27" s="35">
        <v>1</v>
      </c>
      <c r="F27" s="1" t="s">
        <v>2</v>
      </c>
      <c r="G27" s="35">
        <v>1</v>
      </c>
      <c r="H27" s="1" t="s">
        <v>2</v>
      </c>
      <c r="I27" s="1"/>
      <c r="J27" s="1"/>
      <c r="K27" s="37">
        <v>2010</v>
      </c>
      <c r="L27">
        <v>56546</v>
      </c>
      <c r="M27">
        <v>54194</v>
      </c>
      <c r="AA27" s="37" t="s">
        <v>75</v>
      </c>
      <c r="AB27" s="50">
        <v>1021276</v>
      </c>
      <c r="AC27" s="50">
        <v>933483</v>
      </c>
      <c r="AE27" s="2"/>
      <c r="AK27" s="2"/>
      <c r="AL27" s="2"/>
    </row>
    <row r="28" spans="1:42" x14ac:dyDescent="0.25">
      <c r="A28" t="s">
        <v>4</v>
      </c>
      <c r="B28" t="str">
        <f t="shared" si="0"/>
        <v>To</v>
      </c>
      <c r="C28" s="35">
        <v>1993</v>
      </c>
      <c r="D28" s="35">
        <v>1943</v>
      </c>
      <c r="E28" s="35">
        <v>10</v>
      </c>
      <c r="F28" s="35">
        <v>5</v>
      </c>
      <c r="G28" s="35">
        <v>5</v>
      </c>
      <c r="H28" s="1" t="s">
        <v>2</v>
      </c>
      <c r="I28" s="1"/>
      <c r="J28" s="1"/>
      <c r="K28" s="37">
        <v>2011</v>
      </c>
      <c r="L28">
        <v>56542</v>
      </c>
      <c r="M28">
        <v>52434</v>
      </c>
      <c r="AA28" s="37" t="s">
        <v>76</v>
      </c>
      <c r="AB28" s="50">
        <v>2042552</v>
      </c>
      <c r="AC28" s="50">
        <v>1866966</v>
      </c>
      <c r="AJ28" s="40"/>
      <c r="AK28" s="41"/>
      <c r="AL28" s="41"/>
    </row>
    <row r="29" spans="1:42" x14ac:dyDescent="0.25">
      <c r="A29" t="s">
        <v>4</v>
      </c>
      <c r="B29" t="str">
        <f t="shared" si="0"/>
        <v>To</v>
      </c>
      <c r="C29" s="35">
        <v>1993</v>
      </c>
      <c r="D29" s="35">
        <v>1973</v>
      </c>
      <c r="E29" s="35">
        <v>2</v>
      </c>
      <c r="F29" s="1" t="s">
        <v>2</v>
      </c>
      <c r="G29" s="35">
        <v>2</v>
      </c>
      <c r="H29" s="1" t="s">
        <v>2</v>
      </c>
      <c r="I29" s="1"/>
      <c r="J29" s="1"/>
      <c r="K29" s="37">
        <v>2012</v>
      </c>
      <c r="L29">
        <v>57782</v>
      </c>
      <c r="M29">
        <v>54288</v>
      </c>
    </row>
    <row r="30" spans="1:42" x14ac:dyDescent="0.25">
      <c r="A30" t="s">
        <v>4</v>
      </c>
      <c r="B30" t="str">
        <f t="shared" si="0"/>
        <v>To</v>
      </c>
      <c r="C30" s="35">
        <v>1993</v>
      </c>
      <c r="D30" s="35">
        <v>1983</v>
      </c>
      <c r="E30" s="35">
        <v>4</v>
      </c>
      <c r="F30" s="1" t="s">
        <v>2</v>
      </c>
      <c r="G30" s="35">
        <v>4</v>
      </c>
      <c r="H30" s="1" t="s">
        <v>2</v>
      </c>
      <c r="I30" s="1"/>
      <c r="J30" s="1"/>
      <c r="K30" s="37">
        <v>2013</v>
      </c>
      <c r="L30">
        <v>59358</v>
      </c>
      <c r="M30">
        <v>54894</v>
      </c>
    </row>
    <row r="31" spans="1:42" x14ac:dyDescent="0.25">
      <c r="A31" t="s">
        <v>4</v>
      </c>
      <c r="B31" t="str">
        <f t="shared" si="0"/>
        <v>To</v>
      </c>
      <c r="C31" s="35">
        <v>1993</v>
      </c>
      <c r="D31" s="35">
        <v>1990</v>
      </c>
      <c r="E31" s="35">
        <v>1</v>
      </c>
      <c r="F31" s="1" t="s">
        <v>2</v>
      </c>
      <c r="G31" s="35">
        <v>1</v>
      </c>
      <c r="H31" s="1" t="s">
        <v>2</v>
      </c>
      <c r="I31" s="1"/>
      <c r="J31" s="1"/>
      <c r="K31" s="37">
        <v>2014</v>
      </c>
      <c r="L31">
        <v>60608</v>
      </c>
      <c r="M31">
        <v>56930</v>
      </c>
    </row>
    <row r="32" spans="1:42" x14ac:dyDescent="0.25">
      <c r="A32" t="s">
        <v>4</v>
      </c>
      <c r="B32" t="str">
        <f t="shared" si="0"/>
        <v>To</v>
      </c>
      <c r="C32" s="35">
        <v>1993</v>
      </c>
      <c r="D32" s="35">
        <v>1991</v>
      </c>
      <c r="E32" s="35">
        <v>4</v>
      </c>
      <c r="F32" s="35">
        <v>3</v>
      </c>
      <c r="G32" s="35">
        <v>1</v>
      </c>
      <c r="H32" s="1" t="s">
        <v>2</v>
      </c>
      <c r="I32" s="1"/>
      <c r="J32" s="1"/>
      <c r="K32" s="37">
        <v>2015</v>
      </c>
      <c r="L32">
        <v>61008</v>
      </c>
      <c r="M32">
        <v>57732</v>
      </c>
    </row>
    <row r="33" spans="1:13" x14ac:dyDescent="0.25">
      <c r="A33" t="s">
        <v>4</v>
      </c>
      <c r="B33" t="str">
        <f t="shared" si="0"/>
        <v>To</v>
      </c>
      <c r="C33" s="35">
        <v>1993</v>
      </c>
      <c r="D33" s="35">
        <v>1992</v>
      </c>
      <c r="E33" s="35">
        <v>192</v>
      </c>
      <c r="F33" s="35">
        <v>113</v>
      </c>
      <c r="G33" s="35">
        <v>79</v>
      </c>
      <c r="H33" s="1" t="s">
        <v>2</v>
      </c>
      <c r="I33" s="1"/>
      <c r="J33" s="1"/>
      <c r="K33" s="37">
        <v>2016</v>
      </c>
      <c r="L33">
        <v>64544</v>
      </c>
      <c r="M33">
        <v>59524</v>
      </c>
    </row>
    <row r="34" spans="1:13" x14ac:dyDescent="0.25">
      <c r="A34" t="s">
        <v>4</v>
      </c>
      <c r="B34" t="str">
        <f t="shared" si="0"/>
        <v>To</v>
      </c>
      <c r="C34" s="35">
        <v>1993</v>
      </c>
      <c r="D34" s="35">
        <v>1993</v>
      </c>
      <c r="E34" s="36">
        <v>44968</v>
      </c>
      <c r="F34" s="36">
        <v>23752</v>
      </c>
      <c r="G34" s="36">
        <v>21193</v>
      </c>
      <c r="H34" s="35">
        <v>23</v>
      </c>
      <c r="I34" s="1"/>
      <c r="J34" s="1"/>
      <c r="K34" s="37">
        <v>2017</v>
      </c>
      <c r="L34">
        <v>63778</v>
      </c>
      <c r="M34">
        <v>60292</v>
      </c>
    </row>
    <row r="35" spans="1:13" x14ac:dyDescent="0.25">
      <c r="A35" t="s">
        <v>4</v>
      </c>
      <c r="B35" t="str">
        <f t="shared" si="0"/>
        <v>To</v>
      </c>
      <c r="C35" s="35">
        <v>1993</v>
      </c>
      <c r="D35" s="1" t="s">
        <v>24</v>
      </c>
      <c r="E35" s="35">
        <v>104</v>
      </c>
      <c r="F35" s="35">
        <v>88</v>
      </c>
      <c r="G35" s="35">
        <v>16</v>
      </c>
      <c r="H35" s="1" t="s">
        <v>2</v>
      </c>
      <c r="I35" s="1"/>
      <c r="J35" s="1"/>
      <c r="K35" s="37">
        <v>2018</v>
      </c>
      <c r="L35">
        <v>65246</v>
      </c>
      <c r="M35">
        <v>61242</v>
      </c>
    </row>
    <row r="36" spans="1:13" x14ac:dyDescent="0.25">
      <c r="A36" t="s">
        <v>4</v>
      </c>
      <c r="B36" t="str">
        <f t="shared" si="0"/>
        <v>To</v>
      </c>
      <c r="C36" s="35">
        <v>1994</v>
      </c>
      <c r="D36" s="1" t="s">
        <v>4</v>
      </c>
      <c r="E36" s="36">
        <v>45686</v>
      </c>
      <c r="F36" s="36">
        <v>24149</v>
      </c>
      <c r="G36" s="36">
        <v>21516</v>
      </c>
      <c r="H36" s="35">
        <v>21</v>
      </c>
      <c r="I36" s="1"/>
      <c r="J36" s="1"/>
      <c r="K36" s="37">
        <v>2019</v>
      </c>
      <c r="L36">
        <v>66008</v>
      </c>
      <c r="M36">
        <v>60594</v>
      </c>
    </row>
    <row r="37" spans="1:13" x14ac:dyDescent="0.25">
      <c r="A37" t="s">
        <v>4</v>
      </c>
      <c r="B37" t="str">
        <f t="shared" si="0"/>
        <v>To</v>
      </c>
      <c r="C37" s="35">
        <v>1994</v>
      </c>
      <c r="D37" s="35">
        <v>1903</v>
      </c>
      <c r="E37" s="35">
        <v>1</v>
      </c>
      <c r="F37" s="35">
        <v>1</v>
      </c>
      <c r="G37" s="1" t="s">
        <v>2</v>
      </c>
      <c r="H37" s="1" t="s">
        <v>2</v>
      </c>
      <c r="I37" s="1"/>
      <c r="J37" s="1"/>
      <c r="K37" s="37">
        <v>2020</v>
      </c>
      <c r="L37">
        <v>124244</v>
      </c>
      <c r="M37">
        <v>90862</v>
      </c>
    </row>
    <row r="38" spans="1:13" x14ac:dyDescent="0.25">
      <c r="A38" t="s">
        <v>4</v>
      </c>
      <c r="B38" t="str">
        <f t="shared" si="0"/>
        <v>To</v>
      </c>
      <c r="C38" s="35">
        <v>1994</v>
      </c>
      <c r="D38" s="35">
        <v>1904</v>
      </c>
      <c r="E38" s="35">
        <v>6</v>
      </c>
      <c r="F38" s="35">
        <v>3</v>
      </c>
      <c r="G38" s="35">
        <v>3</v>
      </c>
      <c r="H38" s="1" t="s">
        <v>2</v>
      </c>
      <c r="I38" s="1"/>
      <c r="J38" s="1"/>
      <c r="K38" s="37">
        <v>2021</v>
      </c>
      <c r="L38">
        <v>110904</v>
      </c>
      <c r="M38">
        <v>89130</v>
      </c>
    </row>
    <row r="39" spans="1:13" x14ac:dyDescent="0.25">
      <c r="A39" t="s">
        <v>4</v>
      </c>
      <c r="B39" t="str">
        <f t="shared" si="0"/>
        <v>To</v>
      </c>
      <c r="C39" s="35">
        <v>1994</v>
      </c>
      <c r="D39" s="35">
        <v>1910</v>
      </c>
      <c r="E39" s="35">
        <v>2</v>
      </c>
      <c r="F39" s="35">
        <v>1</v>
      </c>
      <c r="G39" s="35">
        <v>1</v>
      </c>
      <c r="H39" s="1" t="s">
        <v>2</v>
      </c>
      <c r="I39" s="1"/>
      <c r="J39" s="1"/>
      <c r="K39" s="37">
        <v>2022</v>
      </c>
      <c r="L39">
        <v>71394</v>
      </c>
      <c r="M39">
        <v>67256</v>
      </c>
    </row>
    <row r="40" spans="1:13" x14ac:dyDescent="0.25">
      <c r="A40" t="s">
        <v>4</v>
      </c>
      <c r="B40" t="str">
        <f t="shared" si="0"/>
        <v>To</v>
      </c>
      <c r="C40" s="35">
        <v>1994</v>
      </c>
      <c r="D40" s="35">
        <v>1911</v>
      </c>
      <c r="E40" s="35">
        <v>1</v>
      </c>
      <c r="F40" s="1" t="s">
        <v>2</v>
      </c>
      <c r="G40" s="35">
        <v>1</v>
      </c>
      <c r="H40" s="1" t="s">
        <v>2</v>
      </c>
      <c r="I40" s="1"/>
      <c r="J40" s="1"/>
      <c r="K40" s="37">
        <v>2023</v>
      </c>
      <c r="L40">
        <v>67144</v>
      </c>
      <c r="M40">
        <v>63466</v>
      </c>
    </row>
    <row r="41" spans="1:13" x14ac:dyDescent="0.25">
      <c r="A41" t="s">
        <v>4</v>
      </c>
      <c r="B41" t="str">
        <f t="shared" si="0"/>
        <v>To</v>
      </c>
      <c r="C41" s="35">
        <v>1994</v>
      </c>
      <c r="D41" s="35">
        <v>1940</v>
      </c>
      <c r="E41" s="35">
        <v>1</v>
      </c>
      <c r="F41" s="35">
        <v>1</v>
      </c>
      <c r="G41" s="1" t="s">
        <v>2</v>
      </c>
      <c r="H41" s="1" t="s">
        <v>2</v>
      </c>
      <c r="I41" s="1"/>
      <c r="J41" s="1"/>
      <c r="K41" s="37">
        <v>2024</v>
      </c>
      <c r="L41">
        <v>68914</v>
      </c>
      <c r="M41">
        <v>64708</v>
      </c>
    </row>
    <row r="42" spans="1:13" x14ac:dyDescent="0.25">
      <c r="A42" t="s">
        <v>4</v>
      </c>
      <c r="B42" t="str">
        <f t="shared" si="0"/>
        <v>To</v>
      </c>
      <c r="C42" s="35">
        <v>1994</v>
      </c>
      <c r="D42" s="35">
        <v>1944</v>
      </c>
      <c r="E42" s="35">
        <v>4</v>
      </c>
      <c r="F42" s="35">
        <v>3</v>
      </c>
      <c r="G42" s="35">
        <v>1</v>
      </c>
      <c r="H42" s="1" t="s">
        <v>2</v>
      </c>
      <c r="I42" s="1"/>
      <c r="J42" s="1"/>
      <c r="K42" s="37" t="s">
        <v>76</v>
      </c>
      <c r="L42">
        <v>2042388</v>
      </c>
      <c r="M42">
        <v>1866786</v>
      </c>
    </row>
    <row r="43" spans="1:13" x14ac:dyDescent="0.25">
      <c r="A43" t="s">
        <v>4</v>
      </c>
      <c r="B43" t="str">
        <f t="shared" si="0"/>
        <v>To</v>
      </c>
      <c r="C43" s="35">
        <v>1994</v>
      </c>
      <c r="D43" s="35">
        <v>1949</v>
      </c>
      <c r="E43" s="35">
        <v>1</v>
      </c>
      <c r="F43" s="35">
        <v>1</v>
      </c>
      <c r="G43" s="1" t="s">
        <v>2</v>
      </c>
      <c r="H43" s="1" t="s">
        <v>2</v>
      </c>
      <c r="I43" s="1"/>
      <c r="J43" s="1"/>
    </row>
    <row r="44" spans="1:13" x14ac:dyDescent="0.25">
      <c r="A44" t="s">
        <v>4</v>
      </c>
      <c r="B44" t="str">
        <f t="shared" si="0"/>
        <v>To</v>
      </c>
      <c r="C44" s="35">
        <v>1994</v>
      </c>
      <c r="D44" s="35">
        <v>1954</v>
      </c>
      <c r="E44" s="35">
        <v>2</v>
      </c>
      <c r="F44" s="1" t="s">
        <v>2</v>
      </c>
      <c r="G44" s="35">
        <v>2</v>
      </c>
      <c r="H44" s="1" t="s">
        <v>2</v>
      </c>
      <c r="I44" s="1"/>
      <c r="J44" s="1"/>
    </row>
    <row r="45" spans="1:13" x14ac:dyDescent="0.25">
      <c r="A45" t="s">
        <v>4</v>
      </c>
      <c r="B45" t="str">
        <f t="shared" si="0"/>
        <v>To</v>
      </c>
      <c r="C45" s="35">
        <v>1994</v>
      </c>
      <c r="D45" s="35">
        <v>1974</v>
      </c>
      <c r="E45" s="35">
        <v>1</v>
      </c>
      <c r="F45" s="35">
        <v>1</v>
      </c>
      <c r="G45" s="1" t="s">
        <v>2</v>
      </c>
      <c r="H45" s="1" t="s">
        <v>2</v>
      </c>
      <c r="I45" s="1"/>
      <c r="J45" s="1"/>
    </row>
    <row r="46" spans="1:13" x14ac:dyDescent="0.25">
      <c r="A46" t="s">
        <v>4</v>
      </c>
      <c r="B46" t="str">
        <f t="shared" si="0"/>
        <v>To</v>
      </c>
      <c r="C46" s="35">
        <v>1994</v>
      </c>
      <c r="D46" s="35">
        <v>1978</v>
      </c>
      <c r="E46" s="35">
        <v>1</v>
      </c>
      <c r="F46" s="35">
        <v>1</v>
      </c>
      <c r="G46" s="1" t="s">
        <v>2</v>
      </c>
      <c r="H46" s="1" t="s">
        <v>2</v>
      </c>
      <c r="I46" s="1"/>
      <c r="J46" s="1"/>
    </row>
    <row r="47" spans="1:13" x14ac:dyDescent="0.25">
      <c r="A47" t="s">
        <v>4</v>
      </c>
      <c r="B47" t="str">
        <f t="shared" si="0"/>
        <v>To</v>
      </c>
      <c r="C47" s="35">
        <v>1994</v>
      </c>
      <c r="D47" s="35">
        <v>1984</v>
      </c>
      <c r="E47" s="35">
        <v>4</v>
      </c>
      <c r="F47" s="35">
        <v>2</v>
      </c>
      <c r="G47" s="35">
        <v>2</v>
      </c>
      <c r="H47" s="1" t="s">
        <v>2</v>
      </c>
      <c r="I47" s="1"/>
      <c r="J47" s="1"/>
    </row>
    <row r="48" spans="1:13" x14ac:dyDescent="0.25">
      <c r="A48" t="s">
        <v>4</v>
      </c>
      <c r="B48" t="str">
        <f t="shared" si="0"/>
        <v>To</v>
      </c>
      <c r="C48" s="35">
        <v>1994</v>
      </c>
      <c r="D48" s="35">
        <v>1988</v>
      </c>
      <c r="E48" s="35">
        <v>1</v>
      </c>
      <c r="F48" s="1" t="s">
        <v>2</v>
      </c>
      <c r="G48" s="35">
        <v>1</v>
      </c>
      <c r="H48" s="1" t="s">
        <v>2</v>
      </c>
      <c r="I48" s="1"/>
      <c r="J48" s="1"/>
    </row>
    <row r="49" spans="1:10" x14ac:dyDescent="0.25">
      <c r="A49" t="s">
        <v>4</v>
      </c>
      <c r="B49" t="str">
        <f t="shared" si="0"/>
        <v>To</v>
      </c>
      <c r="C49" s="35">
        <v>1994</v>
      </c>
      <c r="D49" s="35">
        <v>1991</v>
      </c>
      <c r="E49" s="35">
        <v>8</v>
      </c>
      <c r="F49" s="35">
        <v>5</v>
      </c>
      <c r="G49" s="35">
        <v>3</v>
      </c>
      <c r="H49" s="1" t="s">
        <v>2</v>
      </c>
      <c r="I49" s="1"/>
      <c r="J49" s="1"/>
    </row>
    <row r="50" spans="1:10" x14ac:dyDescent="0.25">
      <c r="A50" t="s">
        <v>4</v>
      </c>
      <c r="B50" t="str">
        <f t="shared" si="0"/>
        <v>To</v>
      </c>
      <c r="C50" s="35">
        <v>1994</v>
      </c>
      <c r="D50" s="35">
        <v>1992</v>
      </c>
      <c r="E50" s="35">
        <v>2</v>
      </c>
      <c r="F50" s="35">
        <v>1</v>
      </c>
      <c r="G50" s="35">
        <v>1</v>
      </c>
      <c r="H50" s="1" t="s">
        <v>2</v>
      </c>
      <c r="I50" s="1"/>
      <c r="J50" s="1"/>
    </row>
    <row r="51" spans="1:10" x14ac:dyDescent="0.25">
      <c r="A51" t="s">
        <v>4</v>
      </c>
      <c r="B51" t="str">
        <f t="shared" si="0"/>
        <v>To</v>
      </c>
      <c r="C51" s="35">
        <v>1994</v>
      </c>
      <c r="D51" s="35">
        <v>1993</v>
      </c>
      <c r="E51" s="35">
        <v>185</v>
      </c>
      <c r="F51" s="35">
        <v>105</v>
      </c>
      <c r="G51" s="35">
        <v>80</v>
      </c>
      <c r="H51" s="1" t="s">
        <v>2</v>
      </c>
      <c r="I51" s="1"/>
      <c r="J51" s="1"/>
    </row>
    <row r="52" spans="1:10" x14ac:dyDescent="0.25">
      <c r="A52" t="s">
        <v>4</v>
      </c>
      <c r="B52" t="str">
        <f t="shared" si="0"/>
        <v>To</v>
      </c>
      <c r="C52" s="35">
        <v>1994</v>
      </c>
      <c r="D52" s="35">
        <v>1994</v>
      </c>
      <c r="E52" s="36">
        <v>45465</v>
      </c>
      <c r="F52" s="36">
        <v>24023</v>
      </c>
      <c r="G52" s="36">
        <v>21421</v>
      </c>
      <c r="H52" s="35">
        <v>21</v>
      </c>
      <c r="I52" s="1"/>
      <c r="J52" s="1"/>
    </row>
    <row r="53" spans="1:10" x14ac:dyDescent="0.25">
      <c r="A53" t="s">
        <v>4</v>
      </c>
      <c r="B53" t="str">
        <f t="shared" si="0"/>
        <v>To</v>
      </c>
      <c r="C53" s="35">
        <v>1994</v>
      </c>
      <c r="D53" s="1" t="s">
        <v>24</v>
      </c>
      <c r="E53" s="35">
        <v>1</v>
      </c>
      <c r="F53" s="35">
        <v>1</v>
      </c>
      <c r="G53" s="1" t="s">
        <v>2</v>
      </c>
      <c r="H53" s="1" t="s">
        <v>2</v>
      </c>
      <c r="I53" s="1"/>
      <c r="J53" s="1"/>
    </row>
    <row r="54" spans="1:10" x14ac:dyDescent="0.25">
      <c r="A54" t="s">
        <v>4</v>
      </c>
      <c r="B54" t="str">
        <f t="shared" si="0"/>
        <v>To</v>
      </c>
      <c r="C54" s="35">
        <v>1995</v>
      </c>
      <c r="D54" s="1" t="s">
        <v>4</v>
      </c>
      <c r="E54" s="36">
        <v>46609</v>
      </c>
      <c r="F54" s="36">
        <v>24693</v>
      </c>
      <c r="G54" s="36">
        <v>21901</v>
      </c>
      <c r="H54" s="35">
        <v>15</v>
      </c>
      <c r="I54" s="1"/>
      <c r="J54" s="1"/>
    </row>
    <row r="55" spans="1:10" x14ac:dyDescent="0.25">
      <c r="A55" t="s">
        <v>4</v>
      </c>
      <c r="B55" t="str">
        <f t="shared" si="0"/>
        <v>To</v>
      </c>
      <c r="C55" s="35">
        <v>1995</v>
      </c>
      <c r="D55" s="35">
        <v>1901</v>
      </c>
      <c r="E55" s="35">
        <v>1</v>
      </c>
      <c r="F55" s="35">
        <v>1</v>
      </c>
      <c r="G55" s="1" t="s">
        <v>2</v>
      </c>
      <c r="H55" s="1" t="s">
        <v>2</v>
      </c>
      <c r="I55" s="1"/>
      <c r="J55" s="1"/>
    </row>
    <row r="56" spans="1:10" x14ac:dyDescent="0.25">
      <c r="A56" t="s">
        <v>4</v>
      </c>
      <c r="B56" t="str">
        <f t="shared" si="0"/>
        <v>To</v>
      </c>
      <c r="C56" s="35">
        <v>1995</v>
      </c>
      <c r="D56" s="35">
        <v>1905</v>
      </c>
      <c r="E56" s="35">
        <v>3</v>
      </c>
      <c r="F56" s="35">
        <v>1</v>
      </c>
      <c r="G56" s="35">
        <v>2</v>
      </c>
      <c r="H56" s="1" t="s">
        <v>2</v>
      </c>
      <c r="I56" s="1"/>
      <c r="J56" s="1"/>
    </row>
    <row r="57" spans="1:10" x14ac:dyDescent="0.25">
      <c r="A57" t="s">
        <v>4</v>
      </c>
      <c r="B57" t="str">
        <f t="shared" si="0"/>
        <v>To</v>
      </c>
      <c r="C57" s="35">
        <v>1995</v>
      </c>
      <c r="D57" s="35">
        <v>1909</v>
      </c>
      <c r="E57" s="35">
        <v>1</v>
      </c>
      <c r="F57" s="35">
        <v>1</v>
      </c>
      <c r="G57" s="1" t="s">
        <v>2</v>
      </c>
      <c r="H57" s="1" t="s">
        <v>2</v>
      </c>
      <c r="I57" s="1"/>
      <c r="J57" s="1"/>
    </row>
    <row r="58" spans="1:10" x14ac:dyDescent="0.25">
      <c r="A58" t="s">
        <v>4</v>
      </c>
      <c r="B58" t="str">
        <f t="shared" si="0"/>
        <v>To</v>
      </c>
      <c r="C58" s="35">
        <v>1995</v>
      </c>
      <c r="D58" s="35">
        <v>1915</v>
      </c>
      <c r="E58" s="35">
        <v>1</v>
      </c>
      <c r="F58" s="1" t="s">
        <v>2</v>
      </c>
      <c r="G58" s="35">
        <v>1</v>
      </c>
      <c r="H58" s="1" t="s">
        <v>2</v>
      </c>
      <c r="I58" s="1"/>
      <c r="J58" s="1"/>
    </row>
    <row r="59" spans="1:10" x14ac:dyDescent="0.25">
      <c r="A59" t="s">
        <v>4</v>
      </c>
      <c r="B59" t="str">
        <f t="shared" si="0"/>
        <v>To</v>
      </c>
      <c r="C59" s="35">
        <v>1995</v>
      </c>
      <c r="D59" s="35">
        <v>1916</v>
      </c>
      <c r="E59" s="35">
        <v>1</v>
      </c>
      <c r="F59" s="35">
        <v>1</v>
      </c>
      <c r="G59" s="1" t="s">
        <v>2</v>
      </c>
      <c r="H59" s="1" t="s">
        <v>2</v>
      </c>
      <c r="I59" s="1"/>
      <c r="J59" s="1"/>
    </row>
    <row r="60" spans="1:10" x14ac:dyDescent="0.25">
      <c r="A60" t="s">
        <v>4</v>
      </c>
      <c r="B60" t="str">
        <f t="shared" si="0"/>
        <v>To</v>
      </c>
      <c r="C60" s="35">
        <v>1995</v>
      </c>
      <c r="D60" s="35">
        <v>1925</v>
      </c>
      <c r="E60" s="35">
        <v>1</v>
      </c>
      <c r="F60" s="1" t="s">
        <v>2</v>
      </c>
      <c r="G60" s="35">
        <v>1</v>
      </c>
      <c r="H60" s="1" t="s">
        <v>2</v>
      </c>
      <c r="I60" s="1"/>
      <c r="J60" s="1"/>
    </row>
    <row r="61" spans="1:10" x14ac:dyDescent="0.25">
      <c r="A61" t="s">
        <v>4</v>
      </c>
      <c r="B61" t="str">
        <f t="shared" si="0"/>
        <v>To</v>
      </c>
      <c r="C61" s="35">
        <v>1995</v>
      </c>
      <c r="D61" s="35">
        <v>1945</v>
      </c>
      <c r="E61" s="35">
        <v>7</v>
      </c>
      <c r="F61" s="35">
        <v>5</v>
      </c>
      <c r="G61" s="35">
        <v>2</v>
      </c>
      <c r="H61" s="1" t="s">
        <v>2</v>
      </c>
      <c r="I61" s="1"/>
      <c r="J61" s="1"/>
    </row>
    <row r="62" spans="1:10" x14ac:dyDescent="0.25">
      <c r="A62" t="s">
        <v>4</v>
      </c>
      <c r="B62" t="str">
        <f t="shared" si="0"/>
        <v>To</v>
      </c>
      <c r="C62" s="35">
        <v>1995</v>
      </c>
      <c r="D62" s="35">
        <v>1949</v>
      </c>
      <c r="E62" s="35">
        <v>1</v>
      </c>
      <c r="F62" s="35">
        <v>1</v>
      </c>
      <c r="G62" s="1" t="s">
        <v>2</v>
      </c>
      <c r="H62" s="1" t="s">
        <v>2</v>
      </c>
      <c r="I62" s="1"/>
      <c r="J62" s="1"/>
    </row>
    <row r="63" spans="1:10" x14ac:dyDescent="0.25">
      <c r="A63" t="s">
        <v>4</v>
      </c>
      <c r="B63" t="str">
        <f t="shared" si="0"/>
        <v>To</v>
      </c>
      <c r="C63" s="35">
        <v>1995</v>
      </c>
      <c r="D63" s="35">
        <v>1950</v>
      </c>
      <c r="E63" s="35">
        <v>1</v>
      </c>
      <c r="F63" s="35">
        <v>1</v>
      </c>
      <c r="G63" s="1" t="s">
        <v>2</v>
      </c>
      <c r="H63" s="1" t="s">
        <v>2</v>
      </c>
      <c r="I63" s="1"/>
      <c r="J63" s="1"/>
    </row>
    <row r="64" spans="1:10" x14ac:dyDescent="0.25">
      <c r="A64" t="s">
        <v>4</v>
      </c>
      <c r="B64" t="str">
        <f t="shared" si="0"/>
        <v>To</v>
      </c>
      <c r="C64" s="35">
        <v>1995</v>
      </c>
      <c r="D64" s="35">
        <v>1951</v>
      </c>
      <c r="E64" s="35">
        <v>1</v>
      </c>
      <c r="F64" s="35">
        <v>1</v>
      </c>
      <c r="G64" s="1" t="s">
        <v>2</v>
      </c>
      <c r="H64" s="1" t="s">
        <v>2</v>
      </c>
      <c r="I64" s="1"/>
      <c r="J64" s="1"/>
    </row>
    <row r="65" spans="1:10" x14ac:dyDescent="0.25">
      <c r="A65" t="s">
        <v>4</v>
      </c>
      <c r="B65" t="str">
        <f t="shared" si="0"/>
        <v>To</v>
      </c>
      <c r="C65" s="35">
        <v>1995</v>
      </c>
      <c r="D65" s="35">
        <v>1955</v>
      </c>
      <c r="E65" s="35">
        <v>1</v>
      </c>
      <c r="F65" s="1" t="s">
        <v>2</v>
      </c>
      <c r="G65" s="35">
        <v>1</v>
      </c>
      <c r="H65" s="1" t="s">
        <v>2</v>
      </c>
      <c r="I65" s="1"/>
      <c r="J65" s="1"/>
    </row>
    <row r="66" spans="1:10" x14ac:dyDescent="0.25">
      <c r="A66" t="s">
        <v>4</v>
      </c>
      <c r="B66" t="str">
        <f t="shared" si="0"/>
        <v>To</v>
      </c>
      <c r="C66" s="35">
        <v>1995</v>
      </c>
      <c r="D66" s="35">
        <v>1965</v>
      </c>
      <c r="E66" s="35">
        <v>1</v>
      </c>
      <c r="F66" s="1" t="s">
        <v>2</v>
      </c>
      <c r="G66" s="35">
        <v>1</v>
      </c>
      <c r="H66" s="1" t="s">
        <v>2</v>
      </c>
      <c r="I66" s="1"/>
      <c r="J66" s="1"/>
    </row>
    <row r="67" spans="1:10" x14ac:dyDescent="0.25">
      <c r="A67" t="s">
        <v>4</v>
      </c>
      <c r="B67" t="str">
        <f t="shared" si="0"/>
        <v>To</v>
      </c>
      <c r="C67" s="35">
        <v>1995</v>
      </c>
      <c r="D67" s="35">
        <v>1973</v>
      </c>
      <c r="E67" s="35">
        <v>1</v>
      </c>
      <c r="F67" s="35">
        <v>1</v>
      </c>
      <c r="G67" s="1" t="s">
        <v>2</v>
      </c>
      <c r="H67" s="1" t="s">
        <v>2</v>
      </c>
      <c r="I67" s="1"/>
      <c r="J67" s="1"/>
    </row>
    <row r="68" spans="1:10" x14ac:dyDescent="0.25">
      <c r="A68" t="s">
        <v>4</v>
      </c>
      <c r="B68" t="str">
        <f t="shared" si="0"/>
        <v>To</v>
      </c>
      <c r="C68" s="35">
        <v>1995</v>
      </c>
      <c r="D68" s="35">
        <v>1975</v>
      </c>
      <c r="E68" s="35">
        <v>3</v>
      </c>
      <c r="F68" s="35">
        <v>2</v>
      </c>
      <c r="G68" s="35">
        <v>1</v>
      </c>
      <c r="H68" s="1" t="s">
        <v>2</v>
      </c>
      <c r="I68" s="1"/>
      <c r="J68" s="1"/>
    </row>
    <row r="69" spans="1:10" x14ac:dyDescent="0.25">
      <c r="A69" t="s">
        <v>4</v>
      </c>
      <c r="B69" t="str">
        <f t="shared" si="0"/>
        <v>To</v>
      </c>
      <c r="C69" s="35">
        <v>1995</v>
      </c>
      <c r="D69" s="35">
        <v>1985</v>
      </c>
      <c r="E69" s="35">
        <v>1</v>
      </c>
      <c r="F69" s="1" t="s">
        <v>2</v>
      </c>
      <c r="G69" s="35">
        <v>1</v>
      </c>
      <c r="H69" s="1" t="s">
        <v>2</v>
      </c>
      <c r="I69" s="1"/>
      <c r="J69" s="1"/>
    </row>
    <row r="70" spans="1:10" x14ac:dyDescent="0.25">
      <c r="A70" t="s">
        <v>4</v>
      </c>
      <c r="B70" t="str">
        <f t="shared" si="0"/>
        <v>To</v>
      </c>
      <c r="C70" s="35">
        <v>1995</v>
      </c>
      <c r="D70" s="35">
        <v>1987</v>
      </c>
      <c r="E70" s="35">
        <v>1</v>
      </c>
      <c r="F70" s="35">
        <v>1</v>
      </c>
      <c r="G70" s="1" t="s">
        <v>2</v>
      </c>
      <c r="H70" s="1" t="s">
        <v>2</v>
      </c>
      <c r="I70" s="1"/>
      <c r="J70" s="1"/>
    </row>
    <row r="71" spans="1:10" x14ac:dyDescent="0.25">
      <c r="A71" t="s">
        <v>4</v>
      </c>
      <c r="B71" t="str">
        <f t="shared" ref="B71:B134" si="3">IF(A71="Menores de 1 año",0,LEFT(A71,2))</f>
        <v>To</v>
      </c>
      <c r="C71" s="35">
        <v>1995</v>
      </c>
      <c r="D71" s="35">
        <v>1990</v>
      </c>
      <c r="E71" s="35">
        <v>2</v>
      </c>
      <c r="F71" s="35">
        <v>1</v>
      </c>
      <c r="G71" s="35">
        <v>1</v>
      </c>
      <c r="H71" s="1" t="s">
        <v>2</v>
      </c>
      <c r="I71" s="1"/>
      <c r="J71" s="1"/>
    </row>
    <row r="72" spans="1:10" x14ac:dyDescent="0.25">
      <c r="A72" t="s">
        <v>4</v>
      </c>
      <c r="B72" t="str">
        <f t="shared" si="3"/>
        <v>To</v>
      </c>
      <c r="C72" s="35">
        <v>1995</v>
      </c>
      <c r="D72" s="35">
        <v>1991</v>
      </c>
      <c r="E72" s="35">
        <v>7</v>
      </c>
      <c r="F72" s="35">
        <v>4</v>
      </c>
      <c r="G72" s="35">
        <v>3</v>
      </c>
      <c r="H72" s="1" t="s">
        <v>2</v>
      </c>
      <c r="I72" s="1"/>
      <c r="J72" s="1"/>
    </row>
    <row r="73" spans="1:10" x14ac:dyDescent="0.25">
      <c r="A73" t="s">
        <v>4</v>
      </c>
      <c r="B73" t="str">
        <f t="shared" si="3"/>
        <v>To</v>
      </c>
      <c r="C73" s="35">
        <v>1995</v>
      </c>
      <c r="D73" s="35">
        <v>1992</v>
      </c>
      <c r="E73" s="35">
        <v>2</v>
      </c>
      <c r="F73" s="35">
        <v>1</v>
      </c>
      <c r="G73" s="35">
        <v>1</v>
      </c>
      <c r="H73" s="1" t="s">
        <v>2</v>
      </c>
      <c r="I73" s="1"/>
      <c r="J73" s="1"/>
    </row>
    <row r="74" spans="1:10" x14ac:dyDescent="0.25">
      <c r="A74" t="s">
        <v>4</v>
      </c>
      <c r="B74" t="str">
        <f t="shared" si="3"/>
        <v>To</v>
      </c>
      <c r="C74" s="35">
        <v>1995</v>
      </c>
      <c r="D74" s="35">
        <v>1993</v>
      </c>
      <c r="E74" s="35">
        <v>14</v>
      </c>
      <c r="F74" s="35">
        <v>8</v>
      </c>
      <c r="G74" s="35">
        <v>6</v>
      </c>
      <c r="H74" s="1" t="s">
        <v>2</v>
      </c>
      <c r="I74" s="1"/>
      <c r="J74" s="1"/>
    </row>
    <row r="75" spans="1:10" x14ac:dyDescent="0.25">
      <c r="A75" t="s">
        <v>4</v>
      </c>
      <c r="B75" t="str">
        <f t="shared" si="3"/>
        <v>To</v>
      </c>
      <c r="C75" s="35">
        <v>1995</v>
      </c>
      <c r="D75" s="35">
        <v>1994</v>
      </c>
      <c r="E75" s="35">
        <v>259</v>
      </c>
      <c r="F75" s="35">
        <v>167</v>
      </c>
      <c r="G75" s="35">
        <v>89</v>
      </c>
      <c r="H75" s="35">
        <v>3</v>
      </c>
      <c r="I75" s="1"/>
      <c r="J75" s="1"/>
    </row>
    <row r="76" spans="1:10" x14ac:dyDescent="0.25">
      <c r="A76" t="s">
        <v>4</v>
      </c>
      <c r="B76" t="str">
        <f t="shared" si="3"/>
        <v>To</v>
      </c>
      <c r="C76" s="35">
        <v>1995</v>
      </c>
      <c r="D76" s="35">
        <v>1995</v>
      </c>
      <c r="E76" s="36">
        <v>46295</v>
      </c>
      <c r="F76" s="36">
        <v>24492</v>
      </c>
      <c r="G76" s="36">
        <v>21791</v>
      </c>
      <c r="H76" s="35">
        <v>12</v>
      </c>
      <c r="I76" s="1"/>
      <c r="J76" s="1"/>
    </row>
    <row r="77" spans="1:10" x14ac:dyDescent="0.25">
      <c r="A77" t="s">
        <v>4</v>
      </c>
      <c r="B77" t="str">
        <f t="shared" si="3"/>
        <v>To</v>
      </c>
      <c r="C77" s="35">
        <v>1995</v>
      </c>
      <c r="D77" s="1" t="s">
        <v>24</v>
      </c>
      <c r="E77" s="35">
        <v>4</v>
      </c>
      <c r="F77" s="35">
        <v>4</v>
      </c>
      <c r="G77" s="1" t="s">
        <v>2</v>
      </c>
      <c r="H77" s="1" t="s">
        <v>2</v>
      </c>
      <c r="I77" s="1"/>
      <c r="J77" s="1"/>
    </row>
    <row r="78" spans="1:10" x14ac:dyDescent="0.25">
      <c r="A78" t="s">
        <v>4</v>
      </c>
      <c r="B78" t="str">
        <f t="shared" si="3"/>
        <v>To</v>
      </c>
      <c r="C78" s="35">
        <v>1996</v>
      </c>
      <c r="D78" s="1" t="s">
        <v>4</v>
      </c>
      <c r="E78" s="36">
        <v>46474</v>
      </c>
      <c r="F78" s="36">
        <v>24306</v>
      </c>
      <c r="G78" s="36">
        <v>22157</v>
      </c>
      <c r="H78" s="35">
        <v>11</v>
      </c>
      <c r="I78" s="1"/>
      <c r="J78" s="1"/>
    </row>
    <row r="79" spans="1:10" x14ac:dyDescent="0.25">
      <c r="A79" t="s">
        <v>4</v>
      </c>
      <c r="B79" t="str">
        <f t="shared" si="3"/>
        <v>To</v>
      </c>
      <c r="C79" s="35">
        <v>1996</v>
      </c>
      <c r="D79" s="35">
        <v>1906</v>
      </c>
      <c r="E79" s="35">
        <v>2</v>
      </c>
      <c r="F79" s="35">
        <v>1</v>
      </c>
      <c r="G79" s="35">
        <v>1</v>
      </c>
      <c r="H79" s="1" t="s">
        <v>2</v>
      </c>
      <c r="I79" s="1"/>
      <c r="J79" s="1"/>
    </row>
    <row r="80" spans="1:10" x14ac:dyDescent="0.25">
      <c r="A80" t="s">
        <v>4</v>
      </c>
      <c r="B80" t="str">
        <f t="shared" si="3"/>
        <v>To</v>
      </c>
      <c r="C80" s="35">
        <v>1996</v>
      </c>
      <c r="D80" s="35">
        <v>1909</v>
      </c>
      <c r="E80" s="35">
        <v>1</v>
      </c>
      <c r="F80" s="35">
        <v>1</v>
      </c>
      <c r="G80" s="1" t="s">
        <v>2</v>
      </c>
      <c r="H80" s="1" t="s">
        <v>2</v>
      </c>
      <c r="I80" s="1"/>
      <c r="J80" s="1"/>
    </row>
    <row r="81" spans="1:10" x14ac:dyDescent="0.25">
      <c r="A81" t="s">
        <v>4</v>
      </c>
      <c r="B81" t="str">
        <f t="shared" si="3"/>
        <v>To</v>
      </c>
      <c r="C81" s="35">
        <v>1996</v>
      </c>
      <c r="D81" s="35">
        <v>1916</v>
      </c>
      <c r="E81" s="35">
        <v>1</v>
      </c>
      <c r="F81" s="1" t="s">
        <v>2</v>
      </c>
      <c r="G81" s="35">
        <v>1</v>
      </c>
      <c r="H81" s="1" t="s">
        <v>2</v>
      </c>
      <c r="I81" s="1"/>
      <c r="J81" s="1"/>
    </row>
    <row r="82" spans="1:10" x14ac:dyDescent="0.25">
      <c r="A82" t="s">
        <v>4</v>
      </c>
      <c r="B82" t="str">
        <f t="shared" si="3"/>
        <v>To</v>
      </c>
      <c r="C82" s="35">
        <v>1996</v>
      </c>
      <c r="D82" s="35">
        <v>1920</v>
      </c>
      <c r="E82" s="35">
        <v>1</v>
      </c>
      <c r="F82" s="1" t="s">
        <v>2</v>
      </c>
      <c r="G82" s="35">
        <v>1</v>
      </c>
      <c r="H82" s="1" t="s">
        <v>2</v>
      </c>
      <c r="I82" s="1"/>
      <c r="J82" s="1"/>
    </row>
    <row r="83" spans="1:10" x14ac:dyDescent="0.25">
      <c r="A83" t="s">
        <v>4</v>
      </c>
      <c r="B83" t="str">
        <f t="shared" si="3"/>
        <v>To</v>
      </c>
      <c r="C83" s="35">
        <v>1996</v>
      </c>
      <c r="D83" s="35">
        <v>1940</v>
      </c>
      <c r="E83" s="35">
        <v>1</v>
      </c>
      <c r="F83" s="1" t="s">
        <v>2</v>
      </c>
      <c r="G83" s="35">
        <v>1</v>
      </c>
      <c r="H83" s="1" t="s">
        <v>2</v>
      </c>
      <c r="I83" s="1"/>
      <c r="J83" s="1"/>
    </row>
    <row r="84" spans="1:10" x14ac:dyDescent="0.25">
      <c r="A84" t="s">
        <v>4</v>
      </c>
      <c r="B84" t="str">
        <f t="shared" si="3"/>
        <v>To</v>
      </c>
      <c r="C84" s="35">
        <v>1996</v>
      </c>
      <c r="D84" s="35">
        <v>1946</v>
      </c>
      <c r="E84" s="35">
        <v>1</v>
      </c>
      <c r="F84" s="35">
        <v>1</v>
      </c>
      <c r="G84" s="1" t="s">
        <v>2</v>
      </c>
      <c r="H84" s="1" t="s">
        <v>2</v>
      </c>
      <c r="I84" s="1"/>
      <c r="J84" s="1"/>
    </row>
    <row r="85" spans="1:10" x14ac:dyDescent="0.25">
      <c r="A85" t="s">
        <v>4</v>
      </c>
      <c r="B85" t="str">
        <f t="shared" si="3"/>
        <v>To</v>
      </c>
      <c r="C85" s="35">
        <v>1996</v>
      </c>
      <c r="D85" s="35">
        <v>1966</v>
      </c>
      <c r="E85" s="35">
        <v>1</v>
      </c>
      <c r="F85" s="1" t="s">
        <v>2</v>
      </c>
      <c r="G85" s="35">
        <v>1</v>
      </c>
      <c r="H85" s="1" t="s">
        <v>2</v>
      </c>
      <c r="I85" s="1"/>
      <c r="J85" s="1"/>
    </row>
    <row r="86" spans="1:10" x14ac:dyDescent="0.25">
      <c r="A86" t="s">
        <v>4</v>
      </c>
      <c r="B86" t="str">
        <f t="shared" si="3"/>
        <v>To</v>
      </c>
      <c r="C86" s="35">
        <v>1996</v>
      </c>
      <c r="D86" s="35">
        <v>1976</v>
      </c>
      <c r="E86" s="35">
        <v>2</v>
      </c>
      <c r="F86" s="35">
        <v>2</v>
      </c>
      <c r="G86" s="1" t="s">
        <v>2</v>
      </c>
      <c r="H86" s="1" t="s">
        <v>2</v>
      </c>
      <c r="I86" s="1"/>
      <c r="J86" s="1"/>
    </row>
    <row r="87" spans="1:10" x14ac:dyDescent="0.25">
      <c r="A87" t="s">
        <v>4</v>
      </c>
      <c r="B87" t="str">
        <f t="shared" si="3"/>
        <v>To</v>
      </c>
      <c r="C87" s="35">
        <v>1996</v>
      </c>
      <c r="D87" s="35">
        <v>1986</v>
      </c>
      <c r="E87" s="35">
        <v>4</v>
      </c>
      <c r="F87" s="35">
        <v>2</v>
      </c>
      <c r="G87" s="35">
        <v>2</v>
      </c>
      <c r="H87" s="1" t="s">
        <v>2</v>
      </c>
      <c r="I87" s="1"/>
      <c r="J87" s="1"/>
    </row>
    <row r="88" spans="1:10" x14ac:dyDescent="0.25">
      <c r="A88" t="s">
        <v>4</v>
      </c>
      <c r="B88" t="str">
        <f t="shared" si="3"/>
        <v>To</v>
      </c>
      <c r="C88" s="35">
        <v>1996</v>
      </c>
      <c r="D88" s="35">
        <v>1990</v>
      </c>
      <c r="E88" s="35">
        <v>3</v>
      </c>
      <c r="F88" s="35">
        <v>2</v>
      </c>
      <c r="G88" s="35">
        <v>1</v>
      </c>
      <c r="H88" s="1" t="s">
        <v>2</v>
      </c>
      <c r="I88" s="1"/>
      <c r="J88" s="1"/>
    </row>
    <row r="89" spans="1:10" x14ac:dyDescent="0.25">
      <c r="A89" t="s">
        <v>4</v>
      </c>
      <c r="B89" t="str">
        <f t="shared" si="3"/>
        <v>To</v>
      </c>
      <c r="C89" s="35">
        <v>1996</v>
      </c>
      <c r="D89" s="35">
        <v>1992</v>
      </c>
      <c r="E89" s="35">
        <v>1</v>
      </c>
      <c r="F89" s="35">
        <v>1</v>
      </c>
      <c r="G89" s="1" t="s">
        <v>2</v>
      </c>
      <c r="H89" s="1" t="s">
        <v>2</v>
      </c>
      <c r="I89" s="1"/>
      <c r="J89" s="1"/>
    </row>
    <row r="90" spans="1:10" x14ac:dyDescent="0.25">
      <c r="A90" t="s">
        <v>4</v>
      </c>
      <c r="B90" t="str">
        <f t="shared" si="3"/>
        <v>To</v>
      </c>
      <c r="C90" s="35">
        <v>1996</v>
      </c>
      <c r="D90" s="35">
        <v>1993</v>
      </c>
      <c r="E90" s="35">
        <v>2</v>
      </c>
      <c r="F90" s="35">
        <v>2</v>
      </c>
      <c r="G90" s="1" t="s">
        <v>2</v>
      </c>
      <c r="H90" s="1" t="s">
        <v>2</v>
      </c>
      <c r="I90" s="1"/>
      <c r="J90" s="1"/>
    </row>
    <row r="91" spans="1:10" x14ac:dyDescent="0.25">
      <c r="A91" t="s">
        <v>4</v>
      </c>
      <c r="B91" t="str">
        <f t="shared" si="3"/>
        <v>To</v>
      </c>
      <c r="C91" s="35">
        <v>1996</v>
      </c>
      <c r="D91" s="35">
        <v>1994</v>
      </c>
      <c r="E91" s="35">
        <v>7</v>
      </c>
      <c r="F91" s="35">
        <v>6</v>
      </c>
      <c r="G91" s="35">
        <v>1</v>
      </c>
      <c r="H91" s="1" t="s">
        <v>2</v>
      </c>
      <c r="I91" s="1"/>
      <c r="J91" s="1"/>
    </row>
    <row r="92" spans="1:10" x14ac:dyDescent="0.25">
      <c r="A92" t="s">
        <v>4</v>
      </c>
      <c r="B92" t="str">
        <f t="shared" si="3"/>
        <v>To</v>
      </c>
      <c r="C92" s="35">
        <v>1996</v>
      </c>
      <c r="D92" s="35">
        <v>1995</v>
      </c>
      <c r="E92" s="35">
        <v>263</v>
      </c>
      <c r="F92" s="35">
        <v>167</v>
      </c>
      <c r="G92" s="35">
        <v>96</v>
      </c>
      <c r="H92" s="1" t="s">
        <v>2</v>
      </c>
      <c r="I92" s="1"/>
      <c r="J92" s="1"/>
    </row>
    <row r="93" spans="1:10" x14ac:dyDescent="0.25">
      <c r="A93" t="s">
        <v>4</v>
      </c>
      <c r="B93" t="str">
        <f t="shared" si="3"/>
        <v>To</v>
      </c>
      <c r="C93" s="35">
        <v>1996</v>
      </c>
      <c r="D93" s="35">
        <v>1996</v>
      </c>
      <c r="E93" s="36">
        <v>46183</v>
      </c>
      <c r="F93" s="36">
        <v>24120</v>
      </c>
      <c r="G93" s="36">
        <v>22052</v>
      </c>
      <c r="H93" s="35">
        <v>11</v>
      </c>
      <c r="I93" s="1"/>
      <c r="J93" s="1"/>
    </row>
    <row r="94" spans="1:10" x14ac:dyDescent="0.25">
      <c r="A94" t="s">
        <v>4</v>
      </c>
      <c r="B94" t="str">
        <f t="shared" si="3"/>
        <v>To</v>
      </c>
      <c r="C94" s="35">
        <v>1996</v>
      </c>
      <c r="D94" s="1" t="s">
        <v>24</v>
      </c>
      <c r="E94" s="35">
        <v>1</v>
      </c>
      <c r="F94" s="35">
        <v>1</v>
      </c>
      <c r="G94" s="1" t="s">
        <v>2</v>
      </c>
      <c r="H94" s="1" t="s">
        <v>2</v>
      </c>
      <c r="I94" s="1"/>
      <c r="J94" s="1"/>
    </row>
    <row r="95" spans="1:10" x14ac:dyDescent="0.25">
      <c r="A95" t="s">
        <v>4</v>
      </c>
      <c r="B95" t="str">
        <f t="shared" si="3"/>
        <v>To</v>
      </c>
      <c r="C95" s="35">
        <v>1997</v>
      </c>
      <c r="D95" s="1" t="s">
        <v>4</v>
      </c>
      <c r="E95" s="36">
        <v>46884</v>
      </c>
      <c r="F95" s="36">
        <v>24444</v>
      </c>
      <c r="G95" s="36">
        <v>22424</v>
      </c>
      <c r="H95" s="35">
        <v>16</v>
      </c>
      <c r="I95" s="1"/>
      <c r="J95" s="1"/>
    </row>
    <row r="96" spans="1:10" x14ac:dyDescent="0.25">
      <c r="A96" t="s">
        <v>4</v>
      </c>
      <c r="B96" t="str">
        <f t="shared" si="3"/>
        <v>To</v>
      </c>
      <c r="C96" s="35">
        <v>1997</v>
      </c>
      <c r="D96" s="35">
        <v>1907</v>
      </c>
      <c r="E96" s="35">
        <v>5</v>
      </c>
      <c r="F96" s="35">
        <v>2</v>
      </c>
      <c r="G96" s="35">
        <v>3</v>
      </c>
      <c r="H96" s="1" t="s">
        <v>2</v>
      </c>
      <c r="I96" s="1"/>
      <c r="J96" s="1"/>
    </row>
    <row r="97" spans="1:10" x14ac:dyDescent="0.25">
      <c r="A97" t="s">
        <v>4</v>
      </c>
      <c r="B97" t="str">
        <f t="shared" si="3"/>
        <v>To</v>
      </c>
      <c r="C97" s="35">
        <v>1997</v>
      </c>
      <c r="D97" s="35">
        <v>1909</v>
      </c>
      <c r="E97" s="35">
        <v>1</v>
      </c>
      <c r="F97" s="35">
        <v>1</v>
      </c>
      <c r="G97" s="1" t="s">
        <v>2</v>
      </c>
      <c r="H97" s="1" t="s">
        <v>2</v>
      </c>
      <c r="I97" s="1"/>
      <c r="J97" s="1"/>
    </row>
    <row r="98" spans="1:10" x14ac:dyDescent="0.25">
      <c r="A98" t="s">
        <v>4</v>
      </c>
      <c r="B98" t="str">
        <f t="shared" si="3"/>
        <v>To</v>
      </c>
      <c r="C98" s="35">
        <v>1997</v>
      </c>
      <c r="D98" s="35">
        <v>1917</v>
      </c>
      <c r="E98" s="35">
        <v>1</v>
      </c>
      <c r="F98" s="1" t="s">
        <v>2</v>
      </c>
      <c r="G98" s="35">
        <v>1</v>
      </c>
      <c r="H98" s="1" t="s">
        <v>2</v>
      </c>
      <c r="I98" s="1"/>
      <c r="J98" s="1"/>
    </row>
    <row r="99" spans="1:10" x14ac:dyDescent="0.25">
      <c r="A99" t="s">
        <v>4</v>
      </c>
      <c r="B99" t="str">
        <f t="shared" si="3"/>
        <v>To</v>
      </c>
      <c r="C99" s="35">
        <v>1997</v>
      </c>
      <c r="D99" s="35">
        <v>1943</v>
      </c>
      <c r="E99" s="35">
        <v>1</v>
      </c>
      <c r="F99" s="1" t="s">
        <v>2</v>
      </c>
      <c r="G99" s="35">
        <v>1</v>
      </c>
      <c r="H99" s="1" t="s">
        <v>2</v>
      </c>
      <c r="I99" s="1"/>
      <c r="J99" s="1"/>
    </row>
    <row r="100" spans="1:10" x14ac:dyDescent="0.25">
      <c r="A100" t="s">
        <v>4</v>
      </c>
      <c r="B100" t="str">
        <f t="shared" si="3"/>
        <v>To</v>
      </c>
      <c r="C100" s="35">
        <v>1997</v>
      </c>
      <c r="D100" s="35">
        <v>1947</v>
      </c>
      <c r="E100" s="35">
        <v>2</v>
      </c>
      <c r="F100" s="1" t="s">
        <v>2</v>
      </c>
      <c r="G100" s="35">
        <v>2</v>
      </c>
      <c r="H100" s="1" t="s">
        <v>2</v>
      </c>
      <c r="I100" s="1"/>
      <c r="J100" s="1"/>
    </row>
    <row r="101" spans="1:10" x14ac:dyDescent="0.25">
      <c r="A101" t="s">
        <v>4</v>
      </c>
      <c r="B101" t="str">
        <f t="shared" si="3"/>
        <v>To</v>
      </c>
      <c r="C101" s="35">
        <v>1997</v>
      </c>
      <c r="D101" s="35">
        <v>1956</v>
      </c>
      <c r="E101" s="35">
        <v>1</v>
      </c>
      <c r="F101" s="1" t="s">
        <v>2</v>
      </c>
      <c r="G101" s="35">
        <v>1</v>
      </c>
      <c r="H101" s="1" t="s">
        <v>2</v>
      </c>
      <c r="I101" s="1"/>
      <c r="J101" s="1"/>
    </row>
    <row r="102" spans="1:10" x14ac:dyDescent="0.25">
      <c r="A102" t="s">
        <v>4</v>
      </c>
      <c r="B102" t="str">
        <f t="shared" si="3"/>
        <v>To</v>
      </c>
      <c r="C102" s="35">
        <v>1997</v>
      </c>
      <c r="D102" s="35">
        <v>1957</v>
      </c>
      <c r="E102" s="35">
        <v>1</v>
      </c>
      <c r="F102" s="1" t="s">
        <v>2</v>
      </c>
      <c r="G102" s="35">
        <v>1</v>
      </c>
      <c r="H102" s="1" t="s">
        <v>2</v>
      </c>
      <c r="I102" s="1"/>
      <c r="J102" s="1"/>
    </row>
    <row r="103" spans="1:10" x14ac:dyDescent="0.25">
      <c r="A103" t="s">
        <v>4</v>
      </c>
      <c r="B103" t="str">
        <f t="shared" si="3"/>
        <v>To</v>
      </c>
      <c r="C103" s="35">
        <v>1997</v>
      </c>
      <c r="D103" s="35">
        <v>1971</v>
      </c>
      <c r="E103" s="35">
        <v>2</v>
      </c>
      <c r="F103" s="35">
        <v>1</v>
      </c>
      <c r="G103" s="35">
        <v>1</v>
      </c>
      <c r="H103" s="1" t="s">
        <v>2</v>
      </c>
      <c r="I103" s="1"/>
      <c r="J103" s="1"/>
    </row>
    <row r="104" spans="1:10" x14ac:dyDescent="0.25">
      <c r="A104" t="s">
        <v>4</v>
      </c>
      <c r="B104" t="str">
        <f t="shared" si="3"/>
        <v>To</v>
      </c>
      <c r="C104" s="35">
        <v>1997</v>
      </c>
      <c r="D104" s="35">
        <v>1977</v>
      </c>
      <c r="E104" s="35">
        <v>1</v>
      </c>
      <c r="F104" s="35">
        <v>1</v>
      </c>
      <c r="G104" s="1" t="s">
        <v>2</v>
      </c>
      <c r="H104" s="1" t="s">
        <v>2</v>
      </c>
      <c r="I104" s="1"/>
      <c r="J104" s="1"/>
    </row>
    <row r="105" spans="1:10" x14ac:dyDescent="0.25">
      <c r="A105" t="s">
        <v>4</v>
      </c>
      <c r="B105" t="str">
        <f t="shared" si="3"/>
        <v>To</v>
      </c>
      <c r="C105" s="35">
        <v>1997</v>
      </c>
      <c r="D105" s="35">
        <v>1984</v>
      </c>
      <c r="E105" s="35">
        <v>1</v>
      </c>
      <c r="F105" s="1" t="s">
        <v>2</v>
      </c>
      <c r="G105" s="35">
        <v>1</v>
      </c>
      <c r="H105" s="1" t="s">
        <v>2</v>
      </c>
      <c r="I105" s="1"/>
      <c r="J105" s="1"/>
    </row>
    <row r="106" spans="1:10" x14ac:dyDescent="0.25">
      <c r="A106" t="s">
        <v>4</v>
      </c>
      <c r="B106" t="str">
        <f t="shared" si="3"/>
        <v>To</v>
      </c>
      <c r="C106" s="35">
        <v>1997</v>
      </c>
      <c r="D106" s="35">
        <v>1987</v>
      </c>
      <c r="E106" s="35">
        <v>2</v>
      </c>
      <c r="F106" s="35">
        <v>1</v>
      </c>
      <c r="G106" s="35">
        <v>1</v>
      </c>
      <c r="H106" s="1" t="s">
        <v>2</v>
      </c>
      <c r="I106" s="1"/>
      <c r="J106" s="1"/>
    </row>
    <row r="107" spans="1:10" x14ac:dyDescent="0.25">
      <c r="A107" t="s">
        <v>4</v>
      </c>
      <c r="B107" t="str">
        <f t="shared" si="3"/>
        <v>To</v>
      </c>
      <c r="C107" s="35">
        <v>1997</v>
      </c>
      <c r="D107" s="35">
        <v>1991</v>
      </c>
      <c r="E107" s="35">
        <v>9</v>
      </c>
      <c r="F107" s="35">
        <v>3</v>
      </c>
      <c r="G107" s="35">
        <v>6</v>
      </c>
      <c r="H107" s="1" t="s">
        <v>2</v>
      </c>
      <c r="I107" s="1"/>
      <c r="J107" s="1"/>
    </row>
    <row r="108" spans="1:10" x14ac:dyDescent="0.25">
      <c r="A108" t="s">
        <v>4</v>
      </c>
      <c r="B108" t="str">
        <f t="shared" si="3"/>
        <v>To</v>
      </c>
      <c r="C108" s="35">
        <v>1997</v>
      </c>
      <c r="D108" s="35">
        <v>1992</v>
      </c>
      <c r="E108" s="35">
        <v>1</v>
      </c>
      <c r="F108" s="35">
        <v>1</v>
      </c>
      <c r="G108" s="1" t="s">
        <v>2</v>
      </c>
      <c r="H108" s="1" t="s">
        <v>2</v>
      </c>
      <c r="I108" s="1"/>
      <c r="J108" s="1"/>
    </row>
    <row r="109" spans="1:10" x14ac:dyDescent="0.25">
      <c r="A109" t="s">
        <v>4</v>
      </c>
      <c r="B109" t="str">
        <f t="shared" si="3"/>
        <v>To</v>
      </c>
      <c r="C109" s="35">
        <v>1997</v>
      </c>
      <c r="D109" s="35">
        <v>1993</v>
      </c>
      <c r="E109" s="35">
        <v>7</v>
      </c>
      <c r="F109" s="35">
        <v>3</v>
      </c>
      <c r="G109" s="35">
        <v>4</v>
      </c>
      <c r="H109" s="1" t="s">
        <v>2</v>
      </c>
      <c r="I109" s="1"/>
      <c r="J109" s="1"/>
    </row>
    <row r="110" spans="1:10" x14ac:dyDescent="0.25">
      <c r="A110" t="s">
        <v>4</v>
      </c>
      <c r="B110" t="str">
        <f t="shared" si="3"/>
        <v>To</v>
      </c>
      <c r="C110" s="35">
        <v>1997</v>
      </c>
      <c r="D110" s="35">
        <v>1994</v>
      </c>
      <c r="E110" s="35">
        <v>2</v>
      </c>
      <c r="F110" s="35">
        <v>1</v>
      </c>
      <c r="G110" s="35">
        <v>1</v>
      </c>
      <c r="H110" s="1" t="s">
        <v>2</v>
      </c>
      <c r="I110" s="1"/>
      <c r="J110" s="1"/>
    </row>
    <row r="111" spans="1:10" x14ac:dyDescent="0.25">
      <c r="A111" t="s">
        <v>4</v>
      </c>
      <c r="B111" t="str">
        <f t="shared" si="3"/>
        <v>To</v>
      </c>
      <c r="C111" s="35">
        <v>1997</v>
      </c>
      <c r="D111" s="35">
        <v>1995</v>
      </c>
      <c r="E111" s="35">
        <v>3</v>
      </c>
      <c r="F111" s="35">
        <v>2</v>
      </c>
      <c r="G111" s="35">
        <v>1</v>
      </c>
      <c r="H111" s="1" t="s">
        <v>2</v>
      </c>
      <c r="I111" s="1"/>
      <c r="J111" s="1"/>
    </row>
    <row r="112" spans="1:10" x14ac:dyDescent="0.25">
      <c r="A112" t="s">
        <v>4</v>
      </c>
      <c r="B112" t="str">
        <f t="shared" si="3"/>
        <v>To</v>
      </c>
      <c r="C112" s="35">
        <v>1997</v>
      </c>
      <c r="D112" s="35">
        <v>1996</v>
      </c>
      <c r="E112" s="35">
        <v>187</v>
      </c>
      <c r="F112" s="35">
        <v>103</v>
      </c>
      <c r="G112" s="35">
        <v>84</v>
      </c>
      <c r="H112" s="1" t="s">
        <v>2</v>
      </c>
      <c r="I112" s="1"/>
      <c r="J112" s="1"/>
    </row>
    <row r="113" spans="1:10" x14ac:dyDescent="0.25">
      <c r="A113" t="s">
        <v>4</v>
      </c>
      <c r="B113" t="str">
        <f t="shared" si="3"/>
        <v>To</v>
      </c>
      <c r="C113" s="35">
        <v>1997</v>
      </c>
      <c r="D113" s="35">
        <v>1997</v>
      </c>
      <c r="E113" s="36">
        <v>46656</v>
      </c>
      <c r="F113" s="36">
        <v>24324</v>
      </c>
      <c r="G113" s="36">
        <v>22316</v>
      </c>
      <c r="H113" s="35">
        <v>16</v>
      </c>
      <c r="I113" s="1"/>
      <c r="J113" s="1"/>
    </row>
    <row r="114" spans="1:10" x14ac:dyDescent="0.25">
      <c r="A114" t="s">
        <v>4</v>
      </c>
      <c r="B114" t="str">
        <f t="shared" si="3"/>
        <v>To</v>
      </c>
      <c r="C114" s="35">
        <v>1997</v>
      </c>
      <c r="D114" s="1" t="s">
        <v>24</v>
      </c>
      <c r="E114" s="35">
        <v>1</v>
      </c>
      <c r="F114" s="35">
        <v>1</v>
      </c>
      <c r="G114" s="1" t="s">
        <v>2</v>
      </c>
      <c r="H114" s="1" t="s">
        <v>2</v>
      </c>
      <c r="I114" s="1"/>
      <c r="J114" s="1"/>
    </row>
    <row r="115" spans="1:10" x14ac:dyDescent="0.25">
      <c r="A115" t="s">
        <v>4</v>
      </c>
      <c r="B115" t="str">
        <f t="shared" si="3"/>
        <v>To</v>
      </c>
      <c r="C115" s="35">
        <v>1998</v>
      </c>
      <c r="D115" s="1" t="s">
        <v>4</v>
      </c>
      <c r="E115" s="36">
        <v>46773</v>
      </c>
      <c r="F115" s="36">
        <v>24309</v>
      </c>
      <c r="G115" s="36">
        <v>22450</v>
      </c>
      <c r="H115" s="35">
        <v>14</v>
      </c>
      <c r="I115" s="1"/>
      <c r="J115" s="1"/>
    </row>
    <row r="116" spans="1:10" x14ac:dyDescent="0.25">
      <c r="A116" t="s">
        <v>4</v>
      </c>
      <c r="B116" t="str">
        <f t="shared" si="3"/>
        <v>To</v>
      </c>
      <c r="C116" s="35">
        <v>1998</v>
      </c>
      <c r="D116" s="35">
        <v>1900</v>
      </c>
      <c r="E116" s="35">
        <v>7</v>
      </c>
      <c r="F116" s="35">
        <v>4</v>
      </c>
      <c r="G116" s="35">
        <v>3</v>
      </c>
      <c r="H116" s="1" t="s">
        <v>2</v>
      </c>
      <c r="I116" s="1"/>
      <c r="J116" s="1"/>
    </row>
    <row r="117" spans="1:10" x14ac:dyDescent="0.25">
      <c r="A117" t="s">
        <v>4</v>
      </c>
      <c r="B117" t="str">
        <f t="shared" si="3"/>
        <v>To</v>
      </c>
      <c r="C117" s="35">
        <v>1998</v>
      </c>
      <c r="D117" s="35">
        <v>1907</v>
      </c>
      <c r="E117" s="35">
        <v>1</v>
      </c>
      <c r="F117" s="1" t="s">
        <v>2</v>
      </c>
      <c r="G117" s="35">
        <v>1</v>
      </c>
      <c r="H117" s="1" t="s">
        <v>2</v>
      </c>
      <c r="I117" s="1"/>
      <c r="J117" s="1"/>
    </row>
    <row r="118" spans="1:10" x14ac:dyDescent="0.25">
      <c r="A118" t="s">
        <v>4</v>
      </c>
      <c r="B118" t="str">
        <f t="shared" si="3"/>
        <v>To</v>
      </c>
      <c r="C118" s="35">
        <v>1998</v>
      </c>
      <c r="D118" s="35">
        <v>1908</v>
      </c>
      <c r="E118" s="35">
        <v>1</v>
      </c>
      <c r="F118" s="1" t="s">
        <v>2</v>
      </c>
      <c r="G118" s="35">
        <v>1</v>
      </c>
      <c r="H118" s="1" t="s">
        <v>2</v>
      </c>
      <c r="I118" s="1"/>
      <c r="J118" s="1"/>
    </row>
    <row r="119" spans="1:10" x14ac:dyDescent="0.25">
      <c r="A119" t="s">
        <v>4</v>
      </c>
      <c r="B119" t="str">
        <f t="shared" si="3"/>
        <v>To</v>
      </c>
      <c r="C119" s="35">
        <v>1998</v>
      </c>
      <c r="D119" s="35">
        <v>1909</v>
      </c>
      <c r="E119" s="35">
        <v>2</v>
      </c>
      <c r="F119" s="1" t="s">
        <v>2</v>
      </c>
      <c r="G119" s="35">
        <v>2</v>
      </c>
      <c r="H119" s="1" t="s">
        <v>2</v>
      </c>
      <c r="I119" s="1"/>
      <c r="J119" s="1"/>
    </row>
    <row r="120" spans="1:10" x14ac:dyDescent="0.25">
      <c r="A120" t="s">
        <v>4</v>
      </c>
      <c r="B120" t="str">
        <f t="shared" si="3"/>
        <v>To</v>
      </c>
      <c r="C120" s="35">
        <v>1998</v>
      </c>
      <c r="D120" s="35">
        <v>1918</v>
      </c>
      <c r="E120" s="35">
        <v>2</v>
      </c>
      <c r="F120" s="35">
        <v>2</v>
      </c>
      <c r="G120" s="1" t="s">
        <v>2</v>
      </c>
      <c r="H120" s="1" t="s">
        <v>2</v>
      </c>
      <c r="I120" s="1"/>
      <c r="J120" s="1"/>
    </row>
    <row r="121" spans="1:10" x14ac:dyDescent="0.25">
      <c r="A121" t="s">
        <v>4</v>
      </c>
      <c r="B121" t="str">
        <f t="shared" si="3"/>
        <v>To</v>
      </c>
      <c r="C121" s="35">
        <v>1998</v>
      </c>
      <c r="D121" s="35">
        <v>1946</v>
      </c>
      <c r="E121" s="35">
        <v>1</v>
      </c>
      <c r="F121" s="35">
        <v>1</v>
      </c>
      <c r="G121" s="1" t="s">
        <v>2</v>
      </c>
      <c r="H121" s="1" t="s">
        <v>2</v>
      </c>
      <c r="I121" s="1"/>
      <c r="J121" s="1"/>
    </row>
    <row r="122" spans="1:10" x14ac:dyDescent="0.25">
      <c r="A122" t="s">
        <v>4</v>
      </c>
      <c r="B122" t="str">
        <f t="shared" si="3"/>
        <v>To</v>
      </c>
      <c r="C122" s="35">
        <v>1998</v>
      </c>
      <c r="D122" s="35">
        <v>1948</v>
      </c>
      <c r="E122" s="35">
        <v>3</v>
      </c>
      <c r="F122" s="35">
        <v>1</v>
      </c>
      <c r="G122" s="35">
        <v>2</v>
      </c>
      <c r="H122" s="1" t="s">
        <v>2</v>
      </c>
      <c r="I122" s="1"/>
      <c r="J122" s="1"/>
    </row>
    <row r="123" spans="1:10" x14ac:dyDescent="0.25">
      <c r="A123" t="s">
        <v>4</v>
      </c>
      <c r="B123" t="str">
        <f t="shared" si="3"/>
        <v>To</v>
      </c>
      <c r="C123" s="35">
        <v>1998</v>
      </c>
      <c r="D123" s="35">
        <v>1958</v>
      </c>
      <c r="E123" s="35">
        <v>9</v>
      </c>
      <c r="F123" s="35">
        <v>4</v>
      </c>
      <c r="G123" s="35">
        <v>5</v>
      </c>
      <c r="H123" s="1" t="s">
        <v>2</v>
      </c>
      <c r="I123" s="1"/>
      <c r="J123" s="1"/>
    </row>
    <row r="124" spans="1:10" x14ac:dyDescent="0.25">
      <c r="A124" t="s">
        <v>4</v>
      </c>
      <c r="B124" t="str">
        <f t="shared" si="3"/>
        <v>To</v>
      </c>
      <c r="C124" s="35">
        <v>1998</v>
      </c>
      <c r="D124" s="35">
        <v>1959</v>
      </c>
      <c r="E124" s="35">
        <v>1</v>
      </c>
      <c r="F124" s="35">
        <v>1</v>
      </c>
      <c r="G124" s="1" t="s">
        <v>2</v>
      </c>
      <c r="H124" s="1" t="s">
        <v>2</v>
      </c>
      <c r="I124" s="1"/>
      <c r="J124" s="1"/>
    </row>
    <row r="125" spans="1:10" x14ac:dyDescent="0.25">
      <c r="A125" t="s">
        <v>4</v>
      </c>
      <c r="B125" t="str">
        <f t="shared" si="3"/>
        <v>To</v>
      </c>
      <c r="C125" s="35">
        <v>1998</v>
      </c>
      <c r="D125" s="35">
        <v>1961</v>
      </c>
      <c r="E125" s="35">
        <v>1</v>
      </c>
      <c r="F125" s="1" t="s">
        <v>2</v>
      </c>
      <c r="G125" s="35">
        <v>1</v>
      </c>
      <c r="H125" s="1" t="s">
        <v>2</v>
      </c>
      <c r="I125" s="1"/>
      <c r="J125" s="1"/>
    </row>
    <row r="126" spans="1:10" x14ac:dyDescent="0.25">
      <c r="A126" t="s">
        <v>4</v>
      </c>
      <c r="B126" t="str">
        <f t="shared" si="3"/>
        <v>To</v>
      </c>
      <c r="C126" s="35">
        <v>1998</v>
      </c>
      <c r="D126" s="35">
        <v>1968</v>
      </c>
      <c r="E126" s="35">
        <v>1</v>
      </c>
      <c r="F126" s="1" t="s">
        <v>2</v>
      </c>
      <c r="G126" s="35">
        <v>1</v>
      </c>
      <c r="H126" s="1" t="s">
        <v>2</v>
      </c>
      <c r="I126" s="1"/>
      <c r="J126" s="1"/>
    </row>
    <row r="127" spans="1:10" x14ac:dyDescent="0.25">
      <c r="A127" t="s">
        <v>4</v>
      </c>
      <c r="B127" t="str">
        <f t="shared" si="3"/>
        <v>To</v>
      </c>
      <c r="C127" s="35">
        <v>1998</v>
      </c>
      <c r="D127" s="35">
        <v>1978</v>
      </c>
      <c r="E127" s="35">
        <v>2</v>
      </c>
      <c r="F127" s="35">
        <v>2</v>
      </c>
      <c r="G127" s="1" t="s">
        <v>2</v>
      </c>
      <c r="H127" s="1" t="s">
        <v>2</v>
      </c>
      <c r="I127" s="1"/>
      <c r="J127" s="1"/>
    </row>
    <row r="128" spans="1:10" x14ac:dyDescent="0.25">
      <c r="A128" t="s">
        <v>4</v>
      </c>
      <c r="B128" t="str">
        <f t="shared" si="3"/>
        <v>To</v>
      </c>
      <c r="C128" s="35">
        <v>1998</v>
      </c>
      <c r="D128" s="35">
        <v>1980</v>
      </c>
      <c r="E128" s="35">
        <v>5</v>
      </c>
      <c r="F128" s="35">
        <v>4</v>
      </c>
      <c r="G128" s="35">
        <v>1</v>
      </c>
      <c r="H128" s="1" t="s">
        <v>2</v>
      </c>
      <c r="I128" s="1"/>
      <c r="J128" s="1"/>
    </row>
    <row r="129" spans="1:10" x14ac:dyDescent="0.25">
      <c r="A129" t="s">
        <v>4</v>
      </c>
      <c r="B129" t="str">
        <f t="shared" si="3"/>
        <v>To</v>
      </c>
      <c r="C129" s="35">
        <v>1998</v>
      </c>
      <c r="D129" s="35">
        <v>1981</v>
      </c>
      <c r="E129" s="35">
        <v>2</v>
      </c>
      <c r="F129" s="35">
        <v>1</v>
      </c>
      <c r="G129" s="35">
        <v>1</v>
      </c>
      <c r="H129" s="1" t="s">
        <v>2</v>
      </c>
      <c r="I129" s="1"/>
      <c r="J129" s="1"/>
    </row>
    <row r="130" spans="1:10" x14ac:dyDescent="0.25">
      <c r="A130" t="s">
        <v>4</v>
      </c>
      <c r="B130" t="str">
        <f t="shared" si="3"/>
        <v>To</v>
      </c>
      <c r="C130" s="35">
        <v>1998</v>
      </c>
      <c r="D130" s="35">
        <v>1982</v>
      </c>
      <c r="E130" s="35">
        <v>1</v>
      </c>
      <c r="F130" s="1" t="s">
        <v>2</v>
      </c>
      <c r="G130" s="35">
        <v>1</v>
      </c>
      <c r="H130" s="1" t="s">
        <v>2</v>
      </c>
      <c r="I130" s="1"/>
      <c r="J130" s="1"/>
    </row>
    <row r="131" spans="1:10" x14ac:dyDescent="0.25">
      <c r="A131" t="s">
        <v>4</v>
      </c>
      <c r="B131" t="str">
        <f t="shared" si="3"/>
        <v>To</v>
      </c>
      <c r="C131" s="35">
        <v>1998</v>
      </c>
      <c r="D131" s="35">
        <v>1988</v>
      </c>
      <c r="E131" s="35">
        <v>1</v>
      </c>
      <c r="F131" s="1" t="s">
        <v>2</v>
      </c>
      <c r="G131" s="35">
        <v>1</v>
      </c>
      <c r="H131" s="1" t="s">
        <v>2</v>
      </c>
      <c r="I131" s="1"/>
      <c r="J131" s="1"/>
    </row>
    <row r="132" spans="1:10" x14ac:dyDescent="0.25">
      <c r="A132" t="s">
        <v>4</v>
      </c>
      <c r="B132" t="str">
        <f t="shared" si="3"/>
        <v>To</v>
      </c>
      <c r="C132" s="35">
        <v>1998</v>
      </c>
      <c r="D132" s="35">
        <v>1990</v>
      </c>
      <c r="E132" s="35">
        <v>3</v>
      </c>
      <c r="F132" s="35">
        <v>1</v>
      </c>
      <c r="G132" s="35">
        <v>2</v>
      </c>
      <c r="H132" s="1" t="s">
        <v>2</v>
      </c>
      <c r="I132" s="1"/>
      <c r="J132" s="1"/>
    </row>
    <row r="133" spans="1:10" x14ac:dyDescent="0.25">
      <c r="A133" t="s">
        <v>4</v>
      </c>
      <c r="B133" t="str">
        <f t="shared" si="3"/>
        <v>To</v>
      </c>
      <c r="C133" s="35">
        <v>1998</v>
      </c>
      <c r="D133" s="35">
        <v>1991</v>
      </c>
      <c r="E133" s="35">
        <v>1</v>
      </c>
      <c r="F133" s="35">
        <v>1</v>
      </c>
      <c r="G133" s="1" t="s">
        <v>2</v>
      </c>
      <c r="H133" s="1" t="s">
        <v>2</v>
      </c>
      <c r="I133" s="1"/>
      <c r="J133" s="1"/>
    </row>
    <row r="134" spans="1:10" x14ac:dyDescent="0.25">
      <c r="A134" t="s">
        <v>4</v>
      </c>
      <c r="B134" t="str">
        <f t="shared" si="3"/>
        <v>To</v>
      </c>
      <c r="C134" s="35">
        <v>1998</v>
      </c>
      <c r="D134" s="35">
        <v>1993</v>
      </c>
      <c r="E134" s="35">
        <v>3</v>
      </c>
      <c r="F134" s="35">
        <v>2</v>
      </c>
      <c r="G134" s="35">
        <v>1</v>
      </c>
      <c r="H134" s="1" t="s">
        <v>2</v>
      </c>
      <c r="I134" s="1"/>
      <c r="J134" s="1"/>
    </row>
    <row r="135" spans="1:10" x14ac:dyDescent="0.25">
      <c r="A135" t="s">
        <v>4</v>
      </c>
      <c r="B135" t="str">
        <f t="shared" ref="B135:B198" si="4">IF(A135="Menores de 1 año",0,LEFT(A135,2))</f>
        <v>To</v>
      </c>
      <c r="C135" s="35">
        <v>1998</v>
      </c>
      <c r="D135" s="35">
        <v>1995</v>
      </c>
      <c r="E135" s="35">
        <v>3</v>
      </c>
      <c r="F135" s="35">
        <v>1</v>
      </c>
      <c r="G135" s="35">
        <v>2</v>
      </c>
      <c r="H135" s="1" t="s">
        <v>2</v>
      </c>
      <c r="I135" s="1"/>
      <c r="J135" s="1"/>
    </row>
    <row r="136" spans="1:10" x14ac:dyDescent="0.25">
      <c r="A136" t="s">
        <v>4</v>
      </c>
      <c r="B136" t="str">
        <f t="shared" si="4"/>
        <v>To</v>
      </c>
      <c r="C136" s="35">
        <v>1998</v>
      </c>
      <c r="D136" s="35">
        <v>1996</v>
      </c>
      <c r="E136" s="35">
        <v>7</v>
      </c>
      <c r="F136" s="35">
        <v>4</v>
      </c>
      <c r="G136" s="35">
        <v>3</v>
      </c>
      <c r="H136" s="1" t="s">
        <v>2</v>
      </c>
      <c r="I136" s="1"/>
      <c r="J136" s="1"/>
    </row>
    <row r="137" spans="1:10" x14ac:dyDescent="0.25">
      <c r="A137" t="s">
        <v>4</v>
      </c>
      <c r="B137" t="str">
        <f t="shared" si="4"/>
        <v>To</v>
      </c>
      <c r="C137" s="35">
        <v>1998</v>
      </c>
      <c r="D137" s="35">
        <v>1997</v>
      </c>
      <c r="E137" s="35">
        <v>246</v>
      </c>
      <c r="F137" s="35">
        <v>141</v>
      </c>
      <c r="G137" s="35">
        <v>105</v>
      </c>
      <c r="H137" s="1" t="s">
        <v>2</v>
      </c>
      <c r="I137" s="1"/>
      <c r="J137" s="1"/>
    </row>
    <row r="138" spans="1:10" x14ac:dyDescent="0.25">
      <c r="A138" t="s">
        <v>4</v>
      </c>
      <c r="B138" t="str">
        <f t="shared" si="4"/>
        <v>To</v>
      </c>
      <c r="C138" s="35">
        <v>1998</v>
      </c>
      <c r="D138" s="35">
        <v>1998</v>
      </c>
      <c r="E138" s="36">
        <v>46470</v>
      </c>
      <c r="F138" s="36">
        <v>24139</v>
      </c>
      <c r="G138" s="36">
        <v>22317</v>
      </c>
      <c r="H138" s="35">
        <v>14</v>
      </c>
      <c r="I138" s="1"/>
      <c r="J138" s="1"/>
    </row>
    <row r="139" spans="1:10" x14ac:dyDescent="0.25">
      <c r="A139" t="s">
        <v>4</v>
      </c>
      <c r="B139" t="str">
        <f t="shared" si="4"/>
        <v>To</v>
      </c>
      <c r="C139" s="35">
        <v>1999</v>
      </c>
      <c r="D139" s="1" t="s">
        <v>4</v>
      </c>
      <c r="E139" s="36">
        <v>46601</v>
      </c>
      <c r="F139" s="36">
        <v>24103</v>
      </c>
      <c r="G139" s="36">
        <v>22486</v>
      </c>
      <c r="H139" s="35">
        <v>12</v>
      </c>
      <c r="I139" s="1"/>
      <c r="J139" s="1"/>
    </row>
    <row r="140" spans="1:10" x14ac:dyDescent="0.25">
      <c r="A140" t="s">
        <v>4</v>
      </c>
      <c r="B140" t="str">
        <f t="shared" si="4"/>
        <v>To</v>
      </c>
      <c r="C140" s="35">
        <v>1999</v>
      </c>
      <c r="D140" s="35">
        <v>1919</v>
      </c>
      <c r="E140" s="35">
        <v>1</v>
      </c>
      <c r="F140" s="1" t="s">
        <v>2</v>
      </c>
      <c r="G140" s="35">
        <v>1</v>
      </c>
      <c r="H140" s="1" t="s">
        <v>2</v>
      </c>
      <c r="I140" s="1"/>
      <c r="J140" s="1"/>
    </row>
    <row r="141" spans="1:10" x14ac:dyDescent="0.25">
      <c r="A141" t="s">
        <v>4</v>
      </c>
      <c r="B141" t="str">
        <f t="shared" si="4"/>
        <v>To</v>
      </c>
      <c r="C141" s="35">
        <v>1999</v>
      </c>
      <c r="D141" s="35">
        <v>1949</v>
      </c>
      <c r="E141" s="35">
        <v>1</v>
      </c>
      <c r="F141" s="35">
        <v>1</v>
      </c>
      <c r="G141" s="1" t="s">
        <v>2</v>
      </c>
      <c r="H141" s="1" t="s">
        <v>2</v>
      </c>
      <c r="I141" s="1"/>
      <c r="J141" s="1"/>
    </row>
    <row r="142" spans="1:10" x14ac:dyDescent="0.25">
      <c r="A142" t="s">
        <v>4</v>
      </c>
      <c r="B142" t="str">
        <f t="shared" si="4"/>
        <v>To</v>
      </c>
      <c r="C142" s="35">
        <v>1999</v>
      </c>
      <c r="D142" s="35">
        <v>1959</v>
      </c>
      <c r="E142" s="35">
        <v>1</v>
      </c>
      <c r="F142" s="35">
        <v>1</v>
      </c>
      <c r="G142" s="1" t="s">
        <v>2</v>
      </c>
      <c r="H142" s="1" t="s">
        <v>2</v>
      </c>
      <c r="I142" s="1"/>
      <c r="J142" s="1"/>
    </row>
    <row r="143" spans="1:10" x14ac:dyDescent="0.25">
      <c r="A143" t="s">
        <v>4</v>
      </c>
      <c r="B143" t="str">
        <f t="shared" si="4"/>
        <v>To</v>
      </c>
      <c r="C143" s="35">
        <v>1999</v>
      </c>
      <c r="D143" s="35">
        <v>1989</v>
      </c>
      <c r="E143" s="35">
        <v>2</v>
      </c>
      <c r="F143" s="35">
        <v>1</v>
      </c>
      <c r="G143" s="35">
        <v>1</v>
      </c>
      <c r="H143" s="1" t="s">
        <v>2</v>
      </c>
      <c r="I143" s="1"/>
      <c r="J143" s="1"/>
    </row>
    <row r="144" spans="1:10" x14ac:dyDescent="0.25">
      <c r="A144" t="s">
        <v>4</v>
      </c>
      <c r="B144" t="str">
        <f t="shared" si="4"/>
        <v>To</v>
      </c>
      <c r="C144" s="35">
        <v>1999</v>
      </c>
      <c r="D144" s="35">
        <v>1991</v>
      </c>
      <c r="E144" s="35">
        <v>1</v>
      </c>
      <c r="F144" s="35">
        <v>1</v>
      </c>
      <c r="G144" s="1" t="s">
        <v>2</v>
      </c>
      <c r="H144" s="1" t="s">
        <v>2</v>
      </c>
      <c r="I144" s="1"/>
      <c r="J144" s="1"/>
    </row>
    <row r="145" spans="1:10" x14ac:dyDescent="0.25">
      <c r="A145" t="s">
        <v>4</v>
      </c>
      <c r="B145" t="str">
        <f t="shared" si="4"/>
        <v>To</v>
      </c>
      <c r="C145" s="35">
        <v>1999</v>
      </c>
      <c r="D145" s="35">
        <v>1992</v>
      </c>
      <c r="E145" s="35">
        <v>1</v>
      </c>
      <c r="F145" s="35">
        <v>1</v>
      </c>
      <c r="G145" s="1" t="s">
        <v>2</v>
      </c>
      <c r="H145" s="1" t="s">
        <v>2</v>
      </c>
      <c r="I145" s="1"/>
      <c r="J145" s="1"/>
    </row>
    <row r="146" spans="1:10" x14ac:dyDescent="0.25">
      <c r="A146" t="s">
        <v>4</v>
      </c>
      <c r="B146" t="str">
        <f t="shared" si="4"/>
        <v>To</v>
      </c>
      <c r="C146" s="35">
        <v>1999</v>
      </c>
      <c r="D146" s="35">
        <v>1994</v>
      </c>
      <c r="E146" s="35">
        <v>2</v>
      </c>
      <c r="F146" s="35">
        <v>1</v>
      </c>
      <c r="G146" s="35">
        <v>1</v>
      </c>
      <c r="H146" s="1" t="s">
        <v>2</v>
      </c>
      <c r="I146" s="1"/>
      <c r="J146" s="1"/>
    </row>
    <row r="147" spans="1:10" x14ac:dyDescent="0.25">
      <c r="A147" t="s">
        <v>4</v>
      </c>
      <c r="B147" t="str">
        <f t="shared" si="4"/>
        <v>To</v>
      </c>
      <c r="C147" s="35">
        <v>1999</v>
      </c>
      <c r="D147" s="35">
        <v>1995</v>
      </c>
      <c r="E147" s="35">
        <v>1</v>
      </c>
      <c r="F147" s="35">
        <v>1</v>
      </c>
      <c r="G147" s="1" t="s">
        <v>2</v>
      </c>
      <c r="H147" s="1" t="s">
        <v>2</v>
      </c>
      <c r="I147" s="1"/>
      <c r="J147" s="1"/>
    </row>
    <row r="148" spans="1:10" x14ac:dyDescent="0.25">
      <c r="A148" t="s">
        <v>4</v>
      </c>
      <c r="B148" t="str">
        <f t="shared" si="4"/>
        <v>To</v>
      </c>
      <c r="C148" s="35">
        <v>1999</v>
      </c>
      <c r="D148" s="35">
        <v>1998</v>
      </c>
      <c r="E148" s="35">
        <v>186</v>
      </c>
      <c r="F148" s="35">
        <v>110</v>
      </c>
      <c r="G148" s="35">
        <v>76</v>
      </c>
      <c r="H148" s="1" t="s">
        <v>2</v>
      </c>
      <c r="I148" s="1"/>
      <c r="J148" s="1"/>
    </row>
    <row r="149" spans="1:10" x14ac:dyDescent="0.25">
      <c r="A149" t="s">
        <v>4</v>
      </c>
      <c r="B149" t="str">
        <f t="shared" si="4"/>
        <v>To</v>
      </c>
      <c r="C149" s="35">
        <v>1999</v>
      </c>
      <c r="D149" s="35">
        <v>1999</v>
      </c>
      <c r="E149" s="36">
        <v>46403</v>
      </c>
      <c r="F149" s="36">
        <v>23984</v>
      </c>
      <c r="G149" s="36">
        <v>22407</v>
      </c>
      <c r="H149" s="35">
        <v>12</v>
      </c>
      <c r="I149" s="1"/>
      <c r="J149" s="1"/>
    </row>
    <row r="150" spans="1:10" x14ac:dyDescent="0.25">
      <c r="A150" t="s">
        <v>4</v>
      </c>
      <c r="B150" t="str">
        <f t="shared" si="4"/>
        <v>To</v>
      </c>
      <c r="C150" s="35">
        <v>1999</v>
      </c>
      <c r="D150" s="1" t="s">
        <v>24</v>
      </c>
      <c r="E150" s="35">
        <v>2</v>
      </c>
      <c r="F150" s="35">
        <v>2</v>
      </c>
      <c r="G150" s="1" t="s">
        <v>2</v>
      </c>
      <c r="H150" s="1" t="s">
        <v>2</v>
      </c>
      <c r="I150" s="1"/>
      <c r="J150" s="1"/>
    </row>
    <row r="151" spans="1:10" x14ac:dyDescent="0.25">
      <c r="A151" t="s">
        <v>4</v>
      </c>
      <c r="B151" t="str">
        <f t="shared" si="4"/>
        <v>To</v>
      </c>
      <c r="C151" s="35">
        <v>2000</v>
      </c>
      <c r="D151" s="1" t="s">
        <v>4</v>
      </c>
      <c r="E151" s="36">
        <v>46029</v>
      </c>
      <c r="F151" s="36">
        <v>23574</v>
      </c>
      <c r="G151" s="36">
        <v>22447</v>
      </c>
      <c r="H151" s="35">
        <v>8</v>
      </c>
      <c r="I151" s="1"/>
      <c r="J151" s="1"/>
    </row>
    <row r="152" spans="1:10" x14ac:dyDescent="0.25">
      <c r="A152" t="s">
        <v>4</v>
      </c>
      <c r="B152" t="str">
        <f t="shared" si="4"/>
        <v>To</v>
      </c>
      <c r="C152" s="35">
        <v>2000</v>
      </c>
      <c r="D152" s="35">
        <v>1931</v>
      </c>
      <c r="E152" s="35">
        <v>1</v>
      </c>
      <c r="F152" s="35">
        <v>1</v>
      </c>
      <c r="G152" s="1" t="s">
        <v>2</v>
      </c>
      <c r="H152" s="1" t="s">
        <v>2</v>
      </c>
      <c r="I152" s="1"/>
      <c r="J152" s="1"/>
    </row>
    <row r="153" spans="1:10" x14ac:dyDescent="0.25">
      <c r="A153" t="s">
        <v>4</v>
      </c>
      <c r="B153" t="str">
        <f t="shared" si="4"/>
        <v>To</v>
      </c>
      <c r="C153" s="35">
        <v>2000</v>
      </c>
      <c r="D153" s="35">
        <v>1991</v>
      </c>
      <c r="E153" s="35">
        <v>1</v>
      </c>
      <c r="F153" s="35">
        <v>1</v>
      </c>
      <c r="G153" s="1" t="s">
        <v>2</v>
      </c>
      <c r="H153" s="1" t="s">
        <v>2</v>
      </c>
      <c r="I153" s="1"/>
      <c r="J153" s="1"/>
    </row>
    <row r="154" spans="1:10" x14ac:dyDescent="0.25">
      <c r="A154" t="s">
        <v>4</v>
      </c>
      <c r="B154" t="str">
        <f t="shared" si="4"/>
        <v>To</v>
      </c>
      <c r="C154" s="35">
        <v>2000</v>
      </c>
      <c r="D154" s="35">
        <v>1993</v>
      </c>
      <c r="E154" s="35">
        <v>1</v>
      </c>
      <c r="F154" s="35">
        <v>1</v>
      </c>
      <c r="G154" s="1" t="s">
        <v>2</v>
      </c>
      <c r="H154" s="1" t="s">
        <v>2</v>
      </c>
      <c r="I154" s="1"/>
      <c r="J154" s="1"/>
    </row>
    <row r="155" spans="1:10" x14ac:dyDescent="0.25">
      <c r="A155" t="s">
        <v>4</v>
      </c>
      <c r="B155" t="str">
        <f t="shared" si="4"/>
        <v>To</v>
      </c>
      <c r="C155" s="35">
        <v>2000</v>
      </c>
      <c r="D155" s="35">
        <v>1994</v>
      </c>
      <c r="E155" s="35">
        <v>1</v>
      </c>
      <c r="F155" s="35">
        <v>1</v>
      </c>
      <c r="G155" s="1" t="s">
        <v>2</v>
      </c>
      <c r="H155" s="1" t="s">
        <v>2</v>
      </c>
      <c r="I155" s="1"/>
      <c r="J155" s="1"/>
    </row>
    <row r="156" spans="1:10" x14ac:dyDescent="0.25">
      <c r="A156" t="s">
        <v>4</v>
      </c>
      <c r="B156" t="str">
        <f t="shared" si="4"/>
        <v>To</v>
      </c>
      <c r="C156" s="35">
        <v>2000</v>
      </c>
      <c r="D156" s="35">
        <v>1998</v>
      </c>
      <c r="E156" s="35">
        <v>1</v>
      </c>
      <c r="F156" s="1" t="s">
        <v>2</v>
      </c>
      <c r="G156" s="35">
        <v>1</v>
      </c>
      <c r="H156" s="1" t="s">
        <v>2</v>
      </c>
      <c r="I156" s="1"/>
      <c r="J156" s="1"/>
    </row>
    <row r="157" spans="1:10" x14ac:dyDescent="0.25">
      <c r="A157" t="s">
        <v>4</v>
      </c>
      <c r="B157" t="str">
        <f t="shared" si="4"/>
        <v>To</v>
      </c>
      <c r="C157" s="35">
        <v>2000</v>
      </c>
      <c r="D157" s="35">
        <v>1999</v>
      </c>
      <c r="E157" s="35">
        <v>205</v>
      </c>
      <c r="F157" s="35">
        <v>130</v>
      </c>
      <c r="G157" s="35">
        <v>75</v>
      </c>
      <c r="H157" s="1" t="s">
        <v>2</v>
      </c>
      <c r="I157" s="1"/>
      <c r="J157" s="1"/>
    </row>
    <row r="158" spans="1:10" x14ac:dyDescent="0.25">
      <c r="A158" t="s">
        <v>4</v>
      </c>
      <c r="B158" t="str">
        <f t="shared" si="4"/>
        <v>To</v>
      </c>
      <c r="C158" s="35">
        <v>2000</v>
      </c>
      <c r="D158" s="35">
        <v>2000</v>
      </c>
      <c r="E158" s="36">
        <v>45819</v>
      </c>
      <c r="F158" s="36">
        <v>23440</v>
      </c>
      <c r="G158" s="36">
        <v>22371</v>
      </c>
      <c r="H158" s="35">
        <v>8</v>
      </c>
      <c r="I158" s="1"/>
      <c r="J158" s="1"/>
    </row>
    <row r="159" spans="1:10" x14ac:dyDescent="0.25">
      <c r="A159" t="s">
        <v>4</v>
      </c>
      <c r="B159" t="str">
        <f t="shared" si="4"/>
        <v>To</v>
      </c>
      <c r="C159" s="35">
        <v>2001</v>
      </c>
      <c r="D159" s="1" t="s">
        <v>4</v>
      </c>
      <c r="E159" s="36">
        <v>46627</v>
      </c>
      <c r="F159" s="36">
        <v>23886</v>
      </c>
      <c r="G159" s="36">
        <v>22728</v>
      </c>
      <c r="H159" s="35">
        <v>13</v>
      </c>
      <c r="I159" s="1"/>
      <c r="J159" s="1"/>
    </row>
    <row r="160" spans="1:10" x14ac:dyDescent="0.25">
      <c r="A160" t="s">
        <v>4</v>
      </c>
      <c r="B160" t="str">
        <f t="shared" si="4"/>
        <v>To</v>
      </c>
      <c r="C160" s="35">
        <v>2001</v>
      </c>
      <c r="D160" s="35">
        <v>1985</v>
      </c>
      <c r="E160" s="35">
        <v>1</v>
      </c>
      <c r="F160" s="35">
        <v>1</v>
      </c>
      <c r="G160" s="1" t="s">
        <v>2</v>
      </c>
      <c r="H160" s="1" t="s">
        <v>2</v>
      </c>
      <c r="I160" s="1"/>
      <c r="J160" s="1"/>
    </row>
    <row r="161" spans="1:10" x14ac:dyDescent="0.25">
      <c r="A161" t="s">
        <v>4</v>
      </c>
      <c r="B161" t="str">
        <f t="shared" si="4"/>
        <v>To</v>
      </c>
      <c r="C161" s="35">
        <v>2001</v>
      </c>
      <c r="D161" s="35">
        <v>1996</v>
      </c>
      <c r="E161" s="35">
        <v>1</v>
      </c>
      <c r="F161" s="1" t="s">
        <v>2</v>
      </c>
      <c r="G161" s="35">
        <v>1</v>
      </c>
      <c r="H161" s="1" t="s">
        <v>2</v>
      </c>
      <c r="I161" s="1"/>
      <c r="J161" s="1"/>
    </row>
    <row r="162" spans="1:10" x14ac:dyDescent="0.25">
      <c r="A162" t="s">
        <v>4</v>
      </c>
      <c r="B162" t="str">
        <f t="shared" si="4"/>
        <v>To</v>
      </c>
      <c r="C162" s="35">
        <v>2001</v>
      </c>
      <c r="D162" s="35">
        <v>1999</v>
      </c>
      <c r="E162" s="35">
        <v>1</v>
      </c>
      <c r="F162" s="35">
        <v>1</v>
      </c>
      <c r="G162" s="1" t="s">
        <v>2</v>
      </c>
      <c r="H162" s="1" t="s">
        <v>2</v>
      </c>
      <c r="I162" s="1"/>
      <c r="J162" s="1"/>
    </row>
    <row r="163" spans="1:10" x14ac:dyDescent="0.25">
      <c r="A163" t="s">
        <v>4</v>
      </c>
      <c r="B163" t="str">
        <f t="shared" si="4"/>
        <v>To</v>
      </c>
      <c r="C163" s="35">
        <v>2001</v>
      </c>
      <c r="D163" s="35">
        <v>2000</v>
      </c>
      <c r="E163" s="35">
        <v>213</v>
      </c>
      <c r="F163" s="35">
        <v>118</v>
      </c>
      <c r="G163" s="35">
        <v>95</v>
      </c>
      <c r="H163" s="1" t="s">
        <v>2</v>
      </c>
      <c r="I163" s="1"/>
      <c r="J163" s="1"/>
    </row>
    <row r="164" spans="1:10" x14ac:dyDescent="0.25">
      <c r="A164" t="s">
        <v>4</v>
      </c>
      <c r="B164" t="str">
        <f t="shared" si="4"/>
        <v>To</v>
      </c>
      <c r="C164" s="35">
        <v>2001</v>
      </c>
      <c r="D164" s="35">
        <v>2001</v>
      </c>
      <c r="E164" s="36">
        <v>46411</v>
      </c>
      <c r="F164" s="36">
        <v>23766</v>
      </c>
      <c r="G164" s="36">
        <v>22632</v>
      </c>
      <c r="H164" s="35">
        <v>13</v>
      </c>
      <c r="I164" s="1"/>
      <c r="J164" s="1"/>
    </row>
    <row r="165" spans="1:10" x14ac:dyDescent="0.25">
      <c r="A165" t="s">
        <v>4</v>
      </c>
      <c r="B165" t="str">
        <f t="shared" si="4"/>
        <v>To</v>
      </c>
      <c r="C165" s="35">
        <v>2002</v>
      </c>
      <c r="D165" s="1" t="s">
        <v>4</v>
      </c>
      <c r="E165" s="36">
        <v>46984</v>
      </c>
      <c r="F165" s="36">
        <v>23987</v>
      </c>
      <c r="G165" s="36">
        <v>22988</v>
      </c>
      <c r="H165" s="35">
        <v>9</v>
      </c>
      <c r="I165" s="1"/>
      <c r="J165" s="1"/>
    </row>
    <row r="166" spans="1:10" x14ac:dyDescent="0.25">
      <c r="A166" t="s">
        <v>4</v>
      </c>
      <c r="B166" t="str">
        <f t="shared" si="4"/>
        <v>To</v>
      </c>
      <c r="C166" s="35">
        <v>2002</v>
      </c>
      <c r="D166" s="35">
        <v>1922</v>
      </c>
      <c r="E166" s="35">
        <v>1</v>
      </c>
      <c r="F166" s="35">
        <v>1</v>
      </c>
      <c r="G166" s="1" t="s">
        <v>2</v>
      </c>
      <c r="H166" s="1" t="s">
        <v>2</v>
      </c>
      <c r="I166" s="1"/>
      <c r="J166" s="1"/>
    </row>
    <row r="167" spans="1:10" x14ac:dyDescent="0.25">
      <c r="A167" t="s">
        <v>4</v>
      </c>
      <c r="B167" t="str">
        <f t="shared" si="4"/>
        <v>To</v>
      </c>
      <c r="C167" s="35">
        <v>2002</v>
      </c>
      <c r="D167" s="35">
        <v>1927</v>
      </c>
      <c r="E167" s="35">
        <v>1</v>
      </c>
      <c r="F167" s="35">
        <v>1</v>
      </c>
      <c r="G167" s="1" t="s">
        <v>2</v>
      </c>
      <c r="H167" s="1" t="s">
        <v>2</v>
      </c>
      <c r="I167" s="1"/>
      <c r="J167" s="1"/>
    </row>
    <row r="168" spans="1:10" x14ac:dyDescent="0.25">
      <c r="A168" t="s">
        <v>4</v>
      </c>
      <c r="B168" t="str">
        <f t="shared" si="4"/>
        <v>To</v>
      </c>
      <c r="C168" s="35">
        <v>2002</v>
      </c>
      <c r="D168" s="35">
        <v>1992</v>
      </c>
      <c r="E168" s="35">
        <v>1</v>
      </c>
      <c r="F168" s="35">
        <v>1</v>
      </c>
      <c r="G168" s="1" t="s">
        <v>2</v>
      </c>
      <c r="H168" s="1" t="s">
        <v>2</v>
      </c>
      <c r="I168" s="1"/>
      <c r="J168" s="1"/>
    </row>
    <row r="169" spans="1:10" x14ac:dyDescent="0.25">
      <c r="A169" t="s">
        <v>4</v>
      </c>
      <c r="B169" t="str">
        <f t="shared" si="4"/>
        <v>To</v>
      </c>
      <c r="C169" s="35">
        <v>2002</v>
      </c>
      <c r="D169" s="35">
        <v>1995</v>
      </c>
      <c r="E169" s="35">
        <v>1</v>
      </c>
      <c r="F169" s="35">
        <v>1</v>
      </c>
      <c r="G169" s="1" t="s">
        <v>2</v>
      </c>
      <c r="H169" s="1" t="s">
        <v>2</v>
      </c>
      <c r="I169" s="1"/>
      <c r="J169" s="1"/>
    </row>
    <row r="170" spans="1:10" x14ac:dyDescent="0.25">
      <c r="A170" t="s">
        <v>4</v>
      </c>
      <c r="B170" t="str">
        <f t="shared" si="4"/>
        <v>To</v>
      </c>
      <c r="C170" s="35">
        <v>2002</v>
      </c>
      <c r="D170" s="35">
        <v>1997</v>
      </c>
      <c r="E170" s="35">
        <v>1</v>
      </c>
      <c r="F170" s="35">
        <v>1</v>
      </c>
      <c r="G170" s="1" t="s">
        <v>2</v>
      </c>
      <c r="H170" s="1" t="s">
        <v>2</v>
      </c>
      <c r="I170" s="1"/>
      <c r="J170" s="1"/>
    </row>
    <row r="171" spans="1:10" x14ac:dyDescent="0.25">
      <c r="A171" t="s">
        <v>4</v>
      </c>
      <c r="B171" t="str">
        <f t="shared" si="4"/>
        <v>To</v>
      </c>
      <c r="C171" s="35">
        <v>2002</v>
      </c>
      <c r="D171" s="35">
        <v>1999</v>
      </c>
      <c r="E171" s="35">
        <v>1</v>
      </c>
      <c r="F171" s="35">
        <v>1</v>
      </c>
      <c r="G171" s="1" t="s">
        <v>2</v>
      </c>
      <c r="H171" s="1" t="s">
        <v>2</v>
      </c>
      <c r="I171" s="1"/>
      <c r="J171" s="1"/>
    </row>
    <row r="172" spans="1:10" x14ac:dyDescent="0.25">
      <c r="A172" t="s">
        <v>4</v>
      </c>
      <c r="B172" t="str">
        <f t="shared" si="4"/>
        <v>To</v>
      </c>
      <c r="C172" s="35">
        <v>2002</v>
      </c>
      <c r="D172" s="35">
        <v>2000</v>
      </c>
      <c r="E172" s="35">
        <v>5</v>
      </c>
      <c r="F172" s="35">
        <v>1</v>
      </c>
      <c r="G172" s="35">
        <v>4</v>
      </c>
      <c r="H172" s="1" t="s">
        <v>2</v>
      </c>
      <c r="I172" s="1"/>
      <c r="J172" s="1"/>
    </row>
    <row r="173" spans="1:10" x14ac:dyDescent="0.25">
      <c r="A173" t="s">
        <v>4</v>
      </c>
      <c r="B173" t="str">
        <f t="shared" si="4"/>
        <v>To</v>
      </c>
      <c r="C173" s="35">
        <v>2002</v>
      </c>
      <c r="D173" s="35">
        <v>2001</v>
      </c>
      <c r="E173" s="35">
        <v>250</v>
      </c>
      <c r="F173" s="35">
        <v>147</v>
      </c>
      <c r="G173" s="35">
        <v>103</v>
      </c>
      <c r="H173" s="1" t="s">
        <v>2</v>
      </c>
      <c r="I173" s="1"/>
      <c r="J173" s="1"/>
    </row>
    <row r="174" spans="1:10" x14ac:dyDescent="0.25">
      <c r="A174" t="s">
        <v>4</v>
      </c>
      <c r="B174" t="str">
        <f t="shared" si="4"/>
        <v>To</v>
      </c>
      <c r="C174" s="35">
        <v>2002</v>
      </c>
      <c r="D174" s="35">
        <v>2002</v>
      </c>
      <c r="E174" s="36">
        <v>46722</v>
      </c>
      <c r="F174" s="36">
        <v>23832</v>
      </c>
      <c r="G174" s="36">
        <v>22881</v>
      </c>
      <c r="H174" s="35">
        <v>9</v>
      </c>
      <c r="I174" s="1"/>
      <c r="J174" s="1"/>
    </row>
    <row r="175" spans="1:10" x14ac:dyDescent="0.25">
      <c r="A175" t="s">
        <v>4</v>
      </c>
      <c r="B175" t="str">
        <f t="shared" si="4"/>
        <v>To</v>
      </c>
      <c r="C175" s="35">
        <v>2002</v>
      </c>
      <c r="D175" s="1" t="s">
        <v>24</v>
      </c>
      <c r="E175" s="35">
        <v>1</v>
      </c>
      <c r="F175" s="35">
        <v>1</v>
      </c>
      <c r="G175" s="1" t="s">
        <v>2</v>
      </c>
      <c r="H175" s="1" t="s">
        <v>2</v>
      </c>
      <c r="I175" s="1"/>
      <c r="J175" s="1"/>
    </row>
    <row r="176" spans="1:10" x14ac:dyDescent="0.25">
      <c r="A176" t="s">
        <v>4</v>
      </c>
      <c r="B176" t="str">
        <f t="shared" si="4"/>
        <v>To</v>
      </c>
      <c r="C176" s="35">
        <v>2003</v>
      </c>
      <c r="D176" s="1" t="s">
        <v>4</v>
      </c>
      <c r="E176" s="36">
        <v>48586</v>
      </c>
      <c r="F176" s="36">
        <v>24972</v>
      </c>
      <c r="G176" s="36">
        <v>23605</v>
      </c>
      <c r="H176" s="35">
        <v>9</v>
      </c>
      <c r="I176" s="1"/>
      <c r="J176" s="1"/>
    </row>
    <row r="177" spans="1:10" x14ac:dyDescent="0.25">
      <c r="A177" t="s">
        <v>4</v>
      </c>
      <c r="B177" t="str">
        <f t="shared" si="4"/>
        <v>To</v>
      </c>
      <c r="C177" s="35">
        <v>2003</v>
      </c>
      <c r="D177" s="35">
        <v>1922</v>
      </c>
      <c r="E177" s="35">
        <v>1</v>
      </c>
      <c r="F177" s="1" t="s">
        <v>2</v>
      </c>
      <c r="G177" s="35">
        <v>1</v>
      </c>
      <c r="H177" s="1" t="s">
        <v>2</v>
      </c>
      <c r="I177" s="1"/>
      <c r="J177" s="1"/>
    </row>
    <row r="178" spans="1:10" x14ac:dyDescent="0.25">
      <c r="A178" t="s">
        <v>4</v>
      </c>
      <c r="B178" t="str">
        <f t="shared" si="4"/>
        <v>To</v>
      </c>
      <c r="C178" s="35">
        <v>2003</v>
      </c>
      <c r="D178" s="35">
        <v>1976</v>
      </c>
      <c r="E178" s="35">
        <v>1</v>
      </c>
      <c r="F178" s="1" t="s">
        <v>2</v>
      </c>
      <c r="G178" s="35">
        <v>1</v>
      </c>
      <c r="H178" s="1" t="s">
        <v>2</v>
      </c>
      <c r="I178" s="1"/>
      <c r="J178" s="1"/>
    </row>
    <row r="179" spans="1:10" x14ac:dyDescent="0.25">
      <c r="A179" t="s">
        <v>4</v>
      </c>
      <c r="B179" t="str">
        <f t="shared" si="4"/>
        <v>To</v>
      </c>
      <c r="C179" s="35">
        <v>2003</v>
      </c>
      <c r="D179" s="35">
        <v>1992</v>
      </c>
      <c r="E179" s="35">
        <v>1</v>
      </c>
      <c r="F179" s="35">
        <v>1</v>
      </c>
      <c r="G179" s="1" t="s">
        <v>2</v>
      </c>
      <c r="H179" s="1" t="s">
        <v>2</v>
      </c>
      <c r="I179" s="1"/>
      <c r="J179" s="1"/>
    </row>
    <row r="180" spans="1:10" x14ac:dyDescent="0.25">
      <c r="A180" t="s">
        <v>4</v>
      </c>
      <c r="B180" t="str">
        <f t="shared" si="4"/>
        <v>To</v>
      </c>
      <c r="C180" s="35">
        <v>2003</v>
      </c>
      <c r="D180" s="35">
        <v>1999</v>
      </c>
      <c r="E180" s="35">
        <v>1</v>
      </c>
      <c r="F180" s="35">
        <v>1</v>
      </c>
      <c r="G180" s="1" t="s">
        <v>2</v>
      </c>
      <c r="H180" s="1" t="s">
        <v>2</v>
      </c>
      <c r="I180" s="1"/>
      <c r="J180" s="1"/>
    </row>
    <row r="181" spans="1:10" x14ac:dyDescent="0.25">
      <c r="A181" t="s">
        <v>4</v>
      </c>
      <c r="B181" t="str">
        <f t="shared" si="4"/>
        <v>To</v>
      </c>
      <c r="C181" s="35">
        <v>2003</v>
      </c>
      <c r="D181" s="35">
        <v>2000</v>
      </c>
      <c r="E181" s="35">
        <v>4</v>
      </c>
      <c r="F181" s="35">
        <v>1</v>
      </c>
      <c r="G181" s="35">
        <v>3</v>
      </c>
      <c r="H181" s="1" t="s">
        <v>2</v>
      </c>
      <c r="I181" s="1"/>
      <c r="J181" s="1"/>
    </row>
    <row r="182" spans="1:10" x14ac:dyDescent="0.25">
      <c r="A182" t="s">
        <v>4</v>
      </c>
      <c r="B182" t="str">
        <f t="shared" si="4"/>
        <v>To</v>
      </c>
      <c r="C182" s="35">
        <v>2003</v>
      </c>
      <c r="D182" s="35">
        <v>2001</v>
      </c>
      <c r="E182" s="35">
        <v>5</v>
      </c>
      <c r="F182" s="35">
        <v>4</v>
      </c>
      <c r="G182" s="35">
        <v>1</v>
      </c>
      <c r="H182" s="1" t="s">
        <v>2</v>
      </c>
      <c r="I182" s="1"/>
      <c r="J182" s="1"/>
    </row>
    <row r="183" spans="1:10" x14ac:dyDescent="0.25">
      <c r="A183" t="s">
        <v>4</v>
      </c>
      <c r="B183" t="str">
        <f t="shared" si="4"/>
        <v>To</v>
      </c>
      <c r="C183" s="35">
        <v>2003</v>
      </c>
      <c r="D183" s="35">
        <v>2002</v>
      </c>
      <c r="E183" s="35">
        <v>224</v>
      </c>
      <c r="F183" s="35">
        <v>126</v>
      </c>
      <c r="G183" s="35">
        <v>98</v>
      </c>
      <c r="H183" s="1" t="s">
        <v>2</v>
      </c>
      <c r="I183" s="1"/>
      <c r="J183" s="1"/>
    </row>
    <row r="184" spans="1:10" x14ac:dyDescent="0.25">
      <c r="A184" t="s">
        <v>4</v>
      </c>
      <c r="B184" t="str">
        <f t="shared" si="4"/>
        <v>To</v>
      </c>
      <c r="C184" s="35">
        <v>2003</v>
      </c>
      <c r="D184" s="35">
        <v>2003</v>
      </c>
      <c r="E184" s="36">
        <v>48349</v>
      </c>
      <c r="F184" s="36">
        <v>24839</v>
      </c>
      <c r="G184" s="36">
        <v>23501</v>
      </c>
      <c r="H184" s="35">
        <v>9</v>
      </c>
      <c r="I184" s="1"/>
      <c r="J184" s="1"/>
    </row>
    <row r="185" spans="1:10" x14ac:dyDescent="0.25">
      <c r="A185" t="s">
        <v>4</v>
      </c>
      <c r="B185" t="str">
        <f t="shared" si="4"/>
        <v>To</v>
      </c>
      <c r="C185" s="35">
        <v>2004</v>
      </c>
      <c r="D185" s="1" t="s">
        <v>4</v>
      </c>
      <c r="E185" s="36">
        <v>48950</v>
      </c>
      <c r="F185" s="36">
        <v>24919</v>
      </c>
      <c r="G185" s="36">
        <v>24018</v>
      </c>
      <c r="H185" s="35">
        <v>13</v>
      </c>
      <c r="I185" s="1"/>
      <c r="J185" s="1"/>
    </row>
    <row r="186" spans="1:10" x14ac:dyDescent="0.25">
      <c r="A186" t="s">
        <v>4</v>
      </c>
      <c r="B186" t="str">
        <f t="shared" si="4"/>
        <v>To</v>
      </c>
      <c r="C186" s="35">
        <v>2004</v>
      </c>
      <c r="D186" s="35">
        <v>1931</v>
      </c>
      <c r="E186" s="35">
        <v>1</v>
      </c>
      <c r="F186" s="1" t="s">
        <v>2</v>
      </c>
      <c r="G186" s="35">
        <v>1</v>
      </c>
      <c r="H186" s="1" t="s">
        <v>2</v>
      </c>
      <c r="I186" s="1"/>
      <c r="J186" s="1"/>
    </row>
    <row r="187" spans="1:10" x14ac:dyDescent="0.25">
      <c r="A187" t="s">
        <v>4</v>
      </c>
      <c r="B187" t="str">
        <f t="shared" si="4"/>
        <v>To</v>
      </c>
      <c r="C187" s="35">
        <v>2004</v>
      </c>
      <c r="D187" s="35">
        <v>2000</v>
      </c>
      <c r="E187" s="35">
        <v>2</v>
      </c>
      <c r="F187" s="35">
        <v>1</v>
      </c>
      <c r="G187" s="35">
        <v>1</v>
      </c>
      <c r="H187" s="1" t="s">
        <v>2</v>
      </c>
      <c r="I187" s="1"/>
      <c r="J187" s="1"/>
    </row>
    <row r="188" spans="1:10" x14ac:dyDescent="0.25">
      <c r="A188" t="s">
        <v>4</v>
      </c>
      <c r="B188" t="str">
        <f t="shared" si="4"/>
        <v>To</v>
      </c>
      <c r="C188" s="35">
        <v>2004</v>
      </c>
      <c r="D188" s="35">
        <v>2001</v>
      </c>
      <c r="E188" s="35">
        <v>5</v>
      </c>
      <c r="F188" s="35">
        <v>2</v>
      </c>
      <c r="G188" s="35">
        <v>3</v>
      </c>
      <c r="H188" s="1" t="s">
        <v>2</v>
      </c>
      <c r="I188" s="1"/>
      <c r="J188" s="1"/>
    </row>
    <row r="189" spans="1:10" x14ac:dyDescent="0.25">
      <c r="A189" t="s">
        <v>4</v>
      </c>
      <c r="B189" t="str">
        <f t="shared" si="4"/>
        <v>To</v>
      </c>
      <c r="C189" s="35">
        <v>2004</v>
      </c>
      <c r="D189" s="35">
        <v>2002</v>
      </c>
      <c r="E189" s="35">
        <v>7</v>
      </c>
      <c r="F189" s="35">
        <v>6</v>
      </c>
      <c r="G189" s="35">
        <v>1</v>
      </c>
      <c r="H189" s="1" t="s">
        <v>2</v>
      </c>
      <c r="I189" s="1"/>
      <c r="J189" s="1"/>
    </row>
    <row r="190" spans="1:10" x14ac:dyDescent="0.25">
      <c r="A190" t="s">
        <v>4</v>
      </c>
      <c r="B190" t="str">
        <f t="shared" si="4"/>
        <v>To</v>
      </c>
      <c r="C190" s="35">
        <v>2004</v>
      </c>
      <c r="D190" s="35">
        <v>2003</v>
      </c>
      <c r="E190" s="35">
        <v>272</v>
      </c>
      <c r="F190" s="35">
        <v>191</v>
      </c>
      <c r="G190" s="35">
        <v>81</v>
      </c>
      <c r="H190" s="1" t="s">
        <v>2</v>
      </c>
      <c r="I190" s="1"/>
      <c r="J190" s="1"/>
    </row>
    <row r="191" spans="1:10" x14ac:dyDescent="0.25">
      <c r="A191" t="s">
        <v>4</v>
      </c>
      <c r="B191" t="str">
        <f t="shared" si="4"/>
        <v>To</v>
      </c>
      <c r="C191" s="35">
        <v>2004</v>
      </c>
      <c r="D191" s="35">
        <v>2004</v>
      </c>
      <c r="E191" s="36">
        <v>48663</v>
      </c>
      <c r="F191" s="36">
        <v>24719</v>
      </c>
      <c r="G191" s="36">
        <v>23931</v>
      </c>
      <c r="H191" s="35">
        <v>13</v>
      </c>
      <c r="I191" s="1"/>
      <c r="J191" s="1"/>
    </row>
    <row r="192" spans="1:10" x14ac:dyDescent="0.25">
      <c r="A192" t="s">
        <v>4</v>
      </c>
      <c r="B192" t="str">
        <f t="shared" si="4"/>
        <v>To</v>
      </c>
      <c r="C192" s="35">
        <v>2005</v>
      </c>
      <c r="D192" s="1" t="s">
        <v>4</v>
      </c>
      <c r="E192" s="36">
        <v>49882</v>
      </c>
      <c r="F192" s="36">
        <v>25428</v>
      </c>
      <c r="G192" s="36">
        <v>24443</v>
      </c>
      <c r="H192" s="35">
        <v>11</v>
      </c>
      <c r="I192" s="1"/>
      <c r="J192" s="1"/>
    </row>
    <row r="193" spans="1:10" x14ac:dyDescent="0.25">
      <c r="A193" t="s">
        <v>4</v>
      </c>
      <c r="B193" t="str">
        <f t="shared" si="4"/>
        <v>To</v>
      </c>
      <c r="C193" s="35">
        <v>2005</v>
      </c>
      <c r="D193" s="35">
        <v>1995</v>
      </c>
      <c r="E193" s="35">
        <v>1</v>
      </c>
      <c r="F193" s="35">
        <v>1</v>
      </c>
      <c r="G193" s="1" t="s">
        <v>2</v>
      </c>
      <c r="H193" s="1" t="s">
        <v>2</v>
      </c>
      <c r="I193" s="1"/>
      <c r="J193" s="1"/>
    </row>
    <row r="194" spans="1:10" x14ac:dyDescent="0.25">
      <c r="A194" t="s">
        <v>4</v>
      </c>
      <c r="B194" t="str">
        <f t="shared" si="4"/>
        <v>To</v>
      </c>
      <c r="C194" s="35">
        <v>2005</v>
      </c>
      <c r="D194" s="35">
        <v>1997</v>
      </c>
      <c r="E194" s="35">
        <v>3</v>
      </c>
      <c r="F194" s="35">
        <v>3</v>
      </c>
      <c r="G194" s="1" t="s">
        <v>2</v>
      </c>
      <c r="H194" s="1" t="s">
        <v>2</v>
      </c>
      <c r="I194" s="1"/>
      <c r="J194" s="1"/>
    </row>
    <row r="195" spans="1:10" x14ac:dyDescent="0.25">
      <c r="A195" t="s">
        <v>4</v>
      </c>
      <c r="B195" t="str">
        <f t="shared" si="4"/>
        <v>To</v>
      </c>
      <c r="C195" s="35">
        <v>2005</v>
      </c>
      <c r="D195" s="35">
        <v>2000</v>
      </c>
      <c r="E195" s="35">
        <v>1</v>
      </c>
      <c r="F195" s="1" t="s">
        <v>2</v>
      </c>
      <c r="G195" s="35">
        <v>1</v>
      </c>
      <c r="H195" s="1" t="s">
        <v>2</v>
      </c>
      <c r="I195" s="1"/>
      <c r="J195" s="1"/>
    </row>
    <row r="196" spans="1:10" x14ac:dyDescent="0.25">
      <c r="A196" t="s">
        <v>4</v>
      </c>
      <c r="B196" t="str">
        <f t="shared" si="4"/>
        <v>To</v>
      </c>
      <c r="C196" s="35">
        <v>2005</v>
      </c>
      <c r="D196" s="35">
        <v>2002</v>
      </c>
      <c r="E196" s="35">
        <v>1</v>
      </c>
      <c r="F196" s="35">
        <v>1</v>
      </c>
      <c r="G196" s="1" t="s">
        <v>2</v>
      </c>
      <c r="H196" s="1" t="s">
        <v>2</v>
      </c>
      <c r="I196" s="1"/>
      <c r="J196" s="1"/>
    </row>
    <row r="197" spans="1:10" x14ac:dyDescent="0.25">
      <c r="A197" t="s">
        <v>4</v>
      </c>
      <c r="B197" t="str">
        <f t="shared" si="4"/>
        <v>To</v>
      </c>
      <c r="C197" s="35">
        <v>2005</v>
      </c>
      <c r="D197" s="35">
        <v>2003</v>
      </c>
      <c r="E197" s="35">
        <v>3</v>
      </c>
      <c r="F197" s="35">
        <v>2</v>
      </c>
      <c r="G197" s="35">
        <v>1</v>
      </c>
      <c r="H197" s="1" t="s">
        <v>2</v>
      </c>
      <c r="I197" s="1"/>
      <c r="J197" s="1"/>
    </row>
    <row r="198" spans="1:10" x14ac:dyDescent="0.25">
      <c r="A198" t="s">
        <v>4</v>
      </c>
      <c r="B198" t="str">
        <f t="shared" si="4"/>
        <v>To</v>
      </c>
      <c r="C198" s="35">
        <v>2005</v>
      </c>
      <c r="D198" s="35">
        <v>2004</v>
      </c>
      <c r="E198" s="35">
        <v>216</v>
      </c>
      <c r="F198" s="35">
        <v>125</v>
      </c>
      <c r="G198" s="35">
        <v>91</v>
      </c>
      <c r="H198" s="1" t="s">
        <v>2</v>
      </c>
      <c r="I198" s="1"/>
      <c r="J198" s="1"/>
    </row>
    <row r="199" spans="1:10" x14ac:dyDescent="0.25">
      <c r="A199" t="s">
        <v>4</v>
      </c>
      <c r="B199" t="str">
        <f t="shared" ref="B199:B262" si="5">IF(A199="Menores de 1 año",0,LEFT(A199,2))</f>
        <v>To</v>
      </c>
      <c r="C199" s="35">
        <v>2005</v>
      </c>
      <c r="D199" s="35">
        <v>2005</v>
      </c>
      <c r="E199" s="36">
        <v>49657</v>
      </c>
      <c r="F199" s="36">
        <v>25296</v>
      </c>
      <c r="G199" s="36">
        <v>24350</v>
      </c>
      <c r="H199" s="35">
        <v>11</v>
      </c>
      <c r="I199" s="1"/>
      <c r="J199" s="1"/>
    </row>
    <row r="200" spans="1:10" x14ac:dyDescent="0.25">
      <c r="A200" t="s">
        <v>4</v>
      </c>
      <c r="B200" t="str">
        <f t="shared" si="5"/>
        <v>To</v>
      </c>
      <c r="C200" s="35">
        <v>2006</v>
      </c>
      <c r="D200" s="1" t="s">
        <v>4</v>
      </c>
      <c r="E200" s="36">
        <v>49894</v>
      </c>
      <c r="F200" s="36">
        <v>25472</v>
      </c>
      <c r="G200" s="36">
        <v>24407</v>
      </c>
      <c r="H200" s="35">
        <v>15</v>
      </c>
      <c r="I200" s="1"/>
      <c r="J200" s="1"/>
    </row>
    <row r="201" spans="1:10" x14ac:dyDescent="0.25">
      <c r="A201" t="s">
        <v>4</v>
      </c>
      <c r="B201" t="str">
        <f t="shared" si="5"/>
        <v>To</v>
      </c>
      <c r="C201" s="35">
        <v>2006</v>
      </c>
      <c r="D201" s="35">
        <v>1997</v>
      </c>
      <c r="E201" s="35">
        <v>1</v>
      </c>
      <c r="F201" s="35">
        <v>1</v>
      </c>
      <c r="G201" s="1" t="s">
        <v>2</v>
      </c>
      <c r="H201" s="1" t="s">
        <v>2</v>
      </c>
      <c r="I201" s="1"/>
      <c r="J201" s="1"/>
    </row>
    <row r="202" spans="1:10" x14ac:dyDescent="0.25">
      <c r="A202" t="s">
        <v>4</v>
      </c>
      <c r="B202" t="str">
        <f t="shared" si="5"/>
        <v>To</v>
      </c>
      <c r="C202" s="35">
        <v>2006</v>
      </c>
      <c r="D202" s="35">
        <v>2000</v>
      </c>
      <c r="E202" s="35">
        <v>4</v>
      </c>
      <c r="F202" s="35">
        <v>3</v>
      </c>
      <c r="G202" s="35">
        <v>1</v>
      </c>
      <c r="H202" s="1" t="s">
        <v>2</v>
      </c>
      <c r="I202" s="1"/>
      <c r="J202" s="1"/>
    </row>
    <row r="203" spans="1:10" x14ac:dyDescent="0.25">
      <c r="A203" t="s">
        <v>4</v>
      </c>
      <c r="B203" t="str">
        <f t="shared" si="5"/>
        <v>To</v>
      </c>
      <c r="C203" s="35">
        <v>2006</v>
      </c>
      <c r="D203" s="35">
        <v>2001</v>
      </c>
      <c r="E203" s="35">
        <v>2</v>
      </c>
      <c r="F203" s="35">
        <v>2</v>
      </c>
      <c r="G203" s="1" t="s">
        <v>2</v>
      </c>
      <c r="H203" s="1" t="s">
        <v>2</v>
      </c>
      <c r="I203" s="1"/>
      <c r="J203" s="1"/>
    </row>
    <row r="204" spans="1:10" x14ac:dyDescent="0.25">
      <c r="A204" t="s">
        <v>4</v>
      </c>
      <c r="B204" t="str">
        <f t="shared" si="5"/>
        <v>To</v>
      </c>
      <c r="C204" s="35">
        <v>2006</v>
      </c>
      <c r="D204" s="35">
        <v>2003</v>
      </c>
      <c r="E204" s="35">
        <v>2</v>
      </c>
      <c r="F204" s="35">
        <v>2</v>
      </c>
      <c r="G204" s="1" t="s">
        <v>2</v>
      </c>
      <c r="H204" s="1" t="s">
        <v>2</v>
      </c>
      <c r="I204" s="1"/>
      <c r="J204" s="1"/>
    </row>
    <row r="205" spans="1:10" x14ac:dyDescent="0.25">
      <c r="A205" t="s">
        <v>4</v>
      </c>
      <c r="B205" t="str">
        <f t="shared" si="5"/>
        <v>To</v>
      </c>
      <c r="C205" s="35">
        <v>2006</v>
      </c>
      <c r="D205" s="35">
        <v>2004</v>
      </c>
      <c r="E205" s="35">
        <v>1</v>
      </c>
      <c r="F205" s="35">
        <v>1</v>
      </c>
      <c r="G205" s="1" t="s">
        <v>2</v>
      </c>
      <c r="H205" s="1" t="s">
        <v>2</v>
      </c>
      <c r="I205" s="1"/>
      <c r="J205" s="1"/>
    </row>
    <row r="206" spans="1:10" x14ac:dyDescent="0.25">
      <c r="A206" t="s">
        <v>4</v>
      </c>
      <c r="B206" t="str">
        <f t="shared" si="5"/>
        <v>To</v>
      </c>
      <c r="C206" s="35">
        <v>2006</v>
      </c>
      <c r="D206" s="35">
        <v>2005</v>
      </c>
      <c r="E206" s="35">
        <v>368</v>
      </c>
      <c r="F206" s="35">
        <v>244</v>
      </c>
      <c r="G206" s="35">
        <v>124</v>
      </c>
      <c r="H206" s="1" t="s">
        <v>2</v>
      </c>
      <c r="I206" s="1"/>
      <c r="J206" s="1"/>
    </row>
    <row r="207" spans="1:10" x14ac:dyDescent="0.25">
      <c r="A207" t="s">
        <v>4</v>
      </c>
      <c r="B207" t="str">
        <f t="shared" si="5"/>
        <v>To</v>
      </c>
      <c r="C207" s="35">
        <v>2006</v>
      </c>
      <c r="D207" s="35">
        <v>2006</v>
      </c>
      <c r="E207" s="36">
        <v>49516</v>
      </c>
      <c r="F207" s="36">
        <v>25219</v>
      </c>
      <c r="G207" s="36">
        <v>24282</v>
      </c>
      <c r="H207" s="35">
        <v>15</v>
      </c>
      <c r="I207" s="1"/>
      <c r="J207" s="1"/>
    </row>
    <row r="208" spans="1:10" x14ac:dyDescent="0.25">
      <c r="A208" t="s">
        <v>4</v>
      </c>
      <c r="B208" t="str">
        <f t="shared" si="5"/>
        <v>To</v>
      </c>
      <c r="C208" s="35">
        <v>2007</v>
      </c>
      <c r="D208" s="1" t="s">
        <v>4</v>
      </c>
      <c r="E208" s="36">
        <v>51465</v>
      </c>
      <c r="F208" s="36">
        <v>26188</v>
      </c>
      <c r="G208" s="36">
        <v>25262</v>
      </c>
      <c r="H208" s="35">
        <v>15</v>
      </c>
      <c r="I208" s="1"/>
      <c r="J208" s="1"/>
    </row>
    <row r="209" spans="1:10" x14ac:dyDescent="0.25">
      <c r="A209" t="s">
        <v>4</v>
      </c>
      <c r="B209" t="str">
        <f t="shared" si="5"/>
        <v>To</v>
      </c>
      <c r="C209" s="35">
        <v>2007</v>
      </c>
      <c r="D209" s="35">
        <v>2000</v>
      </c>
      <c r="E209" s="35">
        <v>1</v>
      </c>
      <c r="F209" s="35">
        <v>1</v>
      </c>
      <c r="G209" s="1" t="s">
        <v>2</v>
      </c>
      <c r="H209" s="1" t="s">
        <v>2</v>
      </c>
      <c r="I209" s="1"/>
      <c r="J209" s="1"/>
    </row>
    <row r="210" spans="1:10" x14ac:dyDescent="0.25">
      <c r="A210" t="s">
        <v>4</v>
      </c>
      <c r="B210" t="str">
        <f t="shared" si="5"/>
        <v>To</v>
      </c>
      <c r="C210" s="35">
        <v>2007</v>
      </c>
      <c r="D210" s="35">
        <v>2002</v>
      </c>
      <c r="E210" s="35">
        <v>1</v>
      </c>
      <c r="F210" s="35">
        <v>1</v>
      </c>
      <c r="G210" s="1" t="s">
        <v>2</v>
      </c>
      <c r="H210" s="1" t="s">
        <v>2</v>
      </c>
      <c r="I210" s="1"/>
      <c r="J210" s="1"/>
    </row>
    <row r="211" spans="1:10" x14ac:dyDescent="0.25">
      <c r="A211" t="s">
        <v>4</v>
      </c>
      <c r="B211" t="str">
        <f t="shared" si="5"/>
        <v>To</v>
      </c>
      <c r="C211" s="35">
        <v>2007</v>
      </c>
      <c r="D211" s="35">
        <v>2003</v>
      </c>
      <c r="E211" s="35">
        <v>1</v>
      </c>
      <c r="F211" s="1" t="s">
        <v>2</v>
      </c>
      <c r="G211" s="35">
        <v>1</v>
      </c>
      <c r="H211" s="1" t="s">
        <v>2</v>
      </c>
      <c r="I211" s="1"/>
      <c r="J211" s="1"/>
    </row>
    <row r="212" spans="1:10" x14ac:dyDescent="0.25">
      <c r="A212" t="s">
        <v>4</v>
      </c>
      <c r="B212" t="str">
        <f t="shared" si="5"/>
        <v>To</v>
      </c>
      <c r="C212" s="35">
        <v>2007</v>
      </c>
      <c r="D212" s="35">
        <v>2005</v>
      </c>
      <c r="E212" s="35">
        <v>4</v>
      </c>
      <c r="F212" s="35">
        <v>4</v>
      </c>
      <c r="G212" s="1" t="s">
        <v>2</v>
      </c>
      <c r="H212" s="1" t="s">
        <v>2</v>
      </c>
      <c r="I212" s="1"/>
      <c r="J212" s="1"/>
    </row>
    <row r="213" spans="1:10" x14ac:dyDescent="0.25">
      <c r="A213" t="s">
        <v>4</v>
      </c>
      <c r="B213" t="str">
        <f t="shared" si="5"/>
        <v>To</v>
      </c>
      <c r="C213" s="35">
        <v>2007</v>
      </c>
      <c r="D213" s="35">
        <v>2006</v>
      </c>
      <c r="E213" s="35">
        <v>440</v>
      </c>
      <c r="F213" s="35">
        <v>322</v>
      </c>
      <c r="G213" s="35">
        <v>117</v>
      </c>
      <c r="H213" s="35">
        <v>1</v>
      </c>
      <c r="I213" s="1"/>
      <c r="J213" s="1"/>
    </row>
    <row r="214" spans="1:10" x14ac:dyDescent="0.25">
      <c r="A214" t="s">
        <v>4</v>
      </c>
      <c r="B214" t="str">
        <f t="shared" si="5"/>
        <v>To</v>
      </c>
      <c r="C214" s="35">
        <v>2007</v>
      </c>
      <c r="D214" s="35">
        <v>2007</v>
      </c>
      <c r="E214" s="36">
        <v>51018</v>
      </c>
      <c r="F214" s="36">
        <v>25860</v>
      </c>
      <c r="G214" s="36">
        <v>25144</v>
      </c>
      <c r="H214" s="35">
        <v>14</v>
      </c>
      <c r="I214" s="1"/>
      <c r="J214" s="1"/>
    </row>
    <row r="215" spans="1:10" x14ac:dyDescent="0.25">
      <c r="A215" t="s">
        <v>4</v>
      </c>
      <c r="B215" t="str">
        <f t="shared" si="5"/>
        <v>To</v>
      </c>
      <c r="C215" s="35">
        <v>2008</v>
      </c>
      <c r="D215" s="1" t="s">
        <v>4</v>
      </c>
      <c r="E215" s="36">
        <v>52404</v>
      </c>
      <c r="F215" s="36">
        <v>26781</v>
      </c>
      <c r="G215" s="36">
        <v>25610</v>
      </c>
      <c r="H215" s="35">
        <v>13</v>
      </c>
      <c r="I215" s="1"/>
      <c r="J215" s="1"/>
    </row>
    <row r="216" spans="1:10" x14ac:dyDescent="0.25">
      <c r="A216" t="s">
        <v>4</v>
      </c>
      <c r="B216" t="str">
        <f t="shared" si="5"/>
        <v>To</v>
      </c>
      <c r="C216" s="35">
        <v>2008</v>
      </c>
      <c r="D216" s="35">
        <v>2001</v>
      </c>
      <c r="E216" s="35">
        <v>1</v>
      </c>
      <c r="F216" s="35">
        <v>1</v>
      </c>
      <c r="G216" s="1" t="s">
        <v>2</v>
      </c>
      <c r="H216" s="1" t="s">
        <v>2</v>
      </c>
      <c r="I216" s="1"/>
      <c r="J216" s="1"/>
    </row>
    <row r="217" spans="1:10" x14ac:dyDescent="0.25">
      <c r="A217" t="s">
        <v>4</v>
      </c>
      <c r="B217" t="str">
        <f t="shared" si="5"/>
        <v>To</v>
      </c>
      <c r="C217" s="35">
        <v>2008</v>
      </c>
      <c r="D217" s="35">
        <v>2003</v>
      </c>
      <c r="E217" s="35">
        <v>1</v>
      </c>
      <c r="F217" s="35">
        <v>1</v>
      </c>
      <c r="G217" s="1" t="s">
        <v>2</v>
      </c>
      <c r="H217" s="1" t="s">
        <v>2</v>
      </c>
      <c r="I217" s="1"/>
      <c r="J217" s="1"/>
    </row>
    <row r="218" spans="1:10" x14ac:dyDescent="0.25">
      <c r="A218" t="s">
        <v>4</v>
      </c>
      <c r="B218" t="str">
        <f t="shared" si="5"/>
        <v>To</v>
      </c>
      <c r="C218" s="35">
        <v>2008</v>
      </c>
      <c r="D218" s="35">
        <v>2004</v>
      </c>
      <c r="E218" s="35">
        <v>112</v>
      </c>
      <c r="F218" s="35">
        <v>94</v>
      </c>
      <c r="G218" s="35">
        <v>18</v>
      </c>
      <c r="H218" s="1" t="s">
        <v>2</v>
      </c>
      <c r="I218" s="1"/>
      <c r="J218" s="1"/>
    </row>
    <row r="219" spans="1:10" x14ac:dyDescent="0.25">
      <c r="A219" t="s">
        <v>4</v>
      </c>
      <c r="B219" t="str">
        <f t="shared" si="5"/>
        <v>To</v>
      </c>
      <c r="C219" s="35">
        <v>2008</v>
      </c>
      <c r="D219" s="35">
        <v>2005</v>
      </c>
      <c r="E219" s="35">
        <v>106</v>
      </c>
      <c r="F219" s="35">
        <v>84</v>
      </c>
      <c r="G219" s="35">
        <v>22</v>
      </c>
      <c r="H219" s="1" t="s">
        <v>2</v>
      </c>
      <c r="I219" s="1"/>
      <c r="J219" s="1"/>
    </row>
    <row r="220" spans="1:10" x14ac:dyDescent="0.25">
      <c r="A220" t="s">
        <v>4</v>
      </c>
      <c r="B220" t="str">
        <f t="shared" si="5"/>
        <v>To</v>
      </c>
      <c r="C220" s="35">
        <v>2008</v>
      </c>
      <c r="D220" s="35">
        <v>2006</v>
      </c>
      <c r="E220" s="35">
        <v>6</v>
      </c>
      <c r="F220" s="35">
        <v>4</v>
      </c>
      <c r="G220" s="35">
        <v>2</v>
      </c>
      <c r="H220" s="1" t="s">
        <v>2</v>
      </c>
      <c r="I220" s="1"/>
      <c r="J220" s="1"/>
    </row>
    <row r="221" spans="1:10" x14ac:dyDescent="0.25">
      <c r="A221" t="s">
        <v>4</v>
      </c>
      <c r="B221" t="str">
        <f t="shared" si="5"/>
        <v>To</v>
      </c>
      <c r="C221" s="35">
        <v>2008</v>
      </c>
      <c r="D221" s="35">
        <v>2007</v>
      </c>
      <c r="E221" s="35">
        <v>384</v>
      </c>
      <c r="F221" s="35">
        <v>287</v>
      </c>
      <c r="G221" s="35">
        <v>97</v>
      </c>
      <c r="H221" s="1" t="s">
        <v>2</v>
      </c>
      <c r="I221" s="1"/>
      <c r="J221" s="1"/>
    </row>
    <row r="222" spans="1:10" x14ac:dyDescent="0.25">
      <c r="A222" t="s">
        <v>4</v>
      </c>
      <c r="B222" t="str">
        <f t="shared" si="5"/>
        <v>To</v>
      </c>
      <c r="C222" s="35">
        <v>2008</v>
      </c>
      <c r="D222" s="35">
        <v>2008</v>
      </c>
      <c r="E222" s="36">
        <v>51794</v>
      </c>
      <c r="F222" s="36">
        <v>26310</v>
      </c>
      <c r="G222" s="36">
        <v>25471</v>
      </c>
      <c r="H222" s="35">
        <v>13</v>
      </c>
      <c r="I222" s="1"/>
      <c r="J222" s="1"/>
    </row>
    <row r="223" spans="1:10" x14ac:dyDescent="0.25">
      <c r="A223" t="s">
        <v>4</v>
      </c>
      <c r="B223" t="str">
        <f t="shared" si="5"/>
        <v>To</v>
      </c>
      <c r="C223" s="35">
        <v>2009</v>
      </c>
      <c r="D223" s="1" t="s">
        <v>4</v>
      </c>
      <c r="E223" s="36">
        <v>53801</v>
      </c>
      <c r="F223" s="36">
        <v>27424</v>
      </c>
      <c r="G223" s="36">
        <v>26368</v>
      </c>
      <c r="H223" s="35">
        <v>9</v>
      </c>
      <c r="I223" s="1"/>
      <c r="J223" s="1"/>
    </row>
    <row r="224" spans="1:10" x14ac:dyDescent="0.25">
      <c r="A224" t="s">
        <v>4</v>
      </c>
      <c r="B224" t="str">
        <f t="shared" si="5"/>
        <v>To</v>
      </c>
      <c r="C224" s="35">
        <v>2009</v>
      </c>
      <c r="D224" s="35">
        <v>2001</v>
      </c>
      <c r="E224" s="35">
        <v>1</v>
      </c>
      <c r="F224" s="35">
        <v>1</v>
      </c>
      <c r="G224" s="1" t="s">
        <v>2</v>
      </c>
      <c r="H224" s="1" t="s">
        <v>2</v>
      </c>
      <c r="I224" s="1"/>
      <c r="J224" s="1"/>
    </row>
    <row r="225" spans="1:10" x14ac:dyDescent="0.25">
      <c r="A225" t="s">
        <v>4</v>
      </c>
      <c r="B225" t="str">
        <f t="shared" si="5"/>
        <v>To</v>
      </c>
      <c r="C225" s="35">
        <v>2009</v>
      </c>
      <c r="D225" s="35">
        <v>2003</v>
      </c>
      <c r="E225" s="35">
        <v>1</v>
      </c>
      <c r="F225" s="35">
        <v>1</v>
      </c>
      <c r="G225" s="1" t="s">
        <v>2</v>
      </c>
      <c r="H225" s="1" t="s">
        <v>2</v>
      </c>
      <c r="I225" s="1"/>
      <c r="J225" s="1"/>
    </row>
    <row r="226" spans="1:10" x14ac:dyDescent="0.25">
      <c r="A226" t="s">
        <v>4</v>
      </c>
      <c r="B226" t="str">
        <f t="shared" si="5"/>
        <v>To</v>
      </c>
      <c r="C226" s="35">
        <v>2009</v>
      </c>
      <c r="D226" s="35">
        <v>2004</v>
      </c>
      <c r="E226" s="35">
        <v>17</v>
      </c>
      <c r="F226" s="35">
        <v>11</v>
      </c>
      <c r="G226" s="35">
        <v>6</v>
      </c>
      <c r="H226" s="1" t="s">
        <v>2</v>
      </c>
      <c r="I226" s="1"/>
      <c r="J226" s="1"/>
    </row>
    <row r="227" spans="1:10" x14ac:dyDescent="0.25">
      <c r="A227" t="s">
        <v>4</v>
      </c>
      <c r="B227" t="str">
        <f t="shared" si="5"/>
        <v>To</v>
      </c>
      <c r="C227" s="35">
        <v>2009</v>
      </c>
      <c r="D227" s="35">
        <v>2005</v>
      </c>
      <c r="E227" s="35">
        <v>10</v>
      </c>
      <c r="F227" s="35">
        <v>8</v>
      </c>
      <c r="G227" s="35">
        <v>2</v>
      </c>
      <c r="H227" s="1" t="s">
        <v>2</v>
      </c>
      <c r="I227" s="1"/>
      <c r="J227" s="1"/>
    </row>
    <row r="228" spans="1:10" x14ac:dyDescent="0.25">
      <c r="A228" t="s">
        <v>4</v>
      </c>
      <c r="B228" t="str">
        <f t="shared" si="5"/>
        <v>To</v>
      </c>
      <c r="C228" s="35">
        <v>2009</v>
      </c>
      <c r="D228" s="35">
        <v>2006</v>
      </c>
      <c r="E228" s="35">
        <v>10</v>
      </c>
      <c r="F228" s="35">
        <v>3</v>
      </c>
      <c r="G228" s="35">
        <v>7</v>
      </c>
      <c r="H228" s="1" t="s">
        <v>2</v>
      </c>
      <c r="I228" s="1"/>
      <c r="J228" s="1"/>
    </row>
    <row r="229" spans="1:10" x14ac:dyDescent="0.25">
      <c r="A229" t="s">
        <v>4</v>
      </c>
      <c r="B229" t="str">
        <f t="shared" si="5"/>
        <v>To</v>
      </c>
      <c r="C229" s="35">
        <v>2009</v>
      </c>
      <c r="D229" s="35">
        <v>2007</v>
      </c>
      <c r="E229" s="35">
        <v>2</v>
      </c>
      <c r="F229" s="35">
        <v>1</v>
      </c>
      <c r="G229" s="35">
        <v>1</v>
      </c>
      <c r="H229" s="1" t="s">
        <v>2</v>
      </c>
      <c r="I229" s="1"/>
      <c r="J229" s="1"/>
    </row>
    <row r="230" spans="1:10" x14ac:dyDescent="0.25">
      <c r="A230" t="s">
        <v>4</v>
      </c>
      <c r="B230" t="str">
        <f t="shared" si="5"/>
        <v>To</v>
      </c>
      <c r="C230" s="35">
        <v>2009</v>
      </c>
      <c r="D230" s="35">
        <v>2008</v>
      </c>
      <c r="E230" s="35">
        <v>398</v>
      </c>
      <c r="F230" s="35">
        <v>302</v>
      </c>
      <c r="G230" s="35">
        <v>96</v>
      </c>
      <c r="H230" s="1" t="s">
        <v>2</v>
      </c>
      <c r="I230" s="1"/>
      <c r="J230" s="1"/>
    </row>
    <row r="231" spans="1:10" x14ac:dyDescent="0.25">
      <c r="A231" t="s">
        <v>4</v>
      </c>
      <c r="B231" t="str">
        <f t="shared" si="5"/>
        <v>To</v>
      </c>
      <c r="C231" s="35">
        <v>2009</v>
      </c>
      <c r="D231" s="35">
        <v>2009</v>
      </c>
      <c r="E231" s="36">
        <v>53360</v>
      </c>
      <c r="F231" s="36">
        <v>27095</v>
      </c>
      <c r="G231" s="36">
        <v>26256</v>
      </c>
      <c r="H231" s="35">
        <v>9</v>
      </c>
      <c r="I231" s="1"/>
      <c r="J231" s="1"/>
    </row>
    <row r="232" spans="1:10" x14ac:dyDescent="0.25">
      <c r="A232" t="s">
        <v>4</v>
      </c>
      <c r="B232" t="str">
        <f t="shared" si="5"/>
        <v>To</v>
      </c>
      <c r="C232" s="35">
        <v>2009</v>
      </c>
      <c r="D232" s="1" t="s">
        <v>24</v>
      </c>
      <c r="E232" s="35">
        <v>2</v>
      </c>
      <c r="F232" s="35">
        <v>2</v>
      </c>
      <c r="G232" s="1" t="s">
        <v>2</v>
      </c>
      <c r="H232" s="1" t="s">
        <v>2</v>
      </c>
      <c r="I232" s="1"/>
      <c r="J232" s="1"/>
    </row>
    <row r="233" spans="1:10" x14ac:dyDescent="0.25">
      <c r="A233" t="s">
        <v>4</v>
      </c>
      <c r="B233" t="str">
        <f t="shared" si="5"/>
        <v>To</v>
      </c>
      <c r="C233" s="35">
        <v>2010</v>
      </c>
      <c r="D233" s="1" t="s">
        <v>4</v>
      </c>
      <c r="E233" s="36">
        <v>55106</v>
      </c>
      <c r="F233" s="36">
        <v>28098</v>
      </c>
      <c r="G233" s="36">
        <v>26998</v>
      </c>
      <c r="H233" s="35">
        <v>10</v>
      </c>
      <c r="I233" s="1"/>
      <c r="J233" s="1"/>
    </row>
    <row r="234" spans="1:10" x14ac:dyDescent="0.25">
      <c r="A234" t="s">
        <v>4</v>
      </c>
      <c r="B234" t="str">
        <f t="shared" si="5"/>
        <v>To</v>
      </c>
      <c r="C234" s="35">
        <v>2010</v>
      </c>
      <c r="D234" s="35">
        <v>2004</v>
      </c>
      <c r="E234" s="35">
        <v>1</v>
      </c>
      <c r="F234" s="35">
        <v>1</v>
      </c>
      <c r="G234" s="1" t="s">
        <v>2</v>
      </c>
      <c r="H234" s="1" t="s">
        <v>2</v>
      </c>
      <c r="I234" s="1"/>
      <c r="J234" s="1"/>
    </row>
    <row r="235" spans="1:10" x14ac:dyDescent="0.25">
      <c r="A235" t="s">
        <v>4</v>
      </c>
      <c r="B235" t="str">
        <f t="shared" si="5"/>
        <v>To</v>
      </c>
      <c r="C235" s="35">
        <v>2010</v>
      </c>
      <c r="D235" s="35">
        <v>2006</v>
      </c>
      <c r="E235" s="35">
        <v>2</v>
      </c>
      <c r="F235" s="35">
        <v>2</v>
      </c>
      <c r="G235" s="1" t="s">
        <v>2</v>
      </c>
      <c r="H235" s="1" t="s">
        <v>2</v>
      </c>
      <c r="I235" s="1"/>
      <c r="J235" s="1"/>
    </row>
    <row r="236" spans="1:10" x14ac:dyDescent="0.25">
      <c r="A236" t="s">
        <v>4</v>
      </c>
      <c r="B236" t="str">
        <f t="shared" si="5"/>
        <v>To</v>
      </c>
      <c r="C236" s="35">
        <v>2010</v>
      </c>
      <c r="D236" s="35">
        <v>2008</v>
      </c>
      <c r="E236" s="35">
        <v>2</v>
      </c>
      <c r="F236" s="35">
        <v>1</v>
      </c>
      <c r="G236" s="35">
        <v>1</v>
      </c>
      <c r="H236" s="1" t="s">
        <v>2</v>
      </c>
      <c r="I236" s="1"/>
      <c r="J236" s="1"/>
    </row>
    <row r="237" spans="1:10" x14ac:dyDescent="0.25">
      <c r="A237" t="s">
        <v>4</v>
      </c>
      <c r="B237" t="str">
        <f t="shared" si="5"/>
        <v>To</v>
      </c>
      <c r="C237" s="35">
        <v>2010</v>
      </c>
      <c r="D237" s="35">
        <v>2009</v>
      </c>
      <c r="E237" s="35">
        <v>417</v>
      </c>
      <c r="F237" s="35">
        <v>296</v>
      </c>
      <c r="G237" s="35">
        <v>120</v>
      </c>
      <c r="H237" s="35">
        <v>1</v>
      </c>
      <c r="I237" s="1"/>
      <c r="J237" s="1"/>
    </row>
    <row r="238" spans="1:10" x14ac:dyDescent="0.25">
      <c r="A238" t="s">
        <v>4</v>
      </c>
      <c r="B238" t="str">
        <f t="shared" si="5"/>
        <v>To</v>
      </c>
      <c r="C238" s="35">
        <v>2010</v>
      </c>
      <c r="D238" s="35">
        <v>2010</v>
      </c>
      <c r="E238" s="36">
        <v>54684</v>
      </c>
      <c r="F238" s="36">
        <v>27798</v>
      </c>
      <c r="G238" s="36">
        <v>26877</v>
      </c>
      <c r="H238" s="35">
        <v>9</v>
      </c>
      <c r="I238" s="1"/>
      <c r="J238" s="1"/>
    </row>
    <row r="239" spans="1:10" x14ac:dyDescent="0.25">
      <c r="A239" t="s">
        <v>4</v>
      </c>
      <c r="B239" t="str">
        <f t="shared" si="5"/>
        <v>To</v>
      </c>
      <c r="C239" s="35">
        <v>2011</v>
      </c>
      <c r="D239" s="1" t="s">
        <v>4</v>
      </c>
      <c r="E239" s="36">
        <v>54629</v>
      </c>
      <c r="F239" s="36">
        <v>28306</v>
      </c>
      <c r="G239" s="36">
        <v>26298</v>
      </c>
      <c r="H239" s="35">
        <v>25</v>
      </c>
      <c r="I239" s="1"/>
      <c r="J239" s="1"/>
    </row>
    <row r="240" spans="1:10" x14ac:dyDescent="0.25">
      <c r="A240" t="s">
        <v>4</v>
      </c>
      <c r="B240" t="str">
        <f t="shared" si="5"/>
        <v>To</v>
      </c>
      <c r="C240" s="35">
        <v>2011</v>
      </c>
      <c r="D240" s="35">
        <v>2001</v>
      </c>
      <c r="E240" s="35">
        <v>2</v>
      </c>
      <c r="F240" s="35">
        <v>1</v>
      </c>
      <c r="G240" s="35">
        <v>1</v>
      </c>
      <c r="H240" s="1" t="s">
        <v>2</v>
      </c>
      <c r="I240" s="1"/>
      <c r="J240" s="1"/>
    </row>
    <row r="241" spans="1:10" x14ac:dyDescent="0.25">
      <c r="A241" t="s">
        <v>4</v>
      </c>
      <c r="B241" t="str">
        <f t="shared" si="5"/>
        <v>To</v>
      </c>
      <c r="C241" s="35">
        <v>2011</v>
      </c>
      <c r="D241" s="35">
        <v>2006</v>
      </c>
      <c r="E241" s="35">
        <v>1</v>
      </c>
      <c r="F241" s="1" t="s">
        <v>2</v>
      </c>
      <c r="G241" s="35">
        <v>1</v>
      </c>
      <c r="H241" s="1" t="s">
        <v>2</v>
      </c>
      <c r="I241" s="1"/>
      <c r="J241" s="1"/>
    </row>
    <row r="242" spans="1:10" x14ac:dyDescent="0.25">
      <c r="A242" t="s">
        <v>4</v>
      </c>
      <c r="B242" t="str">
        <f t="shared" si="5"/>
        <v>To</v>
      </c>
      <c r="C242" s="35">
        <v>2011</v>
      </c>
      <c r="D242" s="35">
        <v>2009</v>
      </c>
      <c r="E242" s="35">
        <v>1</v>
      </c>
      <c r="F242" s="35">
        <v>1</v>
      </c>
      <c r="G242" s="1" t="s">
        <v>2</v>
      </c>
      <c r="H242" s="1" t="s">
        <v>2</v>
      </c>
      <c r="I242" s="1"/>
      <c r="J242" s="1"/>
    </row>
    <row r="243" spans="1:10" x14ac:dyDescent="0.25">
      <c r="A243" t="s">
        <v>4</v>
      </c>
      <c r="B243" t="str">
        <f t="shared" si="5"/>
        <v>To</v>
      </c>
      <c r="C243" s="35">
        <v>2011</v>
      </c>
      <c r="D243" s="35">
        <v>2010</v>
      </c>
      <c r="E243" s="35">
        <v>658</v>
      </c>
      <c r="F243" s="35">
        <v>451</v>
      </c>
      <c r="G243" s="35">
        <v>206</v>
      </c>
      <c r="H243" s="35">
        <v>1</v>
      </c>
      <c r="I243" s="1"/>
      <c r="J243" s="1"/>
    </row>
    <row r="244" spans="1:10" x14ac:dyDescent="0.25">
      <c r="A244" t="s">
        <v>4</v>
      </c>
      <c r="B244" t="str">
        <f t="shared" si="5"/>
        <v>To</v>
      </c>
      <c r="C244" s="35">
        <v>2011</v>
      </c>
      <c r="D244" s="35">
        <v>2011</v>
      </c>
      <c r="E244" s="36">
        <v>53967</v>
      </c>
      <c r="F244" s="36">
        <v>27853</v>
      </c>
      <c r="G244" s="36">
        <v>26090</v>
      </c>
      <c r="H244" s="35">
        <v>24</v>
      </c>
      <c r="I244" s="1"/>
      <c r="J244" s="1"/>
    </row>
    <row r="245" spans="1:10" x14ac:dyDescent="0.25">
      <c r="A245" t="s">
        <v>4</v>
      </c>
      <c r="B245" t="str">
        <f t="shared" si="5"/>
        <v>To</v>
      </c>
      <c r="C245" s="35">
        <v>2012</v>
      </c>
      <c r="D245" s="1" t="s">
        <v>4</v>
      </c>
      <c r="E245" s="36">
        <v>55995</v>
      </c>
      <c r="F245" s="36">
        <v>28862</v>
      </c>
      <c r="G245" s="36">
        <v>27119</v>
      </c>
      <c r="H245" s="35">
        <v>14</v>
      </c>
      <c r="I245" s="1"/>
      <c r="J245" s="1"/>
    </row>
    <row r="246" spans="1:10" x14ac:dyDescent="0.25">
      <c r="A246" t="s">
        <v>4</v>
      </c>
      <c r="B246" t="str">
        <f t="shared" si="5"/>
        <v>To</v>
      </c>
      <c r="C246" s="35">
        <v>2012</v>
      </c>
      <c r="D246" s="35">
        <v>1976</v>
      </c>
      <c r="E246" s="35">
        <v>1</v>
      </c>
      <c r="F246" s="1" t="s">
        <v>2</v>
      </c>
      <c r="G246" s="35">
        <v>1</v>
      </c>
      <c r="H246" s="1" t="s">
        <v>2</v>
      </c>
      <c r="I246" s="1"/>
      <c r="J246" s="1"/>
    </row>
    <row r="247" spans="1:10" x14ac:dyDescent="0.25">
      <c r="A247" t="s">
        <v>4</v>
      </c>
      <c r="B247" t="str">
        <f t="shared" si="5"/>
        <v>To</v>
      </c>
      <c r="C247" s="35">
        <v>2012</v>
      </c>
      <c r="D247" s="35">
        <v>2002</v>
      </c>
      <c r="E247" s="35">
        <v>1</v>
      </c>
      <c r="F247" s="35">
        <v>1</v>
      </c>
      <c r="G247" s="1" t="s">
        <v>2</v>
      </c>
      <c r="H247" s="1" t="s">
        <v>2</v>
      </c>
      <c r="I247" s="1"/>
      <c r="J247" s="1"/>
    </row>
    <row r="248" spans="1:10" x14ac:dyDescent="0.25">
      <c r="A248" t="s">
        <v>4</v>
      </c>
      <c r="B248" t="str">
        <f t="shared" si="5"/>
        <v>To</v>
      </c>
      <c r="C248" s="35">
        <v>2012</v>
      </c>
      <c r="D248" s="35">
        <v>2008</v>
      </c>
      <c r="E248" s="35">
        <v>1</v>
      </c>
      <c r="F248" s="35">
        <v>1</v>
      </c>
      <c r="G248" s="1" t="s">
        <v>2</v>
      </c>
      <c r="H248" s="1" t="s">
        <v>2</v>
      </c>
      <c r="I248" s="1"/>
      <c r="J248" s="1"/>
    </row>
    <row r="249" spans="1:10" x14ac:dyDescent="0.25">
      <c r="A249" t="s">
        <v>4</v>
      </c>
      <c r="B249" t="str">
        <f t="shared" si="5"/>
        <v>To</v>
      </c>
      <c r="C249" s="35">
        <v>2012</v>
      </c>
      <c r="D249" s="35">
        <v>2010</v>
      </c>
      <c r="E249" s="35">
        <v>4</v>
      </c>
      <c r="F249" s="35">
        <v>1</v>
      </c>
      <c r="G249" s="35">
        <v>3</v>
      </c>
      <c r="H249" s="1" t="s">
        <v>2</v>
      </c>
      <c r="I249" s="1"/>
      <c r="J249" s="1"/>
    </row>
    <row r="250" spans="1:10" x14ac:dyDescent="0.25">
      <c r="A250" t="s">
        <v>4</v>
      </c>
      <c r="B250" t="str">
        <f t="shared" si="5"/>
        <v>To</v>
      </c>
      <c r="C250" s="35">
        <v>2012</v>
      </c>
      <c r="D250" s="35">
        <v>2011</v>
      </c>
      <c r="E250" s="35">
        <v>532</v>
      </c>
      <c r="F250" s="35">
        <v>406</v>
      </c>
      <c r="G250" s="35">
        <v>126</v>
      </c>
      <c r="H250" s="1" t="s">
        <v>2</v>
      </c>
      <c r="I250" s="1"/>
      <c r="J250" s="1"/>
    </row>
    <row r="251" spans="1:10" x14ac:dyDescent="0.25">
      <c r="A251" t="s">
        <v>4</v>
      </c>
      <c r="B251" t="str">
        <f t="shared" si="5"/>
        <v>To</v>
      </c>
      <c r="C251" s="35">
        <v>2012</v>
      </c>
      <c r="D251" s="35">
        <v>2012</v>
      </c>
      <c r="E251" s="36">
        <v>55456</v>
      </c>
      <c r="F251" s="36">
        <v>28453</v>
      </c>
      <c r="G251" s="36">
        <v>26989</v>
      </c>
      <c r="H251" s="35">
        <v>14</v>
      </c>
      <c r="I251" s="1"/>
      <c r="J251" s="1"/>
    </row>
    <row r="252" spans="1:10" x14ac:dyDescent="0.25">
      <c r="A252" t="s">
        <v>4</v>
      </c>
      <c r="B252" t="str">
        <f t="shared" si="5"/>
        <v>To</v>
      </c>
      <c r="C252" s="35">
        <v>2013</v>
      </c>
      <c r="D252" s="1" t="s">
        <v>4</v>
      </c>
      <c r="E252" s="36">
        <v>57142</v>
      </c>
      <c r="F252" s="36">
        <v>29692</v>
      </c>
      <c r="G252" s="36">
        <v>27433</v>
      </c>
      <c r="H252" s="35">
        <v>17</v>
      </c>
      <c r="I252" s="1"/>
      <c r="J252" s="1"/>
    </row>
    <row r="253" spans="1:10" x14ac:dyDescent="0.25">
      <c r="A253" t="s">
        <v>4</v>
      </c>
      <c r="B253" t="str">
        <f t="shared" si="5"/>
        <v>To</v>
      </c>
      <c r="C253" s="35">
        <v>2013</v>
      </c>
      <c r="D253" s="35">
        <v>1985</v>
      </c>
      <c r="E253" s="35">
        <v>1</v>
      </c>
      <c r="F253" s="35">
        <v>1</v>
      </c>
      <c r="G253" s="1" t="s">
        <v>2</v>
      </c>
      <c r="H253" s="1" t="s">
        <v>2</v>
      </c>
      <c r="I253" s="1"/>
      <c r="J253" s="1"/>
    </row>
    <row r="254" spans="1:10" x14ac:dyDescent="0.25">
      <c r="A254" t="s">
        <v>4</v>
      </c>
      <c r="B254" t="str">
        <f t="shared" si="5"/>
        <v>To</v>
      </c>
      <c r="C254" s="35">
        <v>2013</v>
      </c>
      <c r="D254" s="35">
        <v>2000</v>
      </c>
      <c r="E254" s="35">
        <v>1</v>
      </c>
      <c r="F254" s="35">
        <v>1</v>
      </c>
      <c r="G254" s="1" t="s">
        <v>2</v>
      </c>
      <c r="H254" s="1" t="s">
        <v>2</v>
      </c>
      <c r="I254" s="1"/>
      <c r="J254" s="1"/>
    </row>
    <row r="255" spans="1:10" x14ac:dyDescent="0.25">
      <c r="A255" t="s">
        <v>4</v>
      </c>
      <c r="B255" t="str">
        <f t="shared" si="5"/>
        <v>To</v>
      </c>
      <c r="C255" s="35">
        <v>2013</v>
      </c>
      <c r="D255" s="35">
        <v>2005</v>
      </c>
      <c r="E255" s="35">
        <v>1</v>
      </c>
      <c r="F255" s="35">
        <v>1</v>
      </c>
      <c r="G255" s="1" t="s">
        <v>2</v>
      </c>
      <c r="H255" s="1" t="s">
        <v>2</v>
      </c>
      <c r="I255" s="1"/>
      <c r="J255" s="1"/>
    </row>
    <row r="256" spans="1:10" x14ac:dyDescent="0.25">
      <c r="A256" t="s">
        <v>4</v>
      </c>
      <c r="B256" t="str">
        <f t="shared" si="5"/>
        <v>To</v>
      </c>
      <c r="C256" s="35">
        <v>2013</v>
      </c>
      <c r="D256" s="35">
        <v>2011</v>
      </c>
      <c r="E256" s="35">
        <v>3</v>
      </c>
      <c r="F256" s="35">
        <v>1</v>
      </c>
      <c r="G256" s="1" t="s">
        <v>2</v>
      </c>
      <c r="H256" s="35">
        <v>2</v>
      </c>
      <c r="I256" s="1"/>
      <c r="J256" s="1"/>
    </row>
    <row r="257" spans="1:10" x14ac:dyDescent="0.25">
      <c r="A257" t="s">
        <v>4</v>
      </c>
      <c r="B257" t="str">
        <f t="shared" si="5"/>
        <v>To</v>
      </c>
      <c r="C257" s="35">
        <v>2013</v>
      </c>
      <c r="D257" s="35">
        <v>2012</v>
      </c>
      <c r="E257" s="35">
        <v>591</v>
      </c>
      <c r="F257" s="35">
        <v>434</v>
      </c>
      <c r="G257" s="35">
        <v>154</v>
      </c>
      <c r="H257" s="35">
        <v>3</v>
      </c>
      <c r="I257" s="1"/>
      <c r="J257" s="1"/>
    </row>
    <row r="258" spans="1:10" x14ac:dyDescent="0.25">
      <c r="A258" t="s">
        <v>4</v>
      </c>
      <c r="B258" t="str">
        <f t="shared" si="5"/>
        <v>To</v>
      </c>
      <c r="C258" s="35">
        <v>2013</v>
      </c>
      <c r="D258" s="35">
        <v>2013</v>
      </c>
      <c r="E258" s="36">
        <v>56545</v>
      </c>
      <c r="F258" s="36">
        <v>29254</v>
      </c>
      <c r="G258" s="36">
        <v>27279</v>
      </c>
      <c r="H258" s="35">
        <v>12</v>
      </c>
      <c r="I258" s="1"/>
      <c r="J258" s="1"/>
    </row>
    <row r="259" spans="1:10" x14ac:dyDescent="0.25">
      <c r="A259" t="s">
        <v>4</v>
      </c>
      <c r="B259" t="str">
        <f t="shared" si="5"/>
        <v>To</v>
      </c>
      <c r="C259" s="35">
        <v>2014</v>
      </c>
      <c r="D259" s="1" t="s">
        <v>4</v>
      </c>
      <c r="E259" s="36">
        <v>58870</v>
      </c>
      <c r="F259" s="36">
        <v>30361</v>
      </c>
      <c r="G259" s="36">
        <v>28492</v>
      </c>
      <c r="H259" s="35">
        <v>17</v>
      </c>
      <c r="I259" s="1"/>
      <c r="J259" s="1"/>
    </row>
    <row r="260" spans="1:10" x14ac:dyDescent="0.25">
      <c r="A260" t="s">
        <v>4</v>
      </c>
      <c r="B260" t="str">
        <f t="shared" si="5"/>
        <v>To</v>
      </c>
      <c r="C260" s="35">
        <v>2014</v>
      </c>
      <c r="D260" s="35">
        <v>1993</v>
      </c>
      <c r="E260" s="35">
        <v>1</v>
      </c>
      <c r="F260" s="1" t="s">
        <v>2</v>
      </c>
      <c r="G260" s="35">
        <v>1</v>
      </c>
      <c r="H260" s="1" t="s">
        <v>2</v>
      </c>
      <c r="I260" s="1"/>
      <c r="J260" s="1"/>
    </row>
    <row r="261" spans="1:10" x14ac:dyDescent="0.25">
      <c r="A261" t="s">
        <v>4</v>
      </c>
      <c r="B261" t="str">
        <f t="shared" si="5"/>
        <v>To</v>
      </c>
      <c r="C261" s="35">
        <v>2014</v>
      </c>
      <c r="D261" s="35">
        <v>2004</v>
      </c>
      <c r="E261" s="35">
        <v>2</v>
      </c>
      <c r="F261" s="35">
        <v>2</v>
      </c>
      <c r="G261" s="1" t="s">
        <v>2</v>
      </c>
      <c r="H261" s="1" t="s">
        <v>2</v>
      </c>
      <c r="I261" s="1"/>
      <c r="J261" s="1"/>
    </row>
    <row r="262" spans="1:10" x14ac:dyDescent="0.25">
      <c r="A262" t="s">
        <v>4</v>
      </c>
      <c r="B262" t="str">
        <f t="shared" si="5"/>
        <v>To</v>
      </c>
      <c r="C262" s="35">
        <v>2014</v>
      </c>
      <c r="D262" s="35">
        <v>2006</v>
      </c>
      <c r="E262" s="35">
        <v>1</v>
      </c>
      <c r="F262" s="1" t="s">
        <v>2</v>
      </c>
      <c r="G262" s="35">
        <v>1</v>
      </c>
      <c r="H262" s="1" t="s">
        <v>2</v>
      </c>
      <c r="I262" s="1"/>
      <c r="J262" s="1"/>
    </row>
    <row r="263" spans="1:10" x14ac:dyDescent="0.25">
      <c r="A263" t="s">
        <v>4</v>
      </c>
      <c r="B263" t="str">
        <f t="shared" ref="B263:B326" si="6">IF(A263="Menores de 1 año",0,LEFT(A263,2))</f>
        <v>To</v>
      </c>
      <c r="C263" s="35">
        <v>2014</v>
      </c>
      <c r="D263" s="35">
        <v>2007</v>
      </c>
      <c r="E263" s="35">
        <v>1</v>
      </c>
      <c r="F263" s="35">
        <v>1</v>
      </c>
      <c r="G263" s="1" t="s">
        <v>2</v>
      </c>
      <c r="H263" s="1" t="s">
        <v>2</v>
      </c>
      <c r="I263" s="1"/>
      <c r="J263" s="1"/>
    </row>
    <row r="264" spans="1:10" x14ac:dyDescent="0.25">
      <c r="A264" t="s">
        <v>4</v>
      </c>
      <c r="B264" t="str">
        <f t="shared" si="6"/>
        <v>To</v>
      </c>
      <c r="C264" s="35">
        <v>2014</v>
      </c>
      <c r="D264" s="35">
        <v>2009</v>
      </c>
      <c r="E264" s="35">
        <v>1</v>
      </c>
      <c r="F264" s="35">
        <v>1</v>
      </c>
      <c r="G264" s="1" t="s">
        <v>2</v>
      </c>
      <c r="H264" s="1" t="s">
        <v>2</v>
      </c>
      <c r="I264" s="1"/>
      <c r="J264" s="1"/>
    </row>
    <row r="265" spans="1:10" x14ac:dyDescent="0.25">
      <c r="A265" t="s">
        <v>4</v>
      </c>
      <c r="B265" t="str">
        <f t="shared" si="6"/>
        <v>To</v>
      </c>
      <c r="C265" s="35">
        <v>2014</v>
      </c>
      <c r="D265" s="35">
        <v>2010</v>
      </c>
      <c r="E265" s="35">
        <v>6</v>
      </c>
      <c r="F265" s="35">
        <v>5</v>
      </c>
      <c r="G265" s="35">
        <v>1</v>
      </c>
      <c r="H265" s="1" t="s">
        <v>2</v>
      </c>
      <c r="I265" s="1"/>
      <c r="J265" s="1"/>
    </row>
    <row r="266" spans="1:10" x14ac:dyDescent="0.25">
      <c r="A266" t="s">
        <v>4</v>
      </c>
      <c r="B266" t="str">
        <f t="shared" si="6"/>
        <v>To</v>
      </c>
      <c r="C266" s="35">
        <v>2014</v>
      </c>
      <c r="D266" s="35">
        <v>2011</v>
      </c>
      <c r="E266" s="35">
        <v>9</v>
      </c>
      <c r="F266" s="35">
        <v>8</v>
      </c>
      <c r="G266" s="35">
        <v>1</v>
      </c>
      <c r="H266" s="1" t="s">
        <v>2</v>
      </c>
      <c r="I266" s="1"/>
      <c r="J266" s="1"/>
    </row>
    <row r="267" spans="1:10" x14ac:dyDescent="0.25">
      <c r="A267" t="s">
        <v>4</v>
      </c>
      <c r="B267" t="str">
        <f t="shared" si="6"/>
        <v>To</v>
      </c>
      <c r="C267" s="35">
        <v>2014</v>
      </c>
      <c r="D267" s="35">
        <v>2012</v>
      </c>
      <c r="E267" s="35">
        <v>1</v>
      </c>
      <c r="F267" s="35">
        <v>1</v>
      </c>
      <c r="G267" s="1" t="s">
        <v>2</v>
      </c>
      <c r="H267" s="1" t="s">
        <v>2</v>
      </c>
      <c r="I267" s="1"/>
      <c r="J267" s="1"/>
    </row>
    <row r="268" spans="1:10" x14ac:dyDescent="0.25">
      <c r="A268" t="s">
        <v>4</v>
      </c>
      <c r="B268" t="str">
        <f t="shared" si="6"/>
        <v>To</v>
      </c>
      <c r="C268" s="35">
        <v>2014</v>
      </c>
      <c r="D268" s="35">
        <v>2013</v>
      </c>
      <c r="E268" s="35">
        <v>577</v>
      </c>
      <c r="F268" s="35">
        <v>418</v>
      </c>
      <c r="G268" s="35">
        <v>158</v>
      </c>
      <c r="H268" s="35">
        <v>1</v>
      </c>
      <c r="I268" s="1"/>
      <c r="J268" s="1"/>
    </row>
    <row r="269" spans="1:10" x14ac:dyDescent="0.25">
      <c r="A269" t="s">
        <v>4</v>
      </c>
      <c r="B269" t="str">
        <f t="shared" si="6"/>
        <v>To</v>
      </c>
      <c r="C269" s="35">
        <v>2014</v>
      </c>
      <c r="D269" s="35">
        <v>2014</v>
      </c>
      <c r="E269" s="36">
        <v>58271</v>
      </c>
      <c r="F269" s="36">
        <v>29925</v>
      </c>
      <c r="G269" s="36">
        <v>28330</v>
      </c>
      <c r="H269" s="35">
        <v>16</v>
      </c>
      <c r="I269" s="1"/>
      <c r="J269" s="1"/>
    </row>
    <row r="270" spans="1:10" x14ac:dyDescent="0.25">
      <c r="A270" t="s">
        <v>4</v>
      </c>
      <c r="B270" t="str">
        <f t="shared" si="6"/>
        <v>To</v>
      </c>
      <c r="C270" s="35">
        <v>2015</v>
      </c>
      <c r="D270" s="1" t="s">
        <v>4</v>
      </c>
      <c r="E270" s="36">
        <v>59484</v>
      </c>
      <c r="F270" s="36">
        <v>30596</v>
      </c>
      <c r="G270" s="36">
        <v>28875</v>
      </c>
      <c r="H270" s="35">
        <v>13</v>
      </c>
      <c r="I270" s="1"/>
      <c r="J270" s="1"/>
    </row>
    <row r="271" spans="1:10" x14ac:dyDescent="0.25">
      <c r="A271" t="s">
        <v>4</v>
      </c>
      <c r="B271" t="str">
        <f t="shared" si="6"/>
        <v>To</v>
      </c>
      <c r="C271" s="35">
        <v>2015</v>
      </c>
      <c r="D271" s="35">
        <v>2010</v>
      </c>
      <c r="E271" s="35">
        <v>1</v>
      </c>
      <c r="F271" s="35">
        <v>1</v>
      </c>
      <c r="G271" s="1" t="s">
        <v>2</v>
      </c>
      <c r="H271" s="1" t="s">
        <v>2</v>
      </c>
      <c r="I271" s="1"/>
      <c r="J271" s="1"/>
    </row>
    <row r="272" spans="1:10" x14ac:dyDescent="0.25">
      <c r="A272" t="s">
        <v>4</v>
      </c>
      <c r="B272" t="str">
        <f t="shared" si="6"/>
        <v>To</v>
      </c>
      <c r="C272" s="35">
        <v>2015</v>
      </c>
      <c r="D272" s="35">
        <v>2012</v>
      </c>
      <c r="E272" s="35">
        <v>1</v>
      </c>
      <c r="F272" s="1" t="s">
        <v>2</v>
      </c>
      <c r="G272" s="35">
        <v>1</v>
      </c>
      <c r="H272" s="1" t="s">
        <v>2</v>
      </c>
      <c r="I272" s="1"/>
      <c r="J272" s="1"/>
    </row>
    <row r="273" spans="1:10" x14ac:dyDescent="0.25">
      <c r="A273" t="s">
        <v>4</v>
      </c>
      <c r="B273" t="str">
        <f t="shared" si="6"/>
        <v>To</v>
      </c>
      <c r="C273" s="35">
        <v>2015</v>
      </c>
      <c r="D273" s="35">
        <v>2013</v>
      </c>
      <c r="E273" s="35">
        <v>2</v>
      </c>
      <c r="F273" s="35">
        <v>2</v>
      </c>
      <c r="G273" s="1" t="s">
        <v>2</v>
      </c>
      <c r="H273" s="1" t="s">
        <v>2</v>
      </c>
      <c r="I273" s="1"/>
      <c r="J273" s="1"/>
    </row>
    <row r="274" spans="1:10" x14ac:dyDescent="0.25">
      <c r="A274" t="s">
        <v>4</v>
      </c>
      <c r="B274" t="str">
        <f t="shared" si="6"/>
        <v>To</v>
      </c>
      <c r="C274" s="35">
        <v>2015</v>
      </c>
      <c r="D274" s="35">
        <v>2014</v>
      </c>
      <c r="E274" s="35">
        <v>508</v>
      </c>
      <c r="F274" s="35">
        <v>374</v>
      </c>
      <c r="G274" s="35">
        <v>133</v>
      </c>
      <c r="H274" s="35">
        <v>1</v>
      </c>
      <c r="I274" s="1"/>
      <c r="J274" s="1"/>
    </row>
    <row r="275" spans="1:10" x14ac:dyDescent="0.25">
      <c r="A275" t="s">
        <v>4</v>
      </c>
      <c r="B275" t="str">
        <f t="shared" si="6"/>
        <v>To</v>
      </c>
      <c r="C275" s="35">
        <v>2015</v>
      </c>
      <c r="D275" s="35">
        <v>2015</v>
      </c>
      <c r="E275" s="36">
        <v>58972</v>
      </c>
      <c r="F275" s="36">
        <v>30219</v>
      </c>
      <c r="G275" s="36">
        <v>28741</v>
      </c>
      <c r="H275" s="35">
        <v>12</v>
      </c>
      <c r="I275" s="1"/>
      <c r="J275" s="1"/>
    </row>
    <row r="276" spans="1:10" x14ac:dyDescent="0.25">
      <c r="A276" t="s">
        <v>4</v>
      </c>
      <c r="B276" t="str">
        <f t="shared" si="6"/>
        <v>To</v>
      </c>
      <c r="C276" s="35">
        <v>2016</v>
      </c>
      <c r="D276" s="1" t="s">
        <v>4</v>
      </c>
      <c r="E276" s="36">
        <v>62230</v>
      </c>
      <c r="F276" s="36">
        <v>32430</v>
      </c>
      <c r="G276" s="36">
        <v>29792</v>
      </c>
      <c r="H276" s="35">
        <v>8</v>
      </c>
      <c r="I276" s="1"/>
      <c r="J276" s="1"/>
    </row>
    <row r="277" spans="1:10" x14ac:dyDescent="0.25">
      <c r="A277" t="s">
        <v>4</v>
      </c>
      <c r="B277" t="str">
        <f t="shared" si="6"/>
        <v>To</v>
      </c>
      <c r="C277" s="35">
        <v>2016</v>
      </c>
      <c r="D277" s="35">
        <v>1943</v>
      </c>
      <c r="E277" s="35">
        <v>1</v>
      </c>
      <c r="F277" s="1" t="s">
        <v>2</v>
      </c>
      <c r="G277" s="35">
        <v>1</v>
      </c>
      <c r="H277" s="1" t="s">
        <v>2</v>
      </c>
      <c r="I277" s="1"/>
      <c r="J277" s="1"/>
    </row>
    <row r="278" spans="1:10" x14ac:dyDescent="0.25">
      <c r="A278" t="s">
        <v>4</v>
      </c>
      <c r="B278" t="str">
        <f t="shared" si="6"/>
        <v>To</v>
      </c>
      <c r="C278" s="35">
        <v>2016</v>
      </c>
      <c r="D278" s="35">
        <v>1944</v>
      </c>
      <c r="E278" s="35">
        <v>1</v>
      </c>
      <c r="F278" s="1" t="s">
        <v>2</v>
      </c>
      <c r="G278" s="35">
        <v>1</v>
      </c>
      <c r="H278" s="1" t="s">
        <v>2</v>
      </c>
      <c r="I278" s="1"/>
      <c r="J278" s="1"/>
    </row>
    <row r="279" spans="1:10" x14ac:dyDescent="0.25">
      <c r="A279" t="s">
        <v>4</v>
      </c>
      <c r="B279" t="str">
        <f t="shared" si="6"/>
        <v>To</v>
      </c>
      <c r="C279" s="35">
        <v>2016</v>
      </c>
      <c r="D279" s="35">
        <v>2006</v>
      </c>
      <c r="E279" s="35">
        <v>1</v>
      </c>
      <c r="F279" s="35">
        <v>1</v>
      </c>
      <c r="G279" s="1" t="s">
        <v>2</v>
      </c>
      <c r="H279" s="1" t="s">
        <v>2</v>
      </c>
      <c r="I279" s="1"/>
      <c r="J279" s="1"/>
    </row>
    <row r="280" spans="1:10" x14ac:dyDescent="0.25">
      <c r="A280" t="s">
        <v>4</v>
      </c>
      <c r="B280" t="str">
        <f t="shared" si="6"/>
        <v>To</v>
      </c>
      <c r="C280" s="35">
        <v>2016</v>
      </c>
      <c r="D280" s="35">
        <v>2007</v>
      </c>
      <c r="E280" s="35">
        <v>4</v>
      </c>
      <c r="F280" s="35">
        <v>4</v>
      </c>
      <c r="G280" s="1" t="s">
        <v>2</v>
      </c>
      <c r="H280" s="1" t="s">
        <v>2</v>
      </c>
      <c r="I280" s="1"/>
      <c r="J280" s="1"/>
    </row>
    <row r="281" spans="1:10" x14ac:dyDescent="0.25">
      <c r="A281" t="s">
        <v>4</v>
      </c>
      <c r="B281" t="str">
        <f t="shared" si="6"/>
        <v>To</v>
      </c>
      <c r="C281" s="35">
        <v>2016</v>
      </c>
      <c r="D281" s="35">
        <v>2009</v>
      </c>
      <c r="E281" s="35">
        <v>6</v>
      </c>
      <c r="F281" s="35">
        <v>5</v>
      </c>
      <c r="G281" s="35">
        <v>1</v>
      </c>
      <c r="H281" s="1" t="s">
        <v>2</v>
      </c>
      <c r="I281" s="1"/>
      <c r="J281" s="1"/>
    </row>
    <row r="282" spans="1:10" x14ac:dyDescent="0.25">
      <c r="A282" t="s">
        <v>4</v>
      </c>
      <c r="B282" t="str">
        <f t="shared" si="6"/>
        <v>To</v>
      </c>
      <c r="C282" s="35">
        <v>2016</v>
      </c>
      <c r="D282" s="35">
        <v>2010</v>
      </c>
      <c r="E282" s="35">
        <v>9</v>
      </c>
      <c r="F282" s="35">
        <v>7</v>
      </c>
      <c r="G282" s="35">
        <v>2</v>
      </c>
      <c r="H282" s="1" t="s">
        <v>2</v>
      </c>
      <c r="I282" s="1"/>
      <c r="J282" s="1"/>
    </row>
    <row r="283" spans="1:10" x14ac:dyDescent="0.25">
      <c r="A283" t="s">
        <v>4</v>
      </c>
      <c r="B283" t="str">
        <f t="shared" si="6"/>
        <v>To</v>
      </c>
      <c r="C283" s="35">
        <v>2016</v>
      </c>
      <c r="D283" s="35">
        <v>2011</v>
      </c>
      <c r="E283" s="35">
        <v>3</v>
      </c>
      <c r="F283" s="35">
        <v>3</v>
      </c>
      <c r="G283" s="1" t="s">
        <v>2</v>
      </c>
      <c r="H283" s="1" t="s">
        <v>2</v>
      </c>
      <c r="I283" s="1"/>
      <c r="J283" s="1"/>
    </row>
    <row r="284" spans="1:10" x14ac:dyDescent="0.25">
      <c r="A284" t="s">
        <v>4</v>
      </c>
      <c r="B284" t="str">
        <f t="shared" si="6"/>
        <v>To</v>
      </c>
      <c r="C284" s="35">
        <v>2016</v>
      </c>
      <c r="D284" s="35">
        <v>2012</v>
      </c>
      <c r="E284" s="35">
        <v>2</v>
      </c>
      <c r="F284" s="35">
        <v>2</v>
      </c>
      <c r="G284" s="1" t="s">
        <v>2</v>
      </c>
      <c r="H284" s="1" t="s">
        <v>2</v>
      </c>
      <c r="I284" s="1"/>
      <c r="J284" s="1"/>
    </row>
    <row r="285" spans="1:10" x14ac:dyDescent="0.25">
      <c r="A285" t="s">
        <v>4</v>
      </c>
      <c r="B285" t="str">
        <f t="shared" si="6"/>
        <v>To</v>
      </c>
      <c r="C285" s="35">
        <v>2016</v>
      </c>
      <c r="D285" s="35">
        <v>2013</v>
      </c>
      <c r="E285" s="35">
        <v>12</v>
      </c>
      <c r="F285" s="35">
        <v>4</v>
      </c>
      <c r="G285" s="35">
        <v>8</v>
      </c>
      <c r="H285" s="1" t="s">
        <v>2</v>
      </c>
      <c r="I285" s="1"/>
      <c r="J285" s="1"/>
    </row>
    <row r="286" spans="1:10" x14ac:dyDescent="0.25">
      <c r="A286" t="s">
        <v>4</v>
      </c>
      <c r="B286" t="str">
        <f t="shared" si="6"/>
        <v>To</v>
      </c>
      <c r="C286" s="35">
        <v>2016</v>
      </c>
      <c r="D286" s="35">
        <v>2014</v>
      </c>
      <c r="E286" s="35">
        <v>6</v>
      </c>
      <c r="F286" s="35">
        <v>4</v>
      </c>
      <c r="G286" s="35">
        <v>1</v>
      </c>
      <c r="H286" s="35">
        <v>1</v>
      </c>
      <c r="I286" s="1"/>
      <c r="J286" s="1"/>
    </row>
    <row r="287" spans="1:10" x14ac:dyDescent="0.25">
      <c r="A287" t="s">
        <v>4</v>
      </c>
      <c r="B287" t="str">
        <f t="shared" si="6"/>
        <v>To</v>
      </c>
      <c r="C287" s="35">
        <v>2016</v>
      </c>
      <c r="D287" s="35">
        <v>2015</v>
      </c>
      <c r="E287" s="35">
        <v>408</v>
      </c>
      <c r="F287" s="35">
        <v>284</v>
      </c>
      <c r="G287" s="35">
        <v>124</v>
      </c>
      <c r="H287" s="1" t="s">
        <v>2</v>
      </c>
      <c r="I287" s="1"/>
      <c r="J287" s="1"/>
    </row>
    <row r="288" spans="1:10" x14ac:dyDescent="0.25">
      <c r="A288" t="s">
        <v>4</v>
      </c>
      <c r="B288" t="str">
        <f t="shared" si="6"/>
        <v>To</v>
      </c>
      <c r="C288" s="35">
        <v>2016</v>
      </c>
      <c r="D288" s="35">
        <v>2016</v>
      </c>
      <c r="E288" s="36">
        <v>61776</v>
      </c>
      <c r="F288" s="36">
        <v>32115</v>
      </c>
      <c r="G288" s="36">
        <v>29654</v>
      </c>
      <c r="H288" s="35">
        <v>7</v>
      </c>
      <c r="I288" s="1"/>
      <c r="J288" s="1"/>
    </row>
    <row r="289" spans="1:10" x14ac:dyDescent="0.25">
      <c r="A289" t="s">
        <v>4</v>
      </c>
      <c r="B289" t="str">
        <f t="shared" si="6"/>
        <v>To</v>
      </c>
      <c r="C289" s="35">
        <v>2016</v>
      </c>
      <c r="D289" s="1" t="s">
        <v>24</v>
      </c>
      <c r="E289" s="35">
        <v>1</v>
      </c>
      <c r="F289" s="35">
        <v>1</v>
      </c>
      <c r="G289" s="1" t="s">
        <v>2</v>
      </c>
      <c r="H289" s="1" t="s">
        <v>2</v>
      </c>
      <c r="I289" s="1"/>
      <c r="J289" s="1"/>
    </row>
    <row r="290" spans="1:10" x14ac:dyDescent="0.25">
      <c r="A290" t="s">
        <v>4</v>
      </c>
      <c r="B290" t="str">
        <f t="shared" si="6"/>
        <v>To</v>
      </c>
      <c r="C290" s="35">
        <v>2017</v>
      </c>
      <c r="D290" s="1" t="s">
        <v>4</v>
      </c>
      <c r="E290" s="36">
        <v>61984</v>
      </c>
      <c r="F290" s="36">
        <v>31856</v>
      </c>
      <c r="G290" s="36">
        <v>30122</v>
      </c>
      <c r="H290" s="35">
        <v>6</v>
      </c>
      <c r="I290" s="1"/>
      <c r="J290" s="1"/>
    </row>
    <row r="291" spans="1:10" x14ac:dyDescent="0.25">
      <c r="A291" t="s">
        <v>4</v>
      </c>
      <c r="B291" t="str">
        <f t="shared" si="6"/>
        <v>To</v>
      </c>
      <c r="C291" s="35">
        <v>2017</v>
      </c>
      <c r="D291" s="35">
        <v>2002</v>
      </c>
      <c r="E291" s="35">
        <v>1</v>
      </c>
      <c r="F291" s="1" t="s">
        <v>2</v>
      </c>
      <c r="G291" s="35">
        <v>1</v>
      </c>
      <c r="H291" s="1" t="s">
        <v>2</v>
      </c>
      <c r="I291" s="1"/>
      <c r="J291" s="1"/>
    </row>
    <row r="292" spans="1:10" x14ac:dyDescent="0.25">
      <c r="A292" t="s">
        <v>4</v>
      </c>
      <c r="B292" t="str">
        <f t="shared" si="6"/>
        <v>To</v>
      </c>
      <c r="C292" s="35">
        <v>2017</v>
      </c>
      <c r="D292" s="35">
        <v>2009</v>
      </c>
      <c r="E292" s="35">
        <v>1</v>
      </c>
      <c r="F292" s="35">
        <v>1</v>
      </c>
      <c r="G292" s="1" t="s">
        <v>2</v>
      </c>
      <c r="H292" s="1" t="s">
        <v>2</v>
      </c>
      <c r="I292" s="1"/>
      <c r="J292" s="1"/>
    </row>
    <row r="293" spans="1:10" x14ac:dyDescent="0.25">
      <c r="A293" t="s">
        <v>4</v>
      </c>
      <c r="B293" t="str">
        <f t="shared" si="6"/>
        <v>To</v>
      </c>
      <c r="C293" s="35">
        <v>2017</v>
      </c>
      <c r="D293" s="35">
        <v>2013</v>
      </c>
      <c r="E293" s="35">
        <v>1</v>
      </c>
      <c r="F293" s="1" t="s">
        <v>2</v>
      </c>
      <c r="G293" s="35">
        <v>1</v>
      </c>
      <c r="H293" s="1" t="s">
        <v>2</v>
      </c>
      <c r="I293" s="1"/>
      <c r="J293" s="1"/>
    </row>
    <row r="294" spans="1:10" x14ac:dyDescent="0.25">
      <c r="A294" t="s">
        <v>4</v>
      </c>
      <c r="B294" t="str">
        <f t="shared" si="6"/>
        <v>To</v>
      </c>
      <c r="C294" s="35">
        <v>2017</v>
      </c>
      <c r="D294" s="35">
        <v>2014</v>
      </c>
      <c r="E294" s="35">
        <v>1</v>
      </c>
      <c r="F294" s="1" t="s">
        <v>2</v>
      </c>
      <c r="G294" s="35">
        <v>1</v>
      </c>
      <c r="H294" s="1" t="s">
        <v>2</v>
      </c>
      <c r="I294" s="1"/>
      <c r="J294" s="1"/>
    </row>
    <row r="295" spans="1:10" x14ac:dyDescent="0.25">
      <c r="A295" t="s">
        <v>4</v>
      </c>
      <c r="B295" t="str">
        <f t="shared" si="6"/>
        <v>To</v>
      </c>
      <c r="C295" s="35">
        <v>2017</v>
      </c>
      <c r="D295" s="35">
        <v>2015</v>
      </c>
      <c r="E295" s="35">
        <v>2</v>
      </c>
      <c r="F295" s="35">
        <v>1</v>
      </c>
      <c r="G295" s="35">
        <v>1</v>
      </c>
      <c r="H295" s="1" t="s">
        <v>2</v>
      </c>
      <c r="I295" s="1"/>
      <c r="J295" s="1"/>
    </row>
    <row r="296" spans="1:10" x14ac:dyDescent="0.25">
      <c r="A296" t="s">
        <v>4</v>
      </c>
      <c r="B296" t="str">
        <f t="shared" si="6"/>
        <v>To</v>
      </c>
      <c r="C296" s="35">
        <v>2017</v>
      </c>
      <c r="D296" s="35">
        <v>2016</v>
      </c>
      <c r="E296" s="35">
        <v>262</v>
      </c>
      <c r="F296" s="35">
        <v>156</v>
      </c>
      <c r="G296" s="35">
        <v>106</v>
      </c>
      <c r="H296" s="1" t="s">
        <v>2</v>
      </c>
      <c r="I296" s="1"/>
      <c r="J296" s="1"/>
    </row>
    <row r="297" spans="1:10" x14ac:dyDescent="0.25">
      <c r="A297" t="s">
        <v>4</v>
      </c>
      <c r="B297" t="str">
        <f t="shared" si="6"/>
        <v>To</v>
      </c>
      <c r="C297" s="35">
        <v>2017</v>
      </c>
      <c r="D297" s="35">
        <v>2017</v>
      </c>
      <c r="E297" s="36">
        <v>61716</v>
      </c>
      <c r="F297" s="36">
        <v>31698</v>
      </c>
      <c r="G297" s="36">
        <v>30012</v>
      </c>
      <c r="H297" s="35">
        <v>6</v>
      </c>
      <c r="I297" s="1"/>
      <c r="J297" s="1"/>
    </row>
    <row r="298" spans="1:10" x14ac:dyDescent="0.25">
      <c r="A298" t="s">
        <v>4</v>
      </c>
      <c r="B298" t="str">
        <f t="shared" si="6"/>
        <v>To</v>
      </c>
      <c r="C298" s="35">
        <v>2018</v>
      </c>
      <c r="D298" s="1" t="s">
        <v>4</v>
      </c>
      <c r="E298" s="36">
        <v>63213</v>
      </c>
      <c r="F298" s="36">
        <v>32592</v>
      </c>
      <c r="G298" s="36">
        <v>30615</v>
      </c>
      <c r="H298" s="35">
        <v>6</v>
      </c>
      <c r="I298" s="1"/>
      <c r="J298" s="1"/>
    </row>
    <row r="299" spans="1:10" x14ac:dyDescent="0.25">
      <c r="A299" t="s">
        <v>4</v>
      </c>
      <c r="B299" t="str">
        <f t="shared" si="6"/>
        <v>To</v>
      </c>
      <c r="C299" s="35">
        <v>2018</v>
      </c>
      <c r="D299" s="35">
        <v>2010</v>
      </c>
      <c r="E299" s="35">
        <v>1</v>
      </c>
      <c r="F299" s="1" t="s">
        <v>2</v>
      </c>
      <c r="G299" s="35">
        <v>1</v>
      </c>
      <c r="H299" s="1" t="s">
        <v>2</v>
      </c>
      <c r="I299" s="1"/>
      <c r="J299" s="1"/>
    </row>
    <row r="300" spans="1:10" x14ac:dyDescent="0.25">
      <c r="A300" t="s">
        <v>4</v>
      </c>
      <c r="B300" t="str">
        <f t="shared" si="6"/>
        <v>To</v>
      </c>
      <c r="C300" s="35">
        <v>2018</v>
      </c>
      <c r="D300" s="35">
        <v>2014</v>
      </c>
      <c r="E300" s="35">
        <v>1</v>
      </c>
      <c r="F300" s="35">
        <v>1</v>
      </c>
      <c r="G300" s="1" t="s">
        <v>2</v>
      </c>
      <c r="H300" s="1" t="s">
        <v>2</v>
      </c>
      <c r="I300" s="1"/>
      <c r="J300" s="1"/>
    </row>
    <row r="301" spans="1:10" x14ac:dyDescent="0.25">
      <c r="A301" t="s">
        <v>4</v>
      </c>
      <c r="B301" t="str">
        <f t="shared" si="6"/>
        <v>To</v>
      </c>
      <c r="C301" s="35">
        <v>2018</v>
      </c>
      <c r="D301" s="35">
        <v>2016</v>
      </c>
      <c r="E301" s="35">
        <v>2</v>
      </c>
      <c r="F301" s="35">
        <v>1</v>
      </c>
      <c r="G301" s="35">
        <v>1</v>
      </c>
      <c r="H301" s="1" t="s">
        <v>2</v>
      </c>
      <c r="I301" s="1"/>
      <c r="J301" s="1"/>
    </row>
    <row r="302" spans="1:10" x14ac:dyDescent="0.25">
      <c r="A302" t="s">
        <v>4</v>
      </c>
      <c r="B302" t="str">
        <f t="shared" si="6"/>
        <v>To</v>
      </c>
      <c r="C302" s="35">
        <v>2018</v>
      </c>
      <c r="D302" s="35">
        <v>2017</v>
      </c>
      <c r="E302" s="35">
        <v>323</v>
      </c>
      <c r="F302" s="35">
        <v>189</v>
      </c>
      <c r="G302" s="35">
        <v>134</v>
      </c>
      <c r="H302" s="1" t="s">
        <v>2</v>
      </c>
      <c r="I302" s="1"/>
      <c r="J302" s="1"/>
    </row>
    <row r="303" spans="1:10" x14ac:dyDescent="0.25">
      <c r="A303" t="s">
        <v>4</v>
      </c>
      <c r="B303" t="str">
        <f t="shared" si="6"/>
        <v>To</v>
      </c>
      <c r="C303" s="35">
        <v>2018</v>
      </c>
      <c r="D303" s="35">
        <v>2018</v>
      </c>
      <c r="E303" s="36">
        <v>62885</v>
      </c>
      <c r="F303" s="36">
        <v>32401</v>
      </c>
      <c r="G303" s="36">
        <v>30478</v>
      </c>
      <c r="H303" s="35">
        <v>6</v>
      </c>
      <c r="I303" s="1"/>
      <c r="J303" s="1"/>
    </row>
    <row r="304" spans="1:10" x14ac:dyDescent="0.25">
      <c r="A304" t="s">
        <v>4</v>
      </c>
      <c r="B304" t="str">
        <f t="shared" si="6"/>
        <v>To</v>
      </c>
      <c r="C304" s="35">
        <v>2018</v>
      </c>
      <c r="D304" s="1" t="s">
        <v>24</v>
      </c>
      <c r="E304" s="35">
        <v>1</v>
      </c>
      <c r="F304" s="1" t="s">
        <v>2</v>
      </c>
      <c r="G304" s="35">
        <v>1</v>
      </c>
      <c r="H304" s="1" t="s">
        <v>2</v>
      </c>
      <c r="I304" s="1"/>
      <c r="J304" s="1"/>
    </row>
    <row r="305" spans="1:10" x14ac:dyDescent="0.25">
      <c r="A305" t="s">
        <v>4</v>
      </c>
      <c r="B305" t="str">
        <f t="shared" si="6"/>
        <v>To</v>
      </c>
      <c r="C305" s="35">
        <v>2019</v>
      </c>
      <c r="D305" s="1" t="s">
        <v>4</v>
      </c>
      <c r="E305" s="36">
        <v>63334</v>
      </c>
      <c r="F305" s="36">
        <v>33024</v>
      </c>
      <c r="G305" s="36">
        <v>30308</v>
      </c>
      <c r="H305" s="35">
        <v>2</v>
      </c>
      <c r="I305" s="1"/>
      <c r="J305" s="1"/>
    </row>
    <row r="306" spans="1:10" x14ac:dyDescent="0.25">
      <c r="A306" t="s">
        <v>4</v>
      </c>
      <c r="B306" t="str">
        <f t="shared" si="6"/>
        <v>To</v>
      </c>
      <c r="C306" s="35">
        <v>2019</v>
      </c>
      <c r="D306" s="35">
        <v>2010</v>
      </c>
      <c r="E306" s="35">
        <v>1</v>
      </c>
      <c r="F306" s="1" t="s">
        <v>2</v>
      </c>
      <c r="G306" s="35">
        <v>1</v>
      </c>
      <c r="H306" s="1" t="s">
        <v>2</v>
      </c>
      <c r="I306" s="1"/>
      <c r="J306" s="1"/>
    </row>
    <row r="307" spans="1:10" x14ac:dyDescent="0.25">
      <c r="A307" t="s">
        <v>4</v>
      </c>
      <c r="B307" t="str">
        <f t="shared" si="6"/>
        <v>To</v>
      </c>
      <c r="C307" s="35">
        <v>2019</v>
      </c>
      <c r="D307" s="35">
        <v>2012</v>
      </c>
      <c r="E307" s="35">
        <v>1</v>
      </c>
      <c r="F307" s="35">
        <v>1</v>
      </c>
      <c r="G307" s="1" t="s">
        <v>2</v>
      </c>
      <c r="H307" s="1" t="s">
        <v>2</v>
      </c>
      <c r="I307" s="1"/>
      <c r="J307" s="1"/>
    </row>
    <row r="308" spans="1:10" x14ac:dyDescent="0.25">
      <c r="A308" t="s">
        <v>4</v>
      </c>
      <c r="B308" t="str">
        <f t="shared" si="6"/>
        <v>To</v>
      </c>
      <c r="C308" s="35">
        <v>2019</v>
      </c>
      <c r="D308" s="35">
        <v>2013</v>
      </c>
      <c r="E308" s="35">
        <v>1</v>
      </c>
      <c r="F308" s="35">
        <v>1</v>
      </c>
      <c r="G308" s="1" t="s">
        <v>2</v>
      </c>
      <c r="H308" s="1" t="s">
        <v>2</v>
      </c>
      <c r="I308" s="1"/>
      <c r="J308" s="1"/>
    </row>
    <row r="309" spans="1:10" x14ac:dyDescent="0.25">
      <c r="A309" t="s">
        <v>4</v>
      </c>
      <c r="B309" t="str">
        <f t="shared" si="6"/>
        <v>To</v>
      </c>
      <c r="C309" s="35">
        <v>2019</v>
      </c>
      <c r="D309" s="35">
        <v>2017</v>
      </c>
      <c r="E309" s="35">
        <v>1</v>
      </c>
      <c r="F309" s="35">
        <v>1</v>
      </c>
      <c r="G309" s="1" t="s">
        <v>2</v>
      </c>
      <c r="H309" s="1" t="s">
        <v>2</v>
      </c>
      <c r="I309" s="1"/>
      <c r="J309" s="1"/>
    </row>
    <row r="310" spans="1:10" x14ac:dyDescent="0.25">
      <c r="A310" t="s">
        <v>4</v>
      </c>
      <c r="B310" t="str">
        <f t="shared" si="6"/>
        <v>To</v>
      </c>
      <c r="C310" s="35">
        <v>2019</v>
      </c>
      <c r="D310" s="35">
        <v>2018</v>
      </c>
      <c r="E310" s="35">
        <v>363</v>
      </c>
      <c r="F310" s="35">
        <v>220</v>
      </c>
      <c r="G310" s="35">
        <v>143</v>
      </c>
      <c r="H310" s="1" t="s">
        <v>2</v>
      </c>
      <c r="I310" s="1"/>
      <c r="J310" s="1"/>
    </row>
    <row r="311" spans="1:10" x14ac:dyDescent="0.25">
      <c r="A311" t="s">
        <v>4</v>
      </c>
      <c r="B311" t="str">
        <f t="shared" si="6"/>
        <v>To</v>
      </c>
      <c r="C311" s="35">
        <v>2019</v>
      </c>
      <c r="D311" s="35">
        <v>2019</v>
      </c>
      <c r="E311" s="36">
        <v>62967</v>
      </c>
      <c r="F311" s="36">
        <v>32801</v>
      </c>
      <c r="G311" s="36">
        <v>30164</v>
      </c>
      <c r="H311" s="35">
        <v>2</v>
      </c>
      <c r="I311" s="1"/>
      <c r="J311" s="1"/>
    </row>
    <row r="312" spans="1:10" x14ac:dyDescent="0.25">
      <c r="A312" t="s">
        <v>4</v>
      </c>
      <c r="B312" t="str">
        <f t="shared" si="6"/>
        <v>To</v>
      </c>
      <c r="C312" s="35">
        <v>2020</v>
      </c>
      <c r="D312" s="1" t="s">
        <v>4</v>
      </c>
      <c r="E312" s="36">
        <v>107292</v>
      </c>
      <c r="F312" s="36">
        <v>61938</v>
      </c>
      <c r="G312" s="36">
        <v>45353</v>
      </c>
      <c r="H312" s="35">
        <v>1</v>
      </c>
      <c r="I312" s="1"/>
      <c r="J312" s="1"/>
    </row>
    <row r="313" spans="1:10" x14ac:dyDescent="0.25">
      <c r="A313" t="s">
        <v>4</v>
      </c>
      <c r="B313" t="str">
        <f t="shared" si="6"/>
        <v>To</v>
      </c>
      <c r="C313" s="35">
        <v>2020</v>
      </c>
      <c r="D313" s="35">
        <v>2019</v>
      </c>
      <c r="E313" s="35">
        <v>321</v>
      </c>
      <c r="F313" s="35">
        <v>192</v>
      </c>
      <c r="G313" s="35">
        <v>129</v>
      </c>
      <c r="H313" s="1" t="s">
        <v>2</v>
      </c>
      <c r="I313" s="1"/>
      <c r="J313" s="1"/>
    </row>
    <row r="314" spans="1:10" x14ac:dyDescent="0.25">
      <c r="A314" t="s">
        <v>4</v>
      </c>
      <c r="B314" t="str">
        <f t="shared" si="6"/>
        <v>To</v>
      </c>
      <c r="C314" s="35">
        <v>2020</v>
      </c>
      <c r="D314" s="35">
        <v>2020</v>
      </c>
      <c r="E314" s="36">
        <v>106968</v>
      </c>
      <c r="F314" s="36">
        <v>61745</v>
      </c>
      <c r="G314" s="36">
        <v>45222</v>
      </c>
      <c r="H314" s="35">
        <v>1</v>
      </c>
      <c r="I314" s="1"/>
      <c r="J314" s="1"/>
    </row>
    <row r="315" spans="1:10" x14ac:dyDescent="0.25">
      <c r="A315" t="s">
        <v>4</v>
      </c>
      <c r="B315" t="str">
        <f t="shared" si="6"/>
        <v>To</v>
      </c>
      <c r="C315" s="35">
        <v>2020</v>
      </c>
      <c r="D315" s="1" t="s">
        <v>24</v>
      </c>
      <c r="E315" s="35">
        <v>3</v>
      </c>
      <c r="F315" s="35">
        <v>1</v>
      </c>
      <c r="G315" s="35">
        <v>2</v>
      </c>
      <c r="H315" s="1" t="s">
        <v>2</v>
      </c>
      <c r="I315" s="1"/>
      <c r="J315" s="1"/>
    </row>
    <row r="316" spans="1:10" x14ac:dyDescent="0.25">
      <c r="A316" t="s">
        <v>4</v>
      </c>
      <c r="B316" t="str">
        <f t="shared" si="6"/>
        <v>To</v>
      </c>
      <c r="C316" s="35">
        <v>2021</v>
      </c>
      <c r="D316" s="1" t="s">
        <v>4</v>
      </c>
      <c r="E316" s="36">
        <v>100363</v>
      </c>
      <c r="F316" s="36">
        <v>55694</v>
      </c>
      <c r="G316" s="36">
        <v>44664</v>
      </c>
      <c r="H316" s="35">
        <v>5</v>
      </c>
      <c r="I316" s="1"/>
      <c r="J316" s="1"/>
    </row>
    <row r="317" spans="1:10" x14ac:dyDescent="0.25">
      <c r="A317" t="s">
        <v>4</v>
      </c>
      <c r="B317" t="str">
        <f t="shared" si="6"/>
        <v>To</v>
      </c>
      <c r="C317" s="35">
        <v>2021</v>
      </c>
      <c r="D317" s="35">
        <v>2013</v>
      </c>
      <c r="E317" s="35">
        <v>1</v>
      </c>
      <c r="F317" s="1" t="s">
        <v>2</v>
      </c>
      <c r="G317" s="35">
        <v>1</v>
      </c>
      <c r="H317" s="1" t="s">
        <v>2</v>
      </c>
      <c r="I317" s="1"/>
      <c r="J317" s="1"/>
    </row>
    <row r="318" spans="1:10" x14ac:dyDescent="0.25">
      <c r="A318" t="s">
        <v>4</v>
      </c>
      <c r="B318" t="str">
        <f t="shared" si="6"/>
        <v>To</v>
      </c>
      <c r="C318" s="35">
        <v>2021</v>
      </c>
      <c r="D318" s="35">
        <v>2018</v>
      </c>
      <c r="E318" s="35">
        <v>1</v>
      </c>
      <c r="F318" s="35">
        <v>1</v>
      </c>
      <c r="G318" s="1" t="s">
        <v>2</v>
      </c>
      <c r="H318" s="1" t="s">
        <v>2</v>
      </c>
      <c r="I318" s="1"/>
      <c r="J318" s="1"/>
    </row>
    <row r="319" spans="1:10" x14ac:dyDescent="0.25">
      <c r="A319" t="s">
        <v>4</v>
      </c>
      <c r="B319" t="str">
        <f t="shared" si="6"/>
        <v>To</v>
      </c>
      <c r="C319" s="35">
        <v>2021</v>
      </c>
      <c r="D319" s="35">
        <v>2020</v>
      </c>
      <c r="E319" s="35">
        <v>574</v>
      </c>
      <c r="F319" s="35">
        <v>373</v>
      </c>
      <c r="G319" s="35">
        <v>201</v>
      </c>
      <c r="H319" s="1" t="s">
        <v>2</v>
      </c>
      <c r="I319" s="1"/>
      <c r="J319" s="1"/>
    </row>
    <row r="320" spans="1:10" x14ac:dyDescent="0.25">
      <c r="A320" t="s">
        <v>4</v>
      </c>
      <c r="B320" t="str">
        <f t="shared" si="6"/>
        <v>To</v>
      </c>
      <c r="C320" s="35">
        <v>2021</v>
      </c>
      <c r="D320" s="35">
        <v>2021</v>
      </c>
      <c r="E320" s="36">
        <v>99785</v>
      </c>
      <c r="F320" s="36">
        <v>55319</v>
      </c>
      <c r="G320" s="36">
        <v>44461</v>
      </c>
      <c r="H320" s="35">
        <v>5</v>
      </c>
      <c r="I320" s="1"/>
      <c r="J320" s="1"/>
    </row>
    <row r="321" spans="1:10" x14ac:dyDescent="0.25">
      <c r="A321" t="s">
        <v>4</v>
      </c>
      <c r="B321" t="str">
        <f t="shared" si="6"/>
        <v>To</v>
      </c>
      <c r="C321" s="35">
        <v>2021</v>
      </c>
      <c r="D321" s="1" t="s">
        <v>24</v>
      </c>
      <c r="E321" s="35">
        <v>2</v>
      </c>
      <c r="F321" s="35">
        <v>1</v>
      </c>
      <c r="G321" s="35">
        <v>1</v>
      </c>
      <c r="H321" s="1" t="s">
        <v>2</v>
      </c>
      <c r="I321" s="1"/>
      <c r="J321" s="1"/>
    </row>
    <row r="322" spans="1:10" x14ac:dyDescent="0.25">
      <c r="A322" t="s">
        <v>4</v>
      </c>
      <c r="B322" t="str">
        <f t="shared" si="6"/>
        <v>To</v>
      </c>
      <c r="C322" s="35">
        <v>2022</v>
      </c>
      <c r="D322" s="1" t="s">
        <v>4</v>
      </c>
      <c r="E322" s="36">
        <v>69455</v>
      </c>
      <c r="F322" s="36">
        <v>35782</v>
      </c>
      <c r="G322" s="36">
        <v>33669</v>
      </c>
      <c r="H322" s="35">
        <v>4</v>
      </c>
      <c r="I322" s="1"/>
      <c r="J322" s="1"/>
    </row>
    <row r="323" spans="1:10" x14ac:dyDescent="0.25">
      <c r="A323" t="s">
        <v>4</v>
      </c>
      <c r="B323" t="str">
        <f t="shared" si="6"/>
        <v>To</v>
      </c>
      <c r="C323" s="35">
        <v>2022</v>
      </c>
      <c r="D323" s="35">
        <v>2006</v>
      </c>
      <c r="E323" s="35">
        <v>20</v>
      </c>
      <c r="F323" s="35">
        <v>16</v>
      </c>
      <c r="G323" s="35">
        <v>4</v>
      </c>
      <c r="H323" s="1" t="s">
        <v>2</v>
      </c>
      <c r="I323" s="1"/>
      <c r="J323" s="1"/>
    </row>
    <row r="324" spans="1:10" x14ac:dyDescent="0.25">
      <c r="A324" t="s">
        <v>4</v>
      </c>
      <c r="B324" t="str">
        <f t="shared" si="6"/>
        <v>To</v>
      </c>
      <c r="C324" s="35">
        <v>2022</v>
      </c>
      <c r="D324" s="35">
        <v>2007</v>
      </c>
      <c r="E324" s="35">
        <v>16</v>
      </c>
      <c r="F324" s="35">
        <v>13</v>
      </c>
      <c r="G324" s="35">
        <v>3</v>
      </c>
      <c r="H324" s="1" t="s">
        <v>2</v>
      </c>
      <c r="I324" s="1"/>
      <c r="J324" s="1"/>
    </row>
    <row r="325" spans="1:10" x14ac:dyDescent="0.25">
      <c r="A325" t="s">
        <v>4</v>
      </c>
      <c r="B325" t="str">
        <f t="shared" si="6"/>
        <v>To</v>
      </c>
      <c r="C325" s="35">
        <v>2022</v>
      </c>
      <c r="D325" s="35">
        <v>2008</v>
      </c>
      <c r="E325" s="35">
        <v>17</v>
      </c>
      <c r="F325" s="35">
        <v>12</v>
      </c>
      <c r="G325" s="35">
        <v>5</v>
      </c>
      <c r="H325" s="1" t="s">
        <v>2</v>
      </c>
      <c r="I325" s="1"/>
      <c r="J325" s="1"/>
    </row>
    <row r="326" spans="1:10" x14ac:dyDescent="0.25">
      <c r="A326" t="s">
        <v>4</v>
      </c>
      <c r="B326" t="str">
        <f t="shared" si="6"/>
        <v>To</v>
      </c>
      <c r="C326" s="35">
        <v>2022</v>
      </c>
      <c r="D326" s="35">
        <v>2009</v>
      </c>
      <c r="E326" s="35">
        <v>38</v>
      </c>
      <c r="F326" s="35">
        <v>26</v>
      </c>
      <c r="G326" s="35">
        <v>12</v>
      </c>
      <c r="H326" s="1" t="s">
        <v>2</v>
      </c>
      <c r="I326" s="1"/>
      <c r="J326" s="1"/>
    </row>
    <row r="327" spans="1:10" x14ac:dyDescent="0.25">
      <c r="A327" t="s">
        <v>4</v>
      </c>
      <c r="B327" t="str">
        <f t="shared" ref="B327:B390" si="7">IF(A327="Menores de 1 año",0,LEFT(A327,2))</f>
        <v>To</v>
      </c>
      <c r="C327" s="35">
        <v>2022</v>
      </c>
      <c r="D327" s="35">
        <v>2010</v>
      </c>
      <c r="E327" s="35">
        <v>16</v>
      </c>
      <c r="F327" s="35">
        <v>10</v>
      </c>
      <c r="G327" s="35">
        <v>6</v>
      </c>
      <c r="H327" s="1" t="s">
        <v>2</v>
      </c>
      <c r="I327" s="1"/>
      <c r="J327" s="1"/>
    </row>
    <row r="328" spans="1:10" x14ac:dyDescent="0.25">
      <c r="A328" t="s">
        <v>4</v>
      </c>
      <c r="B328" t="str">
        <f t="shared" si="7"/>
        <v>To</v>
      </c>
      <c r="C328" s="35">
        <v>2022</v>
      </c>
      <c r="D328" s="35">
        <v>2019</v>
      </c>
      <c r="E328" s="35">
        <v>14</v>
      </c>
      <c r="F328" s="35">
        <v>10</v>
      </c>
      <c r="G328" s="35">
        <v>4</v>
      </c>
      <c r="H328" s="1" t="s">
        <v>2</v>
      </c>
      <c r="I328" s="1"/>
      <c r="J328" s="1"/>
    </row>
    <row r="329" spans="1:10" x14ac:dyDescent="0.25">
      <c r="A329" t="s">
        <v>4</v>
      </c>
      <c r="B329" t="str">
        <f t="shared" si="7"/>
        <v>To</v>
      </c>
      <c r="C329" s="35">
        <v>2022</v>
      </c>
      <c r="D329" s="35">
        <v>2020</v>
      </c>
      <c r="E329" s="35">
        <v>9</v>
      </c>
      <c r="F329" s="35">
        <v>2</v>
      </c>
      <c r="G329" s="35">
        <v>7</v>
      </c>
      <c r="H329" s="1" t="s">
        <v>2</v>
      </c>
      <c r="I329" s="1"/>
      <c r="J329" s="1"/>
    </row>
    <row r="330" spans="1:10" x14ac:dyDescent="0.25">
      <c r="A330" t="s">
        <v>4</v>
      </c>
      <c r="B330" t="str">
        <f t="shared" si="7"/>
        <v>To</v>
      </c>
      <c r="C330" s="35">
        <v>2022</v>
      </c>
      <c r="D330" s="35">
        <v>2021</v>
      </c>
      <c r="E330" s="35">
        <v>230</v>
      </c>
      <c r="F330" s="35">
        <v>130</v>
      </c>
      <c r="G330" s="35">
        <v>100</v>
      </c>
      <c r="H330" s="1" t="s">
        <v>2</v>
      </c>
      <c r="I330" s="1"/>
      <c r="J330" s="1"/>
    </row>
    <row r="331" spans="1:10" x14ac:dyDescent="0.25">
      <c r="A331" t="s">
        <v>4</v>
      </c>
      <c r="B331" t="str">
        <f t="shared" si="7"/>
        <v>To</v>
      </c>
      <c r="C331" s="35">
        <v>2022</v>
      </c>
      <c r="D331" s="35">
        <v>2022</v>
      </c>
      <c r="E331" s="36">
        <v>69095</v>
      </c>
      <c r="F331" s="36">
        <v>35563</v>
      </c>
      <c r="G331" s="36">
        <v>33528</v>
      </c>
      <c r="H331" s="35">
        <v>4</v>
      </c>
      <c r="I331" s="1"/>
      <c r="J331" s="1"/>
    </row>
    <row r="332" spans="1:10" x14ac:dyDescent="0.25">
      <c r="A332" t="s">
        <v>4</v>
      </c>
      <c r="B332" t="str">
        <f t="shared" si="7"/>
        <v>To</v>
      </c>
      <c r="C332" s="35">
        <v>2023</v>
      </c>
      <c r="D332" s="1" t="s">
        <v>4</v>
      </c>
      <c r="E332" s="36">
        <v>65291</v>
      </c>
      <c r="F332" s="36">
        <v>33563</v>
      </c>
      <c r="G332" s="36">
        <v>31727</v>
      </c>
      <c r="H332" s="35">
        <v>1</v>
      </c>
      <c r="I332" s="1"/>
      <c r="J332" s="1"/>
    </row>
    <row r="333" spans="1:10" x14ac:dyDescent="0.25">
      <c r="A333" t="s">
        <v>4</v>
      </c>
      <c r="B333" t="str">
        <f t="shared" si="7"/>
        <v>To</v>
      </c>
      <c r="C333" s="35">
        <v>2023</v>
      </c>
      <c r="D333" s="35">
        <v>2016</v>
      </c>
      <c r="E333" s="35">
        <v>1</v>
      </c>
      <c r="F333" s="1" t="s">
        <v>2</v>
      </c>
      <c r="G333" s="35">
        <v>1</v>
      </c>
      <c r="H333" s="1" t="s">
        <v>2</v>
      </c>
      <c r="I333" s="1"/>
      <c r="J333" s="1"/>
    </row>
    <row r="334" spans="1:10" x14ac:dyDescent="0.25">
      <c r="A334" t="s">
        <v>4</v>
      </c>
      <c r="B334" t="str">
        <f t="shared" si="7"/>
        <v>To</v>
      </c>
      <c r="C334" s="35">
        <v>2023</v>
      </c>
      <c r="D334" s="35">
        <v>2017</v>
      </c>
      <c r="E334" s="35">
        <v>1</v>
      </c>
      <c r="F334" s="35">
        <v>1</v>
      </c>
      <c r="G334" s="1" t="s">
        <v>2</v>
      </c>
      <c r="H334" s="1" t="s">
        <v>2</v>
      </c>
      <c r="I334" s="1"/>
      <c r="J334" s="1"/>
    </row>
    <row r="335" spans="1:10" x14ac:dyDescent="0.25">
      <c r="A335" t="s">
        <v>4</v>
      </c>
      <c r="B335" t="str">
        <f t="shared" si="7"/>
        <v>To</v>
      </c>
      <c r="C335" s="35">
        <v>2023</v>
      </c>
      <c r="D335" s="35">
        <v>2018</v>
      </c>
      <c r="E335" s="35">
        <v>1</v>
      </c>
      <c r="F335" s="35">
        <v>1</v>
      </c>
      <c r="G335" s="1" t="s">
        <v>2</v>
      </c>
      <c r="H335" s="1" t="s">
        <v>2</v>
      </c>
      <c r="I335" s="1"/>
      <c r="J335" s="1"/>
    </row>
    <row r="336" spans="1:10" x14ac:dyDescent="0.25">
      <c r="A336" t="s">
        <v>4</v>
      </c>
      <c r="B336" t="str">
        <f t="shared" si="7"/>
        <v>To</v>
      </c>
      <c r="C336" s="35">
        <v>2023</v>
      </c>
      <c r="D336" s="35">
        <v>2019</v>
      </c>
      <c r="E336" s="35">
        <v>1</v>
      </c>
      <c r="F336" s="35">
        <v>1</v>
      </c>
      <c r="G336" s="1" t="s">
        <v>2</v>
      </c>
      <c r="H336" s="1" t="s">
        <v>2</v>
      </c>
      <c r="I336" s="1"/>
      <c r="J336" s="1"/>
    </row>
    <row r="337" spans="1:10" x14ac:dyDescent="0.25">
      <c r="A337" t="s">
        <v>4</v>
      </c>
      <c r="B337" t="str">
        <f t="shared" si="7"/>
        <v>To</v>
      </c>
      <c r="C337" s="35">
        <v>2023</v>
      </c>
      <c r="D337" s="35">
        <v>2021</v>
      </c>
      <c r="E337" s="35">
        <v>3</v>
      </c>
      <c r="F337" s="35">
        <v>2</v>
      </c>
      <c r="G337" s="35">
        <v>1</v>
      </c>
      <c r="H337" s="1" t="s">
        <v>2</v>
      </c>
      <c r="I337" s="1"/>
      <c r="J337" s="1"/>
    </row>
    <row r="338" spans="1:10" x14ac:dyDescent="0.25">
      <c r="A338" t="s">
        <v>4</v>
      </c>
      <c r="B338" t="str">
        <f t="shared" si="7"/>
        <v>To</v>
      </c>
      <c r="C338" s="35">
        <v>2023</v>
      </c>
      <c r="D338" s="35">
        <v>2022</v>
      </c>
      <c r="E338" s="35">
        <v>232</v>
      </c>
      <c r="F338" s="35">
        <v>132</v>
      </c>
      <c r="G338" s="35">
        <v>100</v>
      </c>
      <c r="H338" s="1" t="s">
        <v>2</v>
      </c>
      <c r="I338" s="1"/>
      <c r="J338" s="1"/>
    </row>
    <row r="339" spans="1:10" x14ac:dyDescent="0.25">
      <c r="A339" t="s">
        <v>4</v>
      </c>
      <c r="B339" t="str">
        <f t="shared" si="7"/>
        <v>To</v>
      </c>
      <c r="C339" s="35">
        <v>2023</v>
      </c>
      <c r="D339" s="35">
        <v>2023</v>
      </c>
      <c r="E339" s="36">
        <v>65051</v>
      </c>
      <c r="F339" s="36">
        <v>33426</v>
      </c>
      <c r="G339" s="36">
        <v>31624</v>
      </c>
      <c r="H339" s="35">
        <v>1</v>
      </c>
      <c r="I339" s="1"/>
      <c r="J339" s="1"/>
    </row>
    <row r="340" spans="1:10" x14ac:dyDescent="0.25">
      <c r="A340" t="s">
        <v>4</v>
      </c>
      <c r="B340" t="str">
        <f t="shared" si="7"/>
        <v>To</v>
      </c>
      <c r="C340" s="35">
        <v>2023</v>
      </c>
      <c r="D340" s="1" t="s">
        <v>24</v>
      </c>
      <c r="E340" s="35">
        <v>1</v>
      </c>
      <c r="F340" s="1" t="s">
        <v>2</v>
      </c>
      <c r="G340" s="35">
        <v>1</v>
      </c>
      <c r="H340" s="1" t="s">
        <v>2</v>
      </c>
      <c r="I340" s="1"/>
      <c r="J340" s="1"/>
    </row>
    <row r="341" spans="1:10" x14ac:dyDescent="0.25">
      <c r="A341" t="s">
        <v>4</v>
      </c>
      <c r="B341" t="str">
        <f t="shared" si="7"/>
        <v>To</v>
      </c>
      <c r="C341" s="35">
        <v>2024</v>
      </c>
      <c r="D341" s="1" t="s">
        <v>4</v>
      </c>
      <c r="E341" s="36">
        <v>67080</v>
      </c>
      <c r="F341" s="36">
        <v>34610</v>
      </c>
      <c r="G341" s="36">
        <v>32467</v>
      </c>
      <c r="H341" s="35">
        <v>3</v>
      </c>
      <c r="I341" s="1"/>
      <c r="J341" s="1"/>
    </row>
    <row r="342" spans="1:10" x14ac:dyDescent="0.25">
      <c r="A342" t="s">
        <v>4</v>
      </c>
      <c r="B342" t="str">
        <f t="shared" si="7"/>
        <v>To</v>
      </c>
      <c r="C342" s="35">
        <v>2024</v>
      </c>
      <c r="D342" s="35">
        <v>1997</v>
      </c>
      <c r="E342" s="35">
        <v>1</v>
      </c>
      <c r="F342" s="35">
        <v>1</v>
      </c>
      <c r="G342" s="1" t="s">
        <v>2</v>
      </c>
      <c r="H342" s="1" t="s">
        <v>2</v>
      </c>
      <c r="I342" s="1"/>
      <c r="J342" s="1"/>
    </row>
    <row r="343" spans="1:10" x14ac:dyDescent="0.25">
      <c r="A343" t="s">
        <v>4</v>
      </c>
      <c r="B343" t="str">
        <f t="shared" si="7"/>
        <v>To</v>
      </c>
      <c r="C343" s="35">
        <v>2024</v>
      </c>
      <c r="D343" s="35">
        <v>2020</v>
      </c>
      <c r="E343" s="35">
        <v>3</v>
      </c>
      <c r="F343" s="35">
        <v>2</v>
      </c>
      <c r="G343" s="35">
        <v>1</v>
      </c>
      <c r="H343" s="1" t="s">
        <v>2</v>
      </c>
      <c r="I343" s="1"/>
      <c r="J343" s="1"/>
    </row>
    <row r="344" spans="1:10" x14ac:dyDescent="0.25">
      <c r="A344" t="s">
        <v>4</v>
      </c>
      <c r="B344" t="str">
        <f t="shared" si="7"/>
        <v>To</v>
      </c>
      <c r="C344" s="35">
        <v>2024</v>
      </c>
      <c r="D344" s="35">
        <v>2021</v>
      </c>
      <c r="E344" s="35">
        <v>4</v>
      </c>
      <c r="F344" s="35">
        <v>1</v>
      </c>
      <c r="G344" s="35">
        <v>3</v>
      </c>
      <c r="H344" s="1" t="s">
        <v>2</v>
      </c>
      <c r="I344" s="1"/>
      <c r="J344" s="1"/>
    </row>
    <row r="345" spans="1:10" x14ac:dyDescent="0.25">
      <c r="A345" t="s">
        <v>4</v>
      </c>
      <c r="B345" t="str">
        <f t="shared" si="7"/>
        <v>To</v>
      </c>
      <c r="C345" s="35">
        <v>2024</v>
      </c>
      <c r="D345" s="35">
        <v>2022</v>
      </c>
      <c r="E345" s="35">
        <v>2</v>
      </c>
      <c r="F345" s="35">
        <v>2</v>
      </c>
      <c r="G345" s="1" t="s">
        <v>2</v>
      </c>
      <c r="H345" s="1" t="s">
        <v>2</v>
      </c>
      <c r="I345" s="1"/>
      <c r="J345" s="1"/>
    </row>
    <row r="346" spans="1:10" x14ac:dyDescent="0.25">
      <c r="A346" t="s">
        <v>4</v>
      </c>
      <c r="B346" t="str">
        <f t="shared" si="7"/>
        <v>To</v>
      </c>
      <c r="C346" s="35">
        <v>2024</v>
      </c>
      <c r="D346" s="35">
        <v>2023</v>
      </c>
      <c r="E346" s="35">
        <v>255</v>
      </c>
      <c r="F346" s="35">
        <v>146</v>
      </c>
      <c r="G346" s="35">
        <v>109</v>
      </c>
      <c r="H346" s="1" t="s">
        <v>2</v>
      </c>
      <c r="I346" s="1"/>
      <c r="J346" s="1"/>
    </row>
    <row r="347" spans="1:10" x14ac:dyDescent="0.25">
      <c r="A347" t="s">
        <v>4</v>
      </c>
      <c r="B347" t="str">
        <f t="shared" si="7"/>
        <v>To</v>
      </c>
      <c r="C347" s="35">
        <v>2024</v>
      </c>
      <c r="D347" s="35">
        <v>2024</v>
      </c>
      <c r="E347" s="36">
        <v>66814</v>
      </c>
      <c r="F347" s="36">
        <v>34457</v>
      </c>
      <c r="G347" s="36">
        <v>32354</v>
      </c>
      <c r="H347" s="35">
        <v>3</v>
      </c>
      <c r="I347" s="1"/>
      <c r="J347" s="1"/>
    </row>
    <row r="348" spans="1:10" x14ac:dyDescent="0.25">
      <c r="A348" t="s">
        <v>4</v>
      </c>
      <c r="B348" t="str">
        <f t="shared" si="7"/>
        <v>To</v>
      </c>
      <c r="C348" s="35">
        <v>2024</v>
      </c>
      <c r="D348" s="1" t="s">
        <v>24</v>
      </c>
      <c r="E348" s="35">
        <v>1</v>
      </c>
      <c r="F348" s="35">
        <v>1</v>
      </c>
      <c r="G348" s="1" t="s">
        <v>2</v>
      </c>
      <c r="H348" s="1" t="s">
        <v>2</v>
      </c>
      <c r="I348" s="1"/>
      <c r="J348" s="1"/>
    </row>
    <row r="349" spans="1:10" x14ac:dyDescent="0.25">
      <c r="A349" t="s">
        <v>77</v>
      </c>
      <c r="B349">
        <f t="shared" si="7"/>
        <v>0</v>
      </c>
      <c r="C349" s="35">
        <v>1990</v>
      </c>
      <c r="D349" s="1" t="s">
        <v>4</v>
      </c>
      <c r="E349" s="36">
        <v>5657</v>
      </c>
      <c r="F349" s="36">
        <v>3177</v>
      </c>
      <c r="G349" s="36">
        <v>2464</v>
      </c>
      <c r="H349" s="35">
        <v>16</v>
      </c>
      <c r="I349" s="1"/>
      <c r="J349" s="1"/>
    </row>
    <row r="350" spans="1:10" x14ac:dyDescent="0.25">
      <c r="A350" t="s">
        <v>77</v>
      </c>
      <c r="B350">
        <f t="shared" si="7"/>
        <v>0</v>
      </c>
      <c r="C350" s="35">
        <v>1990</v>
      </c>
      <c r="D350" s="35">
        <v>1990</v>
      </c>
      <c r="E350" s="36">
        <v>5654</v>
      </c>
      <c r="F350" s="36">
        <v>3176</v>
      </c>
      <c r="G350" s="36">
        <v>2462</v>
      </c>
      <c r="H350" s="35">
        <v>16</v>
      </c>
      <c r="I350" s="1"/>
      <c r="J350" s="1"/>
    </row>
    <row r="351" spans="1:10" x14ac:dyDescent="0.25">
      <c r="A351" t="s">
        <v>77</v>
      </c>
      <c r="B351">
        <f t="shared" si="7"/>
        <v>0</v>
      </c>
      <c r="C351" s="35">
        <v>1990</v>
      </c>
      <c r="D351" s="1" t="s">
        <v>24</v>
      </c>
      <c r="E351" s="35">
        <v>3</v>
      </c>
      <c r="F351" s="35">
        <v>1</v>
      </c>
      <c r="G351" s="35">
        <v>2</v>
      </c>
      <c r="H351" s="1" t="s">
        <v>2</v>
      </c>
      <c r="I351" s="1"/>
      <c r="J351" s="1"/>
    </row>
    <row r="352" spans="1:10" x14ac:dyDescent="0.25">
      <c r="A352" t="s">
        <v>77</v>
      </c>
      <c r="B352">
        <f t="shared" si="7"/>
        <v>0</v>
      </c>
      <c r="C352" s="35">
        <v>1991</v>
      </c>
      <c r="D352" s="1" t="s">
        <v>4</v>
      </c>
      <c r="E352" s="36">
        <v>5082</v>
      </c>
      <c r="F352" s="36">
        <v>2850</v>
      </c>
      <c r="G352" s="36">
        <v>2218</v>
      </c>
      <c r="H352" s="35">
        <v>14</v>
      </c>
      <c r="I352" s="1"/>
      <c r="J352" s="1"/>
    </row>
    <row r="353" spans="1:10" x14ac:dyDescent="0.25">
      <c r="A353" t="s">
        <v>77</v>
      </c>
      <c r="B353">
        <f t="shared" si="7"/>
        <v>0</v>
      </c>
      <c r="C353" s="35">
        <v>1991</v>
      </c>
      <c r="D353" s="35">
        <v>1989</v>
      </c>
      <c r="E353" s="35">
        <v>1</v>
      </c>
      <c r="F353" s="1" t="s">
        <v>2</v>
      </c>
      <c r="G353" s="35">
        <v>1</v>
      </c>
      <c r="H353" s="1" t="s">
        <v>2</v>
      </c>
      <c r="I353" s="1"/>
      <c r="J353" s="1"/>
    </row>
    <row r="354" spans="1:10" x14ac:dyDescent="0.25">
      <c r="A354" t="s">
        <v>77</v>
      </c>
      <c r="B354">
        <f t="shared" si="7"/>
        <v>0</v>
      </c>
      <c r="C354" s="35">
        <v>1991</v>
      </c>
      <c r="D354" s="35">
        <v>1990</v>
      </c>
      <c r="E354" s="35">
        <v>1</v>
      </c>
      <c r="F354" s="1" t="s">
        <v>2</v>
      </c>
      <c r="G354" s="35">
        <v>1</v>
      </c>
      <c r="H354" s="1" t="s">
        <v>2</v>
      </c>
      <c r="I354" s="1"/>
      <c r="J354" s="1"/>
    </row>
    <row r="355" spans="1:10" x14ac:dyDescent="0.25">
      <c r="A355" t="s">
        <v>77</v>
      </c>
      <c r="B355">
        <f t="shared" si="7"/>
        <v>0</v>
      </c>
      <c r="C355" s="35">
        <v>1991</v>
      </c>
      <c r="D355" s="35">
        <v>1991</v>
      </c>
      <c r="E355" s="36">
        <v>5080</v>
      </c>
      <c r="F355" s="36">
        <v>2850</v>
      </c>
      <c r="G355" s="36">
        <v>2216</v>
      </c>
      <c r="H355" s="35">
        <v>14</v>
      </c>
      <c r="I355" s="1"/>
      <c r="J355" s="1"/>
    </row>
    <row r="356" spans="1:10" x14ac:dyDescent="0.25">
      <c r="A356" t="s">
        <v>77</v>
      </c>
      <c r="B356">
        <f t="shared" si="7"/>
        <v>0</v>
      </c>
      <c r="C356" s="35">
        <v>1992</v>
      </c>
      <c r="D356" s="1" t="s">
        <v>4</v>
      </c>
      <c r="E356" s="36">
        <v>4819</v>
      </c>
      <c r="F356" s="36">
        <v>2728</v>
      </c>
      <c r="G356" s="36">
        <v>2082</v>
      </c>
      <c r="H356" s="35">
        <v>9</v>
      </c>
      <c r="I356" s="1"/>
      <c r="J356" s="1"/>
    </row>
    <row r="357" spans="1:10" x14ac:dyDescent="0.25">
      <c r="A357" t="s">
        <v>77</v>
      </c>
      <c r="B357">
        <f t="shared" si="7"/>
        <v>0</v>
      </c>
      <c r="C357" s="35">
        <v>1992</v>
      </c>
      <c r="D357" s="35">
        <v>1992</v>
      </c>
      <c r="E357" s="36">
        <v>4817</v>
      </c>
      <c r="F357" s="36">
        <v>2727</v>
      </c>
      <c r="G357" s="36">
        <v>2081</v>
      </c>
      <c r="H357" s="35">
        <v>9</v>
      </c>
      <c r="I357" s="1"/>
      <c r="J357" s="1"/>
    </row>
    <row r="358" spans="1:10" x14ac:dyDescent="0.25">
      <c r="A358" t="s">
        <v>77</v>
      </c>
      <c r="B358">
        <f t="shared" si="7"/>
        <v>0</v>
      </c>
      <c r="C358" s="35">
        <v>1992</v>
      </c>
      <c r="D358" s="1" t="s">
        <v>24</v>
      </c>
      <c r="E358" s="35">
        <v>2</v>
      </c>
      <c r="F358" s="35">
        <v>1</v>
      </c>
      <c r="G358" s="35">
        <v>1</v>
      </c>
      <c r="H358" s="1" t="s">
        <v>2</v>
      </c>
      <c r="I358" s="1"/>
      <c r="J358" s="1"/>
    </row>
    <row r="359" spans="1:10" x14ac:dyDescent="0.25">
      <c r="A359" t="s">
        <v>77</v>
      </c>
      <c r="B359">
        <f t="shared" si="7"/>
        <v>0</v>
      </c>
      <c r="C359" s="35">
        <v>1993</v>
      </c>
      <c r="D359" s="1" t="s">
        <v>4</v>
      </c>
      <c r="E359" s="36">
        <v>4180</v>
      </c>
      <c r="F359" s="36">
        <v>2395</v>
      </c>
      <c r="G359" s="36">
        <v>1768</v>
      </c>
      <c r="H359" s="35">
        <v>17</v>
      </c>
      <c r="I359" s="1"/>
      <c r="J359" s="1"/>
    </row>
    <row r="360" spans="1:10" x14ac:dyDescent="0.25">
      <c r="A360" t="s">
        <v>77</v>
      </c>
      <c r="B360">
        <f t="shared" si="7"/>
        <v>0</v>
      </c>
      <c r="C360" s="35">
        <v>1993</v>
      </c>
      <c r="D360" s="35">
        <v>1991</v>
      </c>
      <c r="E360" s="35">
        <v>2</v>
      </c>
      <c r="F360" s="35">
        <v>1</v>
      </c>
      <c r="G360" s="35">
        <v>1</v>
      </c>
      <c r="H360" s="1" t="s">
        <v>2</v>
      </c>
      <c r="I360" s="1"/>
      <c r="J360" s="1"/>
    </row>
    <row r="361" spans="1:10" x14ac:dyDescent="0.25">
      <c r="A361" t="s">
        <v>77</v>
      </c>
      <c r="B361">
        <f t="shared" si="7"/>
        <v>0</v>
      </c>
      <c r="C361" s="35">
        <v>1993</v>
      </c>
      <c r="D361" s="35">
        <v>1992</v>
      </c>
      <c r="E361" s="35">
        <v>15</v>
      </c>
      <c r="F361" s="35">
        <v>7</v>
      </c>
      <c r="G361" s="35">
        <v>8</v>
      </c>
      <c r="H361" s="1" t="s">
        <v>2</v>
      </c>
      <c r="I361" s="1"/>
      <c r="J361" s="1"/>
    </row>
    <row r="362" spans="1:10" x14ac:dyDescent="0.25">
      <c r="A362" t="s">
        <v>77</v>
      </c>
      <c r="B362">
        <f t="shared" si="7"/>
        <v>0</v>
      </c>
      <c r="C362" s="35">
        <v>1993</v>
      </c>
      <c r="D362" s="35">
        <v>1993</v>
      </c>
      <c r="E362" s="36">
        <v>4160</v>
      </c>
      <c r="F362" s="36">
        <v>2387</v>
      </c>
      <c r="G362" s="36">
        <v>1756</v>
      </c>
      <c r="H362" s="35">
        <v>17</v>
      </c>
      <c r="I362" s="1"/>
      <c r="J362" s="1"/>
    </row>
    <row r="363" spans="1:10" x14ac:dyDescent="0.25">
      <c r="A363" t="s">
        <v>77</v>
      </c>
      <c r="B363">
        <f t="shared" si="7"/>
        <v>0</v>
      </c>
      <c r="C363" s="35">
        <v>1993</v>
      </c>
      <c r="D363" s="1" t="s">
        <v>24</v>
      </c>
      <c r="E363" s="35">
        <v>3</v>
      </c>
      <c r="F363" s="1" t="s">
        <v>2</v>
      </c>
      <c r="G363" s="35">
        <v>3</v>
      </c>
      <c r="H363" s="1" t="s">
        <v>2</v>
      </c>
      <c r="I363" s="1"/>
      <c r="J363" s="1"/>
    </row>
    <row r="364" spans="1:10" x14ac:dyDescent="0.25">
      <c r="A364" t="s">
        <v>77</v>
      </c>
      <c r="B364">
        <f t="shared" si="7"/>
        <v>0</v>
      </c>
      <c r="C364" s="35">
        <v>1994</v>
      </c>
      <c r="D364" s="1" t="s">
        <v>4</v>
      </c>
      <c r="E364" s="36">
        <v>4318</v>
      </c>
      <c r="F364" s="36">
        <v>2476</v>
      </c>
      <c r="G364" s="36">
        <v>1825</v>
      </c>
      <c r="H364" s="35">
        <v>17</v>
      </c>
      <c r="I364" s="1"/>
      <c r="J364" s="1"/>
    </row>
    <row r="365" spans="1:10" x14ac:dyDescent="0.25">
      <c r="A365" t="s">
        <v>77</v>
      </c>
      <c r="B365">
        <f t="shared" si="7"/>
        <v>0</v>
      </c>
      <c r="C365" s="35">
        <v>1994</v>
      </c>
      <c r="D365" s="35">
        <v>1940</v>
      </c>
      <c r="E365" s="35">
        <v>1</v>
      </c>
      <c r="F365" s="35">
        <v>1</v>
      </c>
      <c r="G365" s="1" t="s">
        <v>2</v>
      </c>
      <c r="H365" s="1" t="s">
        <v>2</v>
      </c>
      <c r="I365" s="1"/>
      <c r="J365" s="1"/>
    </row>
    <row r="366" spans="1:10" x14ac:dyDescent="0.25">
      <c r="A366" t="s">
        <v>77</v>
      </c>
      <c r="B366">
        <f t="shared" si="7"/>
        <v>0</v>
      </c>
      <c r="C366" s="35">
        <v>1994</v>
      </c>
      <c r="D366" s="35">
        <v>1984</v>
      </c>
      <c r="E366" s="35">
        <v>1</v>
      </c>
      <c r="F366" s="35">
        <v>1</v>
      </c>
      <c r="G366" s="1" t="s">
        <v>2</v>
      </c>
      <c r="H366" s="1" t="s">
        <v>2</v>
      </c>
      <c r="I366" s="1"/>
      <c r="J366" s="1"/>
    </row>
    <row r="367" spans="1:10" x14ac:dyDescent="0.25">
      <c r="A367" t="s">
        <v>77</v>
      </c>
      <c r="B367">
        <f t="shared" si="7"/>
        <v>0</v>
      </c>
      <c r="C367" s="35">
        <v>1994</v>
      </c>
      <c r="D367" s="35">
        <v>1991</v>
      </c>
      <c r="E367" s="35">
        <v>1</v>
      </c>
      <c r="F367" s="35">
        <v>1</v>
      </c>
      <c r="G367" s="1" t="s">
        <v>2</v>
      </c>
      <c r="H367" s="1" t="s">
        <v>2</v>
      </c>
      <c r="I367" s="1"/>
      <c r="J367" s="1"/>
    </row>
    <row r="368" spans="1:10" x14ac:dyDescent="0.25">
      <c r="A368" t="s">
        <v>77</v>
      </c>
      <c r="B368">
        <f t="shared" si="7"/>
        <v>0</v>
      </c>
      <c r="C368" s="35">
        <v>1994</v>
      </c>
      <c r="D368" s="35">
        <v>1993</v>
      </c>
      <c r="E368" s="35">
        <v>12</v>
      </c>
      <c r="F368" s="35">
        <v>3</v>
      </c>
      <c r="G368" s="35">
        <v>9</v>
      </c>
      <c r="H368" s="1" t="s">
        <v>2</v>
      </c>
      <c r="I368" s="1"/>
      <c r="J368" s="1"/>
    </row>
    <row r="369" spans="1:10" x14ac:dyDescent="0.25">
      <c r="A369" t="s">
        <v>77</v>
      </c>
      <c r="B369">
        <f t="shared" si="7"/>
        <v>0</v>
      </c>
      <c r="C369" s="35">
        <v>1994</v>
      </c>
      <c r="D369" s="35">
        <v>1994</v>
      </c>
      <c r="E369" s="36">
        <v>4303</v>
      </c>
      <c r="F369" s="36">
        <v>2470</v>
      </c>
      <c r="G369" s="36">
        <v>1816</v>
      </c>
      <c r="H369" s="35">
        <v>17</v>
      </c>
      <c r="I369" s="1"/>
      <c r="J369" s="1"/>
    </row>
    <row r="370" spans="1:10" x14ac:dyDescent="0.25">
      <c r="A370" t="s">
        <v>77</v>
      </c>
      <c r="B370">
        <f t="shared" si="7"/>
        <v>0</v>
      </c>
      <c r="C370" s="35">
        <v>1995</v>
      </c>
      <c r="D370" s="1" t="s">
        <v>4</v>
      </c>
      <c r="E370" s="36">
        <v>4067</v>
      </c>
      <c r="F370" s="36">
        <v>2304</v>
      </c>
      <c r="G370" s="36">
        <v>1751</v>
      </c>
      <c r="H370" s="35">
        <v>12</v>
      </c>
      <c r="I370" s="1"/>
      <c r="J370" s="1"/>
    </row>
    <row r="371" spans="1:10" x14ac:dyDescent="0.25">
      <c r="A371" t="s">
        <v>77</v>
      </c>
      <c r="B371">
        <f t="shared" si="7"/>
        <v>0</v>
      </c>
      <c r="C371" s="35">
        <v>1995</v>
      </c>
      <c r="D371" s="35">
        <v>1991</v>
      </c>
      <c r="E371" s="35">
        <v>1</v>
      </c>
      <c r="F371" s="1" t="s">
        <v>2</v>
      </c>
      <c r="G371" s="35">
        <v>1</v>
      </c>
      <c r="H371" s="1" t="s">
        <v>2</v>
      </c>
      <c r="I371" s="1"/>
      <c r="J371" s="1"/>
    </row>
    <row r="372" spans="1:10" x14ac:dyDescent="0.25">
      <c r="A372" t="s">
        <v>77</v>
      </c>
      <c r="B372">
        <f t="shared" si="7"/>
        <v>0</v>
      </c>
      <c r="C372" s="35">
        <v>1995</v>
      </c>
      <c r="D372" s="35">
        <v>1993</v>
      </c>
      <c r="E372" s="35">
        <v>1</v>
      </c>
      <c r="F372" s="1" t="s">
        <v>2</v>
      </c>
      <c r="G372" s="35">
        <v>1</v>
      </c>
      <c r="H372" s="1" t="s">
        <v>2</v>
      </c>
      <c r="I372" s="1"/>
      <c r="J372" s="1"/>
    </row>
    <row r="373" spans="1:10" x14ac:dyDescent="0.25">
      <c r="A373" t="s">
        <v>77</v>
      </c>
      <c r="B373">
        <f t="shared" si="7"/>
        <v>0</v>
      </c>
      <c r="C373" s="35">
        <v>1995</v>
      </c>
      <c r="D373" s="35">
        <v>1994</v>
      </c>
      <c r="E373" s="35">
        <v>47</v>
      </c>
      <c r="F373" s="35">
        <v>30</v>
      </c>
      <c r="G373" s="35">
        <v>15</v>
      </c>
      <c r="H373" s="35">
        <v>2</v>
      </c>
      <c r="I373" s="1"/>
      <c r="J373" s="1"/>
    </row>
    <row r="374" spans="1:10" x14ac:dyDescent="0.25">
      <c r="A374" t="s">
        <v>77</v>
      </c>
      <c r="B374">
        <f t="shared" si="7"/>
        <v>0</v>
      </c>
      <c r="C374" s="35">
        <v>1995</v>
      </c>
      <c r="D374" s="35">
        <v>1995</v>
      </c>
      <c r="E374" s="36">
        <v>4018</v>
      </c>
      <c r="F374" s="36">
        <v>2274</v>
      </c>
      <c r="G374" s="36">
        <v>1734</v>
      </c>
      <c r="H374" s="35">
        <v>10</v>
      </c>
      <c r="I374" s="1"/>
      <c r="J374" s="1"/>
    </row>
    <row r="375" spans="1:10" x14ac:dyDescent="0.25">
      <c r="A375" t="s">
        <v>77</v>
      </c>
      <c r="B375">
        <f t="shared" si="7"/>
        <v>0</v>
      </c>
      <c r="C375" s="35">
        <v>1996</v>
      </c>
      <c r="D375" s="1" t="s">
        <v>4</v>
      </c>
      <c r="E375" s="36">
        <v>3868</v>
      </c>
      <c r="F375" s="36">
        <v>2193</v>
      </c>
      <c r="G375" s="36">
        <v>1664</v>
      </c>
      <c r="H375" s="35">
        <v>11</v>
      </c>
      <c r="I375" s="1"/>
      <c r="J375" s="1"/>
    </row>
    <row r="376" spans="1:10" x14ac:dyDescent="0.25">
      <c r="A376" t="s">
        <v>77</v>
      </c>
      <c r="B376">
        <f t="shared" si="7"/>
        <v>0</v>
      </c>
      <c r="C376" s="35">
        <v>1996</v>
      </c>
      <c r="D376" s="35">
        <v>1920</v>
      </c>
      <c r="E376" s="35">
        <v>1</v>
      </c>
      <c r="F376" s="1" t="s">
        <v>2</v>
      </c>
      <c r="G376" s="35">
        <v>1</v>
      </c>
      <c r="H376" s="1" t="s">
        <v>2</v>
      </c>
      <c r="I376" s="1"/>
      <c r="J376" s="1"/>
    </row>
    <row r="377" spans="1:10" x14ac:dyDescent="0.25">
      <c r="A377" t="s">
        <v>77</v>
      </c>
      <c r="B377">
        <f t="shared" si="7"/>
        <v>0</v>
      </c>
      <c r="C377" s="35">
        <v>1996</v>
      </c>
      <c r="D377" s="35">
        <v>1976</v>
      </c>
      <c r="E377" s="35">
        <v>1</v>
      </c>
      <c r="F377" s="35">
        <v>1</v>
      </c>
      <c r="G377" s="1" t="s">
        <v>2</v>
      </c>
      <c r="H377" s="1" t="s">
        <v>2</v>
      </c>
      <c r="I377" s="1"/>
      <c r="J377" s="1"/>
    </row>
    <row r="378" spans="1:10" x14ac:dyDescent="0.25">
      <c r="A378" t="s">
        <v>77</v>
      </c>
      <c r="B378">
        <f t="shared" si="7"/>
        <v>0</v>
      </c>
      <c r="C378" s="35">
        <v>1996</v>
      </c>
      <c r="D378" s="35">
        <v>1986</v>
      </c>
      <c r="E378" s="35">
        <v>1</v>
      </c>
      <c r="F378" s="1" t="s">
        <v>2</v>
      </c>
      <c r="G378" s="35">
        <v>1</v>
      </c>
      <c r="H378" s="1" t="s">
        <v>2</v>
      </c>
      <c r="I378" s="1"/>
      <c r="J378" s="1"/>
    </row>
    <row r="379" spans="1:10" x14ac:dyDescent="0.25">
      <c r="A379" t="s">
        <v>77</v>
      </c>
      <c r="B379">
        <f t="shared" si="7"/>
        <v>0</v>
      </c>
      <c r="C379" s="35">
        <v>1996</v>
      </c>
      <c r="D379" s="35">
        <v>1995</v>
      </c>
      <c r="E379" s="35">
        <v>28</v>
      </c>
      <c r="F379" s="35">
        <v>18</v>
      </c>
      <c r="G379" s="35">
        <v>10</v>
      </c>
      <c r="H379" s="1" t="s">
        <v>2</v>
      </c>
      <c r="I379" s="1"/>
      <c r="J379" s="1"/>
    </row>
    <row r="380" spans="1:10" x14ac:dyDescent="0.25">
      <c r="A380" t="s">
        <v>77</v>
      </c>
      <c r="B380">
        <f t="shared" si="7"/>
        <v>0</v>
      </c>
      <c r="C380" s="35">
        <v>1996</v>
      </c>
      <c r="D380" s="35">
        <v>1996</v>
      </c>
      <c r="E380" s="36">
        <v>3837</v>
      </c>
      <c r="F380" s="36">
        <v>2174</v>
      </c>
      <c r="G380" s="36">
        <v>1652</v>
      </c>
      <c r="H380" s="35">
        <v>11</v>
      </c>
      <c r="I380" s="1"/>
      <c r="J380" s="1"/>
    </row>
    <row r="381" spans="1:10" x14ac:dyDescent="0.25">
      <c r="A381" t="s">
        <v>77</v>
      </c>
      <c r="B381">
        <f t="shared" si="7"/>
        <v>0</v>
      </c>
      <c r="C381" s="35">
        <v>1997</v>
      </c>
      <c r="D381" s="1" t="s">
        <v>4</v>
      </c>
      <c r="E381" s="36">
        <v>3848</v>
      </c>
      <c r="F381" s="36">
        <v>2176</v>
      </c>
      <c r="G381" s="36">
        <v>1659</v>
      </c>
      <c r="H381" s="35">
        <v>13</v>
      </c>
      <c r="I381" s="1"/>
      <c r="J381" s="1"/>
    </row>
    <row r="382" spans="1:10" x14ac:dyDescent="0.25">
      <c r="A382" t="s">
        <v>77</v>
      </c>
      <c r="B382">
        <f t="shared" si="7"/>
        <v>0</v>
      </c>
      <c r="C382" s="35">
        <v>1997</v>
      </c>
      <c r="D382" s="35">
        <v>1909</v>
      </c>
      <c r="E382" s="35">
        <v>1</v>
      </c>
      <c r="F382" s="35">
        <v>1</v>
      </c>
      <c r="G382" s="1" t="s">
        <v>2</v>
      </c>
      <c r="H382" s="1" t="s">
        <v>2</v>
      </c>
      <c r="I382" s="1"/>
      <c r="J382" s="1"/>
    </row>
    <row r="383" spans="1:10" x14ac:dyDescent="0.25">
      <c r="A383" t="s">
        <v>77</v>
      </c>
      <c r="B383">
        <f t="shared" si="7"/>
        <v>0</v>
      </c>
      <c r="C383" s="35">
        <v>1997</v>
      </c>
      <c r="D383" s="35">
        <v>1993</v>
      </c>
      <c r="E383" s="35">
        <v>1</v>
      </c>
      <c r="F383" s="1" t="s">
        <v>2</v>
      </c>
      <c r="G383" s="35">
        <v>1</v>
      </c>
      <c r="H383" s="1" t="s">
        <v>2</v>
      </c>
      <c r="I383" s="1"/>
      <c r="J383" s="1"/>
    </row>
    <row r="384" spans="1:10" x14ac:dyDescent="0.25">
      <c r="A384" t="s">
        <v>77</v>
      </c>
      <c r="B384">
        <f t="shared" si="7"/>
        <v>0</v>
      </c>
      <c r="C384" s="35">
        <v>1997</v>
      </c>
      <c r="D384" s="35">
        <v>1995</v>
      </c>
      <c r="E384" s="35">
        <v>1</v>
      </c>
      <c r="F384" s="35">
        <v>1</v>
      </c>
      <c r="G384" s="1" t="s">
        <v>2</v>
      </c>
      <c r="H384" s="1" t="s">
        <v>2</v>
      </c>
      <c r="I384" s="1"/>
      <c r="J384" s="1"/>
    </row>
    <row r="385" spans="1:10" x14ac:dyDescent="0.25">
      <c r="A385" t="s">
        <v>77</v>
      </c>
      <c r="B385">
        <f t="shared" si="7"/>
        <v>0</v>
      </c>
      <c r="C385" s="35">
        <v>1997</v>
      </c>
      <c r="D385" s="35">
        <v>1996</v>
      </c>
      <c r="E385" s="35">
        <v>11</v>
      </c>
      <c r="F385" s="35">
        <v>4</v>
      </c>
      <c r="G385" s="35">
        <v>7</v>
      </c>
      <c r="H385" s="1" t="s">
        <v>2</v>
      </c>
      <c r="I385" s="1"/>
      <c r="J385" s="1"/>
    </row>
    <row r="386" spans="1:10" x14ac:dyDescent="0.25">
      <c r="A386" t="s">
        <v>77</v>
      </c>
      <c r="B386">
        <f t="shared" si="7"/>
        <v>0</v>
      </c>
      <c r="C386" s="35">
        <v>1997</v>
      </c>
      <c r="D386" s="35">
        <v>1997</v>
      </c>
      <c r="E386" s="36">
        <v>3834</v>
      </c>
      <c r="F386" s="36">
        <v>2170</v>
      </c>
      <c r="G386" s="36">
        <v>1651</v>
      </c>
      <c r="H386" s="35">
        <v>13</v>
      </c>
      <c r="I386" s="1"/>
      <c r="J386" s="1"/>
    </row>
    <row r="387" spans="1:10" x14ac:dyDescent="0.25">
      <c r="A387" t="s">
        <v>77</v>
      </c>
      <c r="B387">
        <f t="shared" si="7"/>
        <v>0</v>
      </c>
      <c r="C387" s="35">
        <v>1998</v>
      </c>
      <c r="D387" s="1" t="s">
        <v>4</v>
      </c>
      <c r="E387" s="36">
        <v>3699</v>
      </c>
      <c r="F387" s="36">
        <v>2022</v>
      </c>
      <c r="G387" s="36">
        <v>1663</v>
      </c>
      <c r="H387" s="35">
        <v>14</v>
      </c>
      <c r="I387" s="1"/>
      <c r="J387" s="1"/>
    </row>
    <row r="388" spans="1:10" x14ac:dyDescent="0.25">
      <c r="A388" t="s">
        <v>77</v>
      </c>
      <c r="B388">
        <f t="shared" si="7"/>
        <v>0</v>
      </c>
      <c r="C388" s="35">
        <v>1998</v>
      </c>
      <c r="D388" s="35">
        <v>1909</v>
      </c>
      <c r="E388" s="35">
        <v>1</v>
      </c>
      <c r="F388" s="1" t="s">
        <v>2</v>
      </c>
      <c r="G388" s="35">
        <v>1</v>
      </c>
      <c r="H388" s="1" t="s">
        <v>2</v>
      </c>
      <c r="I388" s="1"/>
      <c r="J388" s="1"/>
    </row>
    <row r="389" spans="1:10" x14ac:dyDescent="0.25">
      <c r="A389" t="s">
        <v>77</v>
      </c>
      <c r="B389">
        <f t="shared" si="7"/>
        <v>0</v>
      </c>
      <c r="C389" s="35">
        <v>1998</v>
      </c>
      <c r="D389" s="35">
        <v>1958</v>
      </c>
      <c r="E389" s="35">
        <v>1</v>
      </c>
      <c r="F389" s="1" t="s">
        <v>2</v>
      </c>
      <c r="G389" s="35">
        <v>1</v>
      </c>
      <c r="H389" s="1" t="s">
        <v>2</v>
      </c>
      <c r="I389" s="1"/>
      <c r="J389" s="1"/>
    </row>
    <row r="390" spans="1:10" x14ac:dyDescent="0.25">
      <c r="A390" t="s">
        <v>77</v>
      </c>
      <c r="B390">
        <f t="shared" si="7"/>
        <v>0</v>
      </c>
      <c r="C390" s="35">
        <v>1998</v>
      </c>
      <c r="D390" s="35">
        <v>1996</v>
      </c>
      <c r="E390" s="35">
        <v>3</v>
      </c>
      <c r="F390" s="35">
        <v>1</v>
      </c>
      <c r="G390" s="35">
        <v>2</v>
      </c>
      <c r="H390" s="1" t="s">
        <v>2</v>
      </c>
      <c r="I390" s="1"/>
      <c r="J390" s="1"/>
    </row>
    <row r="391" spans="1:10" x14ac:dyDescent="0.25">
      <c r="A391" t="s">
        <v>77</v>
      </c>
      <c r="B391">
        <f t="shared" ref="B391:B454" si="8">IF(A391="Menores de 1 año",0,LEFT(A391,2))</f>
        <v>0</v>
      </c>
      <c r="C391" s="35">
        <v>1998</v>
      </c>
      <c r="D391" s="35">
        <v>1997</v>
      </c>
      <c r="E391" s="35">
        <v>22</v>
      </c>
      <c r="F391" s="35">
        <v>12</v>
      </c>
      <c r="G391" s="35">
        <v>10</v>
      </c>
      <c r="H391" s="1" t="s">
        <v>2</v>
      </c>
      <c r="I391" s="1"/>
      <c r="J391" s="1"/>
    </row>
    <row r="392" spans="1:10" x14ac:dyDescent="0.25">
      <c r="A392" t="s">
        <v>77</v>
      </c>
      <c r="B392">
        <f t="shared" si="8"/>
        <v>0</v>
      </c>
      <c r="C392" s="35">
        <v>1998</v>
      </c>
      <c r="D392" s="35">
        <v>1998</v>
      </c>
      <c r="E392" s="36">
        <v>3672</v>
      </c>
      <c r="F392" s="36">
        <v>2009</v>
      </c>
      <c r="G392" s="36">
        <v>1649</v>
      </c>
      <c r="H392" s="35">
        <v>14</v>
      </c>
      <c r="I392" s="1"/>
      <c r="J392" s="1"/>
    </row>
    <row r="393" spans="1:10" x14ac:dyDescent="0.25">
      <c r="A393" t="s">
        <v>77</v>
      </c>
      <c r="B393">
        <f t="shared" si="8"/>
        <v>0</v>
      </c>
      <c r="C393" s="35">
        <v>1999</v>
      </c>
      <c r="D393" s="1" t="s">
        <v>4</v>
      </c>
      <c r="E393" s="36">
        <v>3323</v>
      </c>
      <c r="F393" s="36">
        <v>1836</v>
      </c>
      <c r="G393" s="36">
        <v>1478</v>
      </c>
      <c r="H393" s="35">
        <v>9</v>
      </c>
      <c r="I393" s="1"/>
      <c r="J393" s="1"/>
    </row>
    <row r="394" spans="1:10" x14ac:dyDescent="0.25">
      <c r="A394" t="s">
        <v>77</v>
      </c>
      <c r="B394">
        <f t="shared" si="8"/>
        <v>0</v>
      </c>
      <c r="C394" s="35">
        <v>1999</v>
      </c>
      <c r="D394" s="35">
        <v>1998</v>
      </c>
      <c r="E394" s="35">
        <v>11</v>
      </c>
      <c r="F394" s="35">
        <v>6</v>
      </c>
      <c r="G394" s="35">
        <v>5</v>
      </c>
      <c r="H394" s="1" t="s">
        <v>2</v>
      </c>
      <c r="I394" s="1"/>
      <c r="J394" s="1"/>
    </row>
    <row r="395" spans="1:10" x14ac:dyDescent="0.25">
      <c r="A395" t="s">
        <v>77</v>
      </c>
      <c r="B395">
        <f t="shared" si="8"/>
        <v>0</v>
      </c>
      <c r="C395" s="35">
        <v>1999</v>
      </c>
      <c r="D395" s="35">
        <v>1999</v>
      </c>
      <c r="E395" s="36">
        <v>3312</v>
      </c>
      <c r="F395" s="36">
        <v>1830</v>
      </c>
      <c r="G395" s="36">
        <v>1473</v>
      </c>
      <c r="H395" s="35">
        <v>9</v>
      </c>
      <c r="I395" s="1"/>
      <c r="J395" s="1"/>
    </row>
    <row r="396" spans="1:10" x14ac:dyDescent="0.25">
      <c r="A396" t="s">
        <v>77</v>
      </c>
      <c r="B396">
        <f t="shared" si="8"/>
        <v>0</v>
      </c>
      <c r="C396" s="35">
        <v>2000</v>
      </c>
      <c r="D396" s="1" t="s">
        <v>4</v>
      </c>
      <c r="E396" s="36">
        <v>3127</v>
      </c>
      <c r="F396" s="36">
        <v>1767</v>
      </c>
      <c r="G396" s="36">
        <v>1353</v>
      </c>
      <c r="H396" s="35">
        <v>7</v>
      </c>
      <c r="I396" s="1"/>
      <c r="J396" s="1"/>
    </row>
    <row r="397" spans="1:10" x14ac:dyDescent="0.25">
      <c r="A397" t="s">
        <v>77</v>
      </c>
      <c r="B397">
        <f t="shared" si="8"/>
        <v>0</v>
      </c>
      <c r="C397" s="35">
        <v>2000</v>
      </c>
      <c r="D397" s="35">
        <v>1999</v>
      </c>
      <c r="E397" s="35">
        <v>7</v>
      </c>
      <c r="F397" s="35">
        <v>5</v>
      </c>
      <c r="G397" s="35">
        <v>2</v>
      </c>
      <c r="H397" s="1" t="s">
        <v>2</v>
      </c>
      <c r="I397" s="1"/>
      <c r="J397" s="1"/>
    </row>
    <row r="398" spans="1:10" x14ac:dyDescent="0.25">
      <c r="A398" t="s">
        <v>77</v>
      </c>
      <c r="B398">
        <f t="shared" si="8"/>
        <v>0</v>
      </c>
      <c r="C398" s="35">
        <v>2000</v>
      </c>
      <c r="D398" s="35">
        <v>2000</v>
      </c>
      <c r="E398" s="36">
        <v>3120</v>
      </c>
      <c r="F398" s="36">
        <v>1762</v>
      </c>
      <c r="G398" s="36">
        <v>1351</v>
      </c>
      <c r="H398" s="35">
        <v>7</v>
      </c>
      <c r="I398" s="1"/>
      <c r="J398" s="1"/>
    </row>
    <row r="399" spans="1:10" x14ac:dyDescent="0.25">
      <c r="A399" t="s">
        <v>77</v>
      </c>
      <c r="B399">
        <f t="shared" si="8"/>
        <v>0</v>
      </c>
      <c r="C399" s="35">
        <v>2001</v>
      </c>
      <c r="D399" s="1" t="s">
        <v>4</v>
      </c>
      <c r="E399" s="36">
        <v>2894</v>
      </c>
      <c r="F399" s="36">
        <v>1627</v>
      </c>
      <c r="G399" s="36">
        <v>1254</v>
      </c>
      <c r="H399" s="35">
        <v>13</v>
      </c>
      <c r="I399" s="1"/>
      <c r="J399" s="1"/>
    </row>
    <row r="400" spans="1:10" x14ac:dyDescent="0.25">
      <c r="A400" t="s">
        <v>77</v>
      </c>
      <c r="B400">
        <f t="shared" si="8"/>
        <v>0</v>
      </c>
      <c r="C400" s="35">
        <v>2001</v>
      </c>
      <c r="D400" s="35">
        <v>2000</v>
      </c>
      <c r="E400" s="35">
        <v>11</v>
      </c>
      <c r="F400" s="35">
        <v>7</v>
      </c>
      <c r="G400" s="35">
        <v>4</v>
      </c>
      <c r="H400" s="1" t="s">
        <v>2</v>
      </c>
      <c r="I400" s="1"/>
      <c r="J400" s="1"/>
    </row>
    <row r="401" spans="1:10" x14ac:dyDescent="0.25">
      <c r="A401" t="s">
        <v>77</v>
      </c>
      <c r="B401">
        <f t="shared" si="8"/>
        <v>0</v>
      </c>
      <c r="C401" s="35">
        <v>2001</v>
      </c>
      <c r="D401" s="35">
        <v>2001</v>
      </c>
      <c r="E401" s="36">
        <v>2883</v>
      </c>
      <c r="F401" s="36">
        <v>1620</v>
      </c>
      <c r="G401" s="36">
        <v>1250</v>
      </c>
      <c r="H401" s="35">
        <v>13</v>
      </c>
      <c r="I401" s="1"/>
      <c r="J401" s="1"/>
    </row>
    <row r="402" spans="1:10" x14ac:dyDescent="0.25">
      <c r="A402" t="s">
        <v>77</v>
      </c>
      <c r="B402">
        <f t="shared" si="8"/>
        <v>0</v>
      </c>
      <c r="C402" s="35">
        <v>2002</v>
      </c>
      <c r="D402" s="1" t="s">
        <v>4</v>
      </c>
      <c r="E402" s="36">
        <v>2858</v>
      </c>
      <c r="F402" s="36">
        <v>1592</v>
      </c>
      <c r="G402" s="36">
        <v>1257</v>
      </c>
      <c r="H402" s="35">
        <v>9</v>
      </c>
      <c r="I402" s="1"/>
      <c r="J402" s="1"/>
    </row>
    <row r="403" spans="1:10" x14ac:dyDescent="0.25">
      <c r="A403" t="s">
        <v>77</v>
      </c>
      <c r="B403">
        <f t="shared" si="8"/>
        <v>0</v>
      </c>
      <c r="C403" s="35">
        <v>2002</v>
      </c>
      <c r="D403" s="35">
        <v>2001</v>
      </c>
      <c r="E403" s="35">
        <v>13</v>
      </c>
      <c r="F403" s="35">
        <v>9</v>
      </c>
      <c r="G403" s="35">
        <v>4</v>
      </c>
      <c r="H403" s="1" t="s">
        <v>2</v>
      </c>
      <c r="I403" s="1"/>
      <c r="J403" s="1"/>
    </row>
    <row r="404" spans="1:10" x14ac:dyDescent="0.25">
      <c r="A404" t="s">
        <v>77</v>
      </c>
      <c r="B404">
        <f t="shared" si="8"/>
        <v>0</v>
      </c>
      <c r="C404" s="35">
        <v>2002</v>
      </c>
      <c r="D404" s="35">
        <v>2002</v>
      </c>
      <c r="E404" s="36">
        <v>2845</v>
      </c>
      <c r="F404" s="36">
        <v>1583</v>
      </c>
      <c r="G404" s="36">
        <v>1253</v>
      </c>
      <c r="H404" s="35">
        <v>9</v>
      </c>
      <c r="I404" s="1"/>
      <c r="J404" s="1"/>
    </row>
    <row r="405" spans="1:10" x14ac:dyDescent="0.25">
      <c r="A405" t="s">
        <v>77</v>
      </c>
      <c r="B405">
        <f t="shared" si="8"/>
        <v>0</v>
      </c>
      <c r="C405" s="35">
        <v>2003</v>
      </c>
      <c r="D405" s="1" t="s">
        <v>4</v>
      </c>
      <c r="E405" s="36">
        <v>2807</v>
      </c>
      <c r="F405" s="36">
        <v>1609</v>
      </c>
      <c r="G405" s="36">
        <v>1190</v>
      </c>
      <c r="H405" s="35">
        <v>8</v>
      </c>
      <c r="I405" s="1"/>
      <c r="J405" s="1"/>
    </row>
    <row r="406" spans="1:10" x14ac:dyDescent="0.25">
      <c r="A406" t="s">
        <v>77</v>
      </c>
      <c r="B406">
        <f t="shared" si="8"/>
        <v>0</v>
      </c>
      <c r="C406" s="35">
        <v>2003</v>
      </c>
      <c r="D406" s="35">
        <v>2002</v>
      </c>
      <c r="E406" s="35">
        <v>13</v>
      </c>
      <c r="F406" s="35">
        <v>6</v>
      </c>
      <c r="G406" s="35">
        <v>7</v>
      </c>
      <c r="H406" s="1" t="s">
        <v>2</v>
      </c>
      <c r="I406" s="1"/>
      <c r="J406" s="1"/>
    </row>
    <row r="407" spans="1:10" x14ac:dyDescent="0.25">
      <c r="A407" t="s">
        <v>77</v>
      </c>
      <c r="B407">
        <f t="shared" si="8"/>
        <v>0</v>
      </c>
      <c r="C407" s="35">
        <v>2003</v>
      </c>
      <c r="D407" s="35">
        <v>2003</v>
      </c>
      <c r="E407" s="36">
        <v>2794</v>
      </c>
      <c r="F407" s="36">
        <v>1603</v>
      </c>
      <c r="G407" s="36">
        <v>1183</v>
      </c>
      <c r="H407" s="35">
        <v>8</v>
      </c>
      <c r="I407" s="1"/>
      <c r="J407" s="1"/>
    </row>
    <row r="408" spans="1:10" x14ac:dyDescent="0.25">
      <c r="A408" t="s">
        <v>77</v>
      </c>
      <c r="B408">
        <f t="shared" si="8"/>
        <v>0</v>
      </c>
      <c r="C408" s="35">
        <v>2004</v>
      </c>
      <c r="D408" s="1" t="s">
        <v>4</v>
      </c>
      <c r="E408" s="36">
        <v>2676</v>
      </c>
      <c r="F408" s="36">
        <v>1493</v>
      </c>
      <c r="G408" s="36">
        <v>1171</v>
      </c>
      <c r="H408" s="35">
        <v>12</v>
      </c>
      <c r="I408" s="1"/>
      <c r="J408" s="1"/>
    </row>
    <row r="409" spans="1:10" x14ac:dyDescent="0.25">
      <c r="A409" t="s">
        <v>77</v>
      </c>
      <c r="B409">
        <f t="shared" si="8"/>
        <v>0</v>
      </c>
      <c r="C409" s="35">
        <v>2004</v>
      </c>
      <c r="D409" s="35">
        <v>2003</v>
      </c>
      <c r="E409" s="35">
        <v>22</v>
      </c>
      <c r="F409" s="35">
        <v>15</v>
      </c>
      <c r="G409" s="35">
        <v>7</v>
      </c>
      <c r="H409" s="1" t="s">
        <v>2</v>
      </c>
      <c r="I409" s="1"/>
      <c r="J409" s="1"/>
    </row>
    <row r="410" spans="1:10" x14ac:dyDescent="0.25">
      <c r="A410" t="s">
        <v>77</v>
      </c>
      <c r="B410">
        <f t="shared" si="8"/>
        <v>0</v>
      </c>
      <c r="C410" s="35">
        <v>2004</v>
      </c>
      <c r="D410" s="35">
        <v>2004</v>
      </c>
      <c r="E410" s="36">
        <v>2654</v>
      </c>
      <c r="F410" s="36">
        <v>1478</v>
      </c>
      <c r="G410" s="36">
        <v>1164</v>
      </c>
      <c r="H410" s="35">
        <v>12</v>
      </c>
      <c r="I410" s="1"/>
      <c r="J410" s="1"/>
    </row>
    <row r="411" spans="1:10" x14ac:dyDescent="0.25">
      <c r="A411" t="s">
        <v>77</v>
      </c>
      <c r="B411">
        <f t="shared" si="8"/>
        <v>0</v>
      </c>
      <c r="C411" s="35">
        <v>2005</v>
      </c>
      <c r="D411" s="1" t="s">
        <v>4</v>
      </c>
      <c r="E411" s="36">
        <v>2591</v>
      </c>
      <c r="F411" s="36">
        <v>1447</v>
      </c>
      <c r="G411" s="36">
        <v>1133</v>
      </c>
      <c r="H411" s="35">
        <v>11</v>
      </c>
      <c r="I411" s="1"/>
      <c r="J411" s="1"/>
    </row>
    <row r="412" spans="1:10" x14ac:dyDescent="0.25">
      <c r="A412" t="s">
        <v>77</v>
      </c>
      <c r="B412">
        <f t="shared" si="8"/>
        <v>0</v>
      </c>
      <c r="C412" s="35">
        <v>2005</v>
      </c>
      <c r="D412" s="35">
        <v>2000</v>
      </c>
      <c r="E412" s="35">
        <v>1</v>
      </c>
      <c r="F412" s="1" t="s">
        <v>2</v>
      </c>
      <c r="G412" s="35">
        <v>1</v>
      </c>
      <c r="H412" s="1" t="s">
        <v>2</v>
      </c>
      <c r="I412" s="1"/>
      <c r="J412" s="1"/>
    </row>
    <row r="413" spans="1:10" x14ac:dyDescent="0.25">
      <c r="A413" t="s">
        <v>77</v>
      </c>
      <c r="B413">
        <f t="shared" si="8"/>
        <v>0</v>
      </c>
      <c r="C413" s="35">
        <v>2005</v>
      </c>
      <c r="D413" s="35">
        <v>2004</v>
      </c>
      <c r="E413" s="35">
        <v>16</v>
      </c>
      <c r="F413" s="35">
        <v>11</v>
      </c>
      <c r="G413" s="35">
        <v>5</v>
      </c>
      <c r="H413" s="1" t="s">
        <v>2</v>
      </c>
      <c r="I413" s="1"/>
      <c r="J413" s="1"/>
    </row>
    <row r="414" spans="1:10" x14ac:dyDescent="0.25">
      <c r="A414" t="s">
        <v>77</v>
      </c>
      <c r="B414">
        <f t="shared" si="8"/>
        <v>0</v>
      </c>
      <c r="C414" s="35">
        <v>2005</v>
      </c>
      <c r="D414" s="35">
        <v>2005</v>
      </c>
      <c r="E414" s="36">
        <v>2574</v>
      </c>
      <c r="F414" s="36">
        <v>1436</v>
      </c>
      <c r="G414" s="36">
        <v>1127</v>
      </c>
      <c r="H414" s="35">
        <v>11</v>
      </c>
      <c r="I414" s="1"/>
      <c r="J414" s="1"/>
    </row>
    <row r="415" spans="1:10" x14ac:dyDescent="0.25">
      <c r="A415" t="s">
        <v>77</v>
      </c>
      <c r="B415">
        <f t="shared" si="8"/>
        <v>0</v>
      </c>
      <c r="C415" s="35">
        <v>2006</v>
      </c>
      <c r="D415" s="1" t="s">
        <v>4</v>
      </c>
      <c r="E415" s="36">
        <v>2399</v>
      </c>
      <c r="F415" s="36">
        <v>1338</v>
      </c>
      <c r="G415" s="36">
        <v>1046</v>
      </c>
      <c r="H415" s="35">
        <v>15</v>
      </c>
      <c r="I415" s="1"/>
      <c r="J415" s="1"/>
    </row>
    <row r="416" spans="1:10" x14ac:dyDescent="0.25">
      <c r="A416" t="s">
        <v>77</v>
      </c>
      <c r="B416">
        <f t="shared" si="8"/>
        <v>0</v>
      </c>
      <c r="C416" s="35">
        <v>2006</v>
      </c>
      <c r="D416" s="35">
        <v>2003</v>
      </c>
      <c r="E416" s="35">
        <v>1</v>
      </c>
      <c r="F416" s="35">
        <v>1</v>
      </c>
      <c r="G416" s="1" t="s">
        <v>2</v>
      </c>
      <c r="H416" s="1" t="s">
        <v>2</v>
      </c>
      <c r="I416" s="1"/>
      <c r="J416" s="1"/>
    </row>
    <row r="417" spans="1:10" x14ac:dyDescent="0.25">
      <c r="A417" t="s">
        <v>77</v>
      </c>
      <c r="B417">
        <f t="shared" si="8"/>
        <v>0</v>
      </c>
      <c r="C417" s="35">
        <v>2006</v>
      </c>
      <c r="D417" s="35">
        <v>2005</v>
      </c>
      <c r="E417" s="35">
        <v>13</v>
      </c>
      <c r="F417" s="35">
        <v>7</v>
      </c>
      <c r="G417" s="35">
        <v>6</v>
      </c>
      <c r="H417" s="1" t="s">
        <v>2</v>
      </c>
      <c r="I417" s="1"/>
      <c r="J417" s="1"/>
    </row>
    <row r="418" spans="1:10" x14ac:dyDescent="0.25">
      <c r="A418" t="s">
        <v>77</v>
      </c>
      <c r="B418">
        <f t="shared" si="8"/>
        <v>0</v>
      </c>
      <c r="C418" s="35">
        <v>2006</v>
      </c>
      <c r="D418" s="35">
        <v>2006</v>
      </c>
      <c r="E418" s="36">
        <v>2385</v>
      </c>
      <c r="F418" s="36">
        <v>1330</v>
      </c>
      <c r="G418" s="36">
        <v>1040</v>
      </c>
      <c r="H418" s="35">
        <v>15</v>
      </c>
      <c r="I418" s="1"/>
      <c r="J418" s="1"/>
    </row>
    <row r="419" spans="1:10" x14ac:dyDescent="0.25">
      <c r="A419" t="s">
        <v>77</v>
      </c>
      <c r="B419">
        <f t="shared" si="8"/>
        <v>0</v>
      </c>
      <c r="C419" s="35">
        <v>2007</v>
      </c>
      <c r="D419" s="1" t="s">
        <v>4</v>
      </c>
      <c r="E419" s="36">
        <v>2230</v>
      </c>
      <c r="F419" s="36">
        <v>1246</v>
      </c>
      <c r="G419" s="35">
        <v>972</v>
      </c>
      <c r="H419" s="35">
        <v>12</v>
      </c>
      <c r="I419" s="1"/>
      <c r="J419" s="1"/>
    </row>
    <row r="420" spans="1:10" x14ac:dyDescent="0.25">
      <c r="A420" t="s">
        <v>77</v>
      </c>
      <c r="B420">
        <f t="shared" si="8"/>
        <v>0</v>
      </c>
      <c r="C420" s="35">
        <v>2007</v>
      </c>
      <c r="D420" s="35">
        <v>2006</v>
      </c>
      <c r="E420" s="35">
        <v>6</v>
      </c>
      <c r="F420" s="35">
        <v>3</v>
      </c>
      <c r="G420" s="35">
        <v>3</v>
      </c>
      <c r="H420" s="1" t="s">
        <v>2</v>
      </c>
      <c r="I420" s="1"/>
      <c r="J420" s="1"/>
    </row>
    <row r="421" spans="1:10" x14ac:dyDescent="0.25">
      <c r="A421" t="s">
        <v>77</v>
      </c>
      <c r="B421">
        <f t="shared" si="8"/>
        <v>0</v>
      </c>
      <c r="C421" s="35">
        <v>2007</v>
      </c>
      <c r="D421" s="35">
        <v>2007</v>
      </c>
      <c r="E421" s="36">
        <v>2224</v>
      </c>
      <c r="F421" s="36">
        <v>1243</v>
      </c>
      <c r="G421" s="35">
        <v>969</v>
      </c>
      <c r="H421" s="35">
        <v>12</v>
      </c>
      <c r="I421" s="1"/>
      <c r="J421" s="1"/>
    </row>
    <row r="422" spans="1:10" x14ac:dyDescent="0.25">
      <c r="A422" t="s">
        <v>77</v>
      </c>
      <c r="B422">
        <f t="shared" si="8"/>
        <v>0</v>
      </c>
      <c r="C422" s="35">
        <v>2008</v>
      </c>
      <c r="D422" s="1" t="s">
        <v>4</v>
      </c>
      <c r="E422" s="36">
        <v>2221</v>
      </c>
      <c r="F422" s="36">
        <v>1263</v>
      </c>
      <c r="G422" s="35">
        <v>947</v>
      </c>
      <c r="H422" s="35">
        <v>11</v>
      </c>
      <c r="I422" s="1"/>
      <c r="J422" s="1"/>
    </row>
    <row r="423" spans="1:10" x14ac:dyDescent="0.25">
      <c r="A423" t="s">
        <v>77</v>
      </c>
      <c r="B423">
        <f t="shared" si="8"/>
        <v>0</v>
      </c>
      <c r="C423" s="35">
        <v>2008</v>
      </c>
      <c r="D423" s="35">
        <v>2006</v>
      </c>
      <c r="E423" s="35">
        <v>1</v>
      </c>
      <c r="F423" s="1" t="s">
        <v>2</v>
      </c>
      <c r="G423" s="35">
        <v>1</v>
      </c>
      <c r="H423" s="1" t="s">
        <v>2</v>
      </c>
      <c r="I423" s="1"/>
      <c r="J423" s="1"/>
    </row>
    <row r="424" spans="1:10" x14ac:dyDescent="0.25">
      <c r="A424" t="s">
        <v>77</v>
      </c>
      <c r="B424">
        <f t="shared" si="8"/>
        <v>0</v>
      </c>
      <c r="C424" s="35">
        <v>2008</v>
      </c>
      <c r="D424" s="35">
        <v>2007</v>
      </c>
      <c r="E424" s="35">
        <v>4</v>
      </c>
      <c r="F424" s="35">
        <v>2</v>
      </c>
      <c r="G424" s="35">
        <v>2</v>
      </c>
      <c r="H424" s="1" t="s">
        <v>2</v>
      </c>
      <c r="I424" s="1"/>
      <c r="J424" s="1"/>
    </row>
    <row r="425" spans="1:10" x14ac:dyDescent="0.25">
      <c r="A425" t="s">
        <v>77</v>
      </c>
      <c r="B425">
        <f t="shared" si="8"/>
        <v>0</v>
      </c>
      <c r="C425" s="35">
        <v>2008</v>
      </c>
      <c r="D425" s="35">
        <v>2008</v>
      </c>
      <c r="E425" s="36">
        <v>2216</v>
      </c>
      <c r="F425" s="36">
        <v>1261</v>
      </c>
      <c r="G425" s="35">
        <v>944</v>
      </c>
      <c r="H425" s="35">
        <v>11</v>
      </c>
      <c r="I425" s="1"/>
      <c r="J425" s="1"/>
    </row>
    <row r="426" spans="1:10" x14ac:dyDescent="0.25">
      <c r="A426" t="s">
        <v>77</v>
      </c>
      <c r="B426">
        <f t="shared" si="8"/>
        <v>0</v>
      </c>
      <c r="C426" s="35">
        <v>2009</v>
      </c>
      <c r="D426" s="1" t="s">
        <v>4</v>
      </c>
      <c r="E426" s="36">
        <v>2137</v>
      </c>
      <c r="F426" s="36">
        <v>1178</v>
      </c>
      <c r="G426" s="35">
        <v>952</v>
      </c>
      <c r="H426" s="35">
        <v>7</v>
      </c>
      <c r="I426" s="1"/>
      <c r="J426" s="1"/>
    </row>
    <row r="427" spans="1:10" x14ac:dyDescent="0.25">
      <c r="A427" t="s">
        <v>77</v>
      </c>
      <c r="B427">
        <f t="shared" si="8"/>
        <v>0</v>
      </c>
      <c r="C427" s="35">
        <v>2009</v>
      </c>
      <c r="D427" s="35">
        <v>2008</v>
      </c>
      <c r="E427" s="35">
        <v>2</v>
      </c>
      <c r="F427" s="1" t="s">
        <v>2</v>
      </c>
      <c r="G427" s="35">
        <v>2</v>
      </c>
      <c r="H427" s="1" t="s">
        <v>2</v>
      </c>
      <c r="I427" s="1"/>
      <c r="J427" s="1"/>
    </row>
    <row r="428" spans="1:10" x14ac:dyDescent="0.25">
      <c r="A428" t="s">
        <v>77</v>
      </c>
      <c r="B428">
        <f t="shared" si="8"/>
        <v>0</v>
      </c>
      <c r="C428" s="35">
        <v>2009</v>
      </c>
      <c r="D428" s="35">
        <v>2009</v>
      </c>
      <c r="E428" s="36">
        <v>2134</v>
      </c>
      <c r="F428" s="36">
        <v>1177</v>
      </c>
      <c r="G428" s="35">
        <v>950</v>
      </c>
      <c r="H428" s="35">
        <v>7</v>
      </c>
      <c r="I428" s="1"/>
      <c r="J428" s="1"/>
    </row>
    <row r="429" spans="1:10" x14ac:dyDescent="0.25">
      <c r="A429" t="s">
        <v>77</v>
      </c>
      <c r="B429">
        <f t="shared" si="8"/>
        <v>0</v>
      </c>
      <c r="C429" s="35">
        <v>2009</v>
      </c>
      <c r="D429" s="1" t="s">
        <v>24</v>
      </c>
      <c r="E429" s="35">
        <v>1</v>
      </c>
      <c r="F429" s="35">
        <v>1</v>
      </c>
      <c r="G429" s="1" t="s">
        <v>2</v>
      </c>
      <c r="H429" s="1" t="s">
        <v>2</v>
      </c>
      <c r="I429" s="1"/>
      <c r="J429" s="1"/>
    </row>
    <row r="430" spans="1:10" x14ac:dyDescent="0.25">
      <c r="A430" t="s">
        <v>77</v>
      </c>
      <c r="B430">
        <f t="shared" si="8"/>
        <v>0</v>
      </c>
      <c r="C430" s="35">
        <v>2010</v>
      </c>
      <c r="D430" s="1" t="s">
        <v>4</v>
      </c>
      <c r="E430" s="36">
        <v>2046</v>
      </c>
      <c r="F430" s="36">
        <v>1155</v>
      </c>
      <c r="G430" s="35">
        <v>884</v>
      </c>
      <c r="H430" s="35">
        <v>7</v>
      </c>
      <c r="I430" s="1"/>
      <c r="J430" s="1"/>
    </row>
    <row r="431" spans="1:10" x14ac:dyDescent="0.25">
      <c r="A431" t="s">
        <v>77</v>
      </c>
      <c r="B431">
        <f t="shared" si="8"/>
        <v>0</v>
      </c>
      <c r="C431" s="35">
        <v>2010</v>
      </c>
      <c r="D431" s="35">
        <v>2009</v>
      </c>
      <c r="E431" s="35">
        <v>6</v>
      </c>
      <c r="F431" s="35">
        <v>4</v>
      </c>
      <c r="G431" s="35">
        <v>2</v>
      </c>
      <c r="H431" s="1" t="s">
        <v>2</v>
      </c>
      <c r="I431" s="1"/>
      <c r="J431" s="1"/>
    </row>
    <row r="432" spans="1:10" x14ac:dyDescent="0.25">
      <c r="A432" t="s">
        <v>77</v>
      </c>
      <c r="B432">
        <f t="shared" si="8"/>
        <v>0</v>
      </c>
      <c r="C432" s="35">
        <v>2010</v>
      </c>
      <c r="D432" s="35">
        <v>2010</v>
      </c>
      <c r="E432" s="36">
        <v>2040</v>
      </c>
      <c r="F432" s="36">
        <v>1151</v>
      </c>
      <c r="G432" s="35">
        <v>882</v>
      </c>
      <c r="H432" s="35">
        <v>7</v>
      </c>
      <c r="I432" s="1"/>
      <c r="J432" s="1"/>
    </row>
    <row r="433" spans="1:10" x14ac:dyDescent="0.25">
      <c r="A433" t="s">
        <v>77</v>
      </c>
      <c r="B433">
        <f t="shared" si="8"/>
        <v>0</v>
      </c>
      <c r="C433" s="35">
        <v>2011</v>
      </c>
      <c r="D433" s="1" t="s">
        <v>4</v>
      </c>
      <c r="E433" s="36">
        <v>1967</v>
      </c>
      <c r="F433" s="36">
        <v>1128</v>
      </c>
      <c r="G433" s="35">
        <v>831</v>
      </c>
      <c r="H433" s="35">
        <v>8</v>
      </c>
      <c r="I433" s="1"/>
      <c r="J433" s="1"/>
    </row>
    <row r="434" spans="1:10" x14ac:dyDescent="0.25">
      <c r="A434" t="s">
        <v>77</v>
      </c>
      <c r="B434">
        <f t="shared" si="8"/>
        <v>0</v>
      </c>
      <c r="C434" s="35">
        <v>2011</v>
      </c>
      <c r="D434" s="35">
        <v>2010</v>
      </c>
      <c r="E434" s="35">
        <v>4</v>
      </c>
      <c r="F434" s="35">
        <v>1</v>
      </c>
      <c r="G434" s="35">
        <v>3</v>
      </c>
      <c r="H434" s="1" t="s">
        <v>2</v>
      </c>
      <c r="I434" s="1"/>
      <c r="J434" s="1"/>
    </row>
    <row r="435" spans="1:10" x14ac:dyDescent="0.25">
      <c r="A435" t="s">
        <v>77</v>
      </c>
      <c r="B435">
        <f t="shared" si="8"/>
        <v>0</v>
      </c>
      <c r="C435" s="35">
        <v>2011</v>
      </c>
      <c r="D435" s="35">
        <v>2011</v>
      </c>
      <c r="E435" s="36">
        <v>1963</v>
      </c>
      <c r="F435" s="36">
        <v>1127</v>
      </c>
      <c r="G435" s="35">
        <v>828</v>
      </c>
      <c r="H435" s="35">
        <v>8</v>
      </c>
      <c r="I435" s="1"/>
      <c r="J435" s="1"/>
    </row>
    <row r="436" spans="1:10" x14ac:dyDescent="0.25">
      <c r="A436" t="s">
        <v>77</v>
      </c>
      <c r="B436">
        <f t="shared" si="8"/>
        <v>0</v>
      </c>
      <c r="C436" s="35">
        <v>2012</v>
      </c>
      <c r="D436" s="1" t="s">
        <v>4</v>
      </c>
      <c r="E436" s="36">
        <v>1869</v>
      </c>
      <c r="F436" s="35">
        <v>984</v>
      </c>
      <c r="G436" s="35">
        <v>876</v>
      </c>
      <c r="H436" s="35">
        <v>9</v>
      </c>
      <c r="I436" s="1"/>
      <c r="J436" s="1"/>
    </row>
    <row r="437" spans="1:10" x14ac:dyDescent="0.25">
      <c r="A437" t="s">
        <v>77</v>
      </c>
      <c r="B437">
        <f t="shared" si="8"/>
        <v>0</v>
      </c>
      <c r="C437" s="35">
        <v>2012</v>
      </c>
      <c r="D437" s="35">
        <v>2011</v>
      </c>
      <c r="E437" s="35">
        <v>5</v>
      </c>
      <c r="F437" s="35">
        <v>4</v>
      </c>
      <c r="G437" s="35">
        <v>1</v>
      </c>
      <c r="H437" s="1" t="s">
        <v>2</v>
      </c>
      <c r="I437" s="1"/>
      <c r="J437" s="1"/>
    </row>
    <row r="438" spans="1:10" x14ac:dyDescent="0.25">
      <c r="A438" t="s">
        <v>77</v>
      </c>
      <c r="B438">
        <f t="shared" si="8"/>
        <v>0</v>
      </c>
      <c r="C438" s="35">
        <v>2012</v>
      </c>
      <c r="D438" s="35">
        <v>2012</v>
      </c>
      <c r="E438" s="36">
        <v>1864</v>
      </c>
      <c r="F438" s="35">
        <v>980</v>
      </c>
      <c r="G438" s="35">
        <v>875</v>
      </c>
      <c r="H438" s="35">
        <v>9</v>
      </c>
      <c r="I438" s="1"/>
      <c r="J438" s="1"/>
    </row>
    <row r="439" spans="1:10" x14ac:dyDescent="0.25">
      <c r="A439" t="s">
        <v>77</v>
      </c>
      <c r="B439">
        <f t="shared" si="8"/>
        <v>0</v>
      </c>
      <c r="C439" s="35">
        <v>2013</v>
      </c>
      <c r="D439" s="1" t="s">
        <v>4</v>
      </c>
      <c r="E439" s="36">
        <v>1767</v>
      </c>
      <c r="F439" s="36">
        <v>1020</v>
      </c>
      <c r="G439" s="35">
        <v>740</v>
      </c>
      <c r="H439" s="35">
        <v>7</v>
      </c>
      <c r="I439" s="1"/>
      <c r="J439" s="1"/>
    </row>
    <row r="440" spans="1:10" x14ac:dyDescent="0.25">
      <c r="A440" t="s">
        <v>77</v>
      </c>
      <c r="B440">
        <f t="shared" si="8"/>
        <v>0</v>
      </c>
      <c r="C440" s="35">
        <v>2013</v>
      </c>
      <c r="D440" s="35">
        <v>2012</v>
      </c>
      <c r="E440" s="35">
        <v>4</v>
      </c>
      <c r="F440" s="35">
        <v>1</v>
      </c>
      <c r="G440" s="35">
        <v>3</v>
      </c>
      <c r="H440" s="1" t="s">
        <v>2</v>
      </c>
      <c r="I440" s="1"/>
      <c r="J440" s="1"/>
    </row>
    <row r="441" spans="1:10" x14ac:dyDescent="0.25">
      <c r="A441" t="s">
        <v>77</v>
      </c>
      <c r="B441">
        <f t="shared" si="8"/>
        <v>0</v>
      </c>
      <c r="C441" s="35">
        <v>2013</v>
      </c>
      <c r="D441" s="35">
        <v>2013</v>
      </c>
      <c r="E441" s="36">
        <v>1763</v>
      </c>
      <c r="F441" s="36">
        <v>1019</v>
      </c>
      <c r="G441" s="35">
        <v>737</v>
      </c>
      <c r="H441" s="35">
        <v>7</v>
      </c>
      <c r="I441" s="1"/>
      <c r="J441" s="1"/>
    </row>
    <row r="442" spans="1:10" x14ac:dyDescent="0.25">
      <c r="A442" t="s">
        <v>77</v>
      </c>
      <c r="B442">
        <f t="shared" si="8"/>
        <v>0</v>
      </c>
      <c r="C442" s="35">
        <v>2014</v>
      </c>
      <c r="D442" s="1" t="s">
        <v>4</v>
      </c>
      <c r="E442" s="36">
        <v>1555</v>
      </c>
      <c r="F442" s="35">
        <v>884</v>
      </c>
      <c r="G442" s="35">
        <v>665</v>
      </c>
      <c r="H442" s="35">
        <v>6</v>
      </c>
      <c r="I442" s="1"/>
      <c r="J442" s="1"/>
    </row>
    <row r="443" spans="1:10" x14ac:dyDescent="0.25">
      <c r="A443" t="s">
        <v>77</v>
      </c>
      <c r="B443">
        <f t="shared" si="8"/>
        <v>0</v>
      </c>
      <c r="C443" s="35">
        <v>2014</v>
      </c>
      <c r="D443" s="35">
        <v>2013</v>
      </c>
      <c r="E443" s="35">
        <v>3</v>
      </c>
      <c r="F443" s="1" t="s">
        <v>2</v>
      </c>
      <c r="G443" s="35">
        <v>3</v>
      </c>
      <c r="H443" s="1" t="s">
        <v>2</v>
      </c>
      <c r="I443" s="1"/>
      <c r="J443" s="1"/>
    </row>
    <row r="444" spans="1:10" x14ac:dyDescent="0.25">
      <c r="A444" t="s">
        <v>77</v>
      </c>
      <c r="B444">
        <f t="shared" si="8"/>
        <v>0</v>
      </c>
      <c r="C444" s="35">
        <v>2014</v>
      </c>
      <c r="D444" s="35">
        <v>2014</v>
      </c>
      <c r="E444" s="36">
        <v>1552</v>
      </c>
      <c r="F444" s="35">
        <v>884</v>
      </c>
      <c r="G444" s="35">
        <v>662</v>
      </c>
      <c r="H444" s="35">
        <v>6</v>
      </c>
      <c r="I444" s="1"/>
      <c r="J444" s="1"/>
    </row>
    <row r="445" spans="1:10" x14ac:dyDescent="0.25">
      <c r="A445" t="s">
        <v>77</v>
      </c>
      <c r="B445">
        <f t="shared" si="8"/>
        <v>0</v>
      </c>
      <c r="C445" s="35">
        <v>2015</v>
      </c>
      <c r="D445" s="1" t="s">
        <v>4</v>
      </c>
      <c r="E445" s="36">
        <v>1580</v>
      </c>
      <c r="F445" s="35">
        <v>886</v>
      </c>
      <c r="G445" s="35">
        <v>685</v>
      </c>
      <c r="H445" s="35">
        <v>9</v>
      </c>
      <c r="I445" s="1"/>
      <c r="J445" s="1"/>
    </row>
    <row r="446" spans="1:10" x14ac:dyDescent="0.25">
      <c r="A446" t="s">
        <v>77</v>
      </c>
      <c r="B446">
        <f t="shared" si="8"/>
        <v>0</v>
      </c>
      <c r="C446" s="35">
        <v>2015</v>
      </c>
      <c r="D446" s="35">
        <v>2015</v>
      </c>
      <c r="E446" s="36">
        <v>1580</v>
      </c>
      <c r="F446" s="35">
        <v>886</v>
      </c>
      <c r="G446" s="35">
        <v>685</v>
      </c>
      <c r="H446" s="35">
        <v>9</v>
      </c>
      <c r="I446" s="1"/>
      <c r="J446" s="1"/>
    </row>
    <row r="447" spans="1:10" x14ac:dyDescent="0.25">
      <c r="A447" t="s">
        <v>77</v>
      </c>
      <c r="B447">
        <f t="shared" si="8"/>
        <v>0</v>
      </c>
      <c r="C447" s="35">
        <v>2016</v>
      </c>
      <c r="D447" s="1" t="s">
        <v>4</v>
      </c>
      <c r="E447" s="36">
        <v>1425</v>
      </c>
      <c r="F447" s="35">
        <v>784</v>
      </c>
      <c r="G447" s="35">
        <v>636</v>
      </c>
      <c r="H447" s="35">
        <v>5</v>
      </c>
      <c r="I447" s="1"/>
      <c r="J447" s="1"/>
    </row>
    <row r="448" spans="1:10" x14ac:dyDescent="0.25">
      <c r="A448" t="s">
        <v>77</v>
      </c>
      <c r="B448">
        <f t="shared" si="8"/>
        <v>0</v>
      </c>
      <c r="C448" s="35">
        <v>2016</v>
      </c>
      <c r="D448" s="35">
        <v>2015</v>
      </c>
      <c r="E448" s="35">
        <v>4</v>
      </c>
      <c r="F448" s="35">
        <v>2</v>
      </c>
      <c r="G448" s="35">
        <v>2</v>
      </c>
      <c r="H448" s="1" t="s">
        <v>2</v>
      </c>
      <c r="I448" s="1"/>
      <c r="J448" s="1"/>
    </row>
    <row r="449" spans="1:27" x14ac:dyDescent="0.25">
      <c r="A449" t="s">
        <v>77</v>
      </c>
      <c r="B449">
        <f t="shared" si="8"/>
        <v>0</v>
      </c>
      <c r="C449" s="35">
        <v>2016</v>
      </c>
      <c r="D449" s="35">
        <v>2016</v>
      </c>
      <c r="E449" s="36">
        <v>1421</v>
      </c>
      <c r="F449" s="35">
        <v>782</v>
      </c>
      <c r="G449" s="35">
        <v>634</v>
      </c>
      <c r="H449" s="35">
        <v>5</v>
      </c>
      <c r="I449" s="1"/>
      <c r="J449" s="1"/>
    </row>
    <row r="450" spans="1:27" x14ac:dyDescent="0.25">
      <c r="A450" t="s">
        <v>77</v>
      </c>
      <c r="B450">
        <f t="shared" si="8"/>
        <v>0</v>
      </c>
      <c r="C450" s="35">
        <v>2017</v>
      </c>
      <c r="D450" s="1" t="s">
        <v>4</v>
      </c>
      <c r="E450" s="36">
        <v>1386</v>
      </c>
      <c r="F450" s="35">
        <v>757</v>
      </c>
      <c r="G450" s="35">
        <v>623</v>
      </c>
      <c r="H450" s="35">
        <v>6</v>
      </c>
      <c r="I450" s="1"/>
      <c r="J450" s="1"/>
      <c r="K450" s="1"/>
      <c r="AA450" s="1"/>
    </row>
    <row r="451" spans="1:27" x14ac:dyDescent="0.25">
      <c r="A451" t="s">
        <v>77</v>
      </c>
      <c r="B451">
        <f t="shared" si="8"/>
        <v>0</v>
      </c>
      <c r="C451" s="35">
        <v>2017</v>
      </c>
      <c r="D451" s="35">
        <v>2016</v>
      </c>
      <c r="E451" s="35">
        <v>1</v>
      </c>
      <c r="F451" s="35">
        <v>1</v>
      </c>
      <c r="G451" s="1" t="s">
        <v>2</v>
      </c>
      <c r="H451" s="1" t="s">
        <v>2</v>
      </c>
      <c r="I451" s="1"/>
      <c r="J451" s="1"/>
      <c r="K451" s="1"/>
      <c r="AA451" s="1"/>
    </row>
    <row r="452" spans="1:27" x14ac:dyDescent="0.25">
      <c r="A452" t="s">
        <v>77</v>
      </c>
      <c r="B452">
        <f t="shared" si="8"/>
        <v>0</v>
      </c>
      <c r="C452" s="35">
        <v>2017</v>
      </c>
      <c r="D452" s="35">
        <v>2017</v>
      </c>
      <c r="E452" s="36">
        <v>1385</v>
      </c>
      <c r="F452" s="35">
        <v>756</v>
      </c>
      <c r="G452" s="35">
        <v>623</v>
      </c>
      <c r="H452" s="35">
        <v>6</v>
      </c>
      <c r="I452" s="1"/>
      <c r="J452" s="1"/>
      <c r="K452" s="1"/>
      <c r="AA452" s="1"/>
    </row>
    <row r="453" spans="1:27" x14ac:dyDescent="0.25">
      <c r="A453" t="s">
        <v>77</v>
      </c>
      <c r="B453">
        <f t="shared" si="8"/>
        <v>0</v>
      </c>
      <c r="C453" s="35">
        <v>2018</v>
      </c>
      <c r="D453" s="1" t="s">
        <v>4</v>
      </c>
      <c r="E453" s="36">
        <v>1226</v>
      </c>
      <c r="F453" s="35">
        <v>669</v>
      </c>
      <c r="G453" s="35">
        <v>551</v>
      </c>
      <c r="H453" s="35">
        <v>6</v>
      </c>
      <c r="I453" s="1"/>
      <c r="J453" s="1"/>
      <c r="K453" s="1"/>
      <c r="AA453" s="1"/>
    </row>
    <row r="454" spans="1:27" x14ac:dyDescent="0.25">
      <c r="A454" t="s">
        <v>77</v>
      </c>
      <c r="B454">
        <f t="shared" si="8"/>
        <v>0</v>
      </c>
      <c r="C454" s="35">
        <v>2018</v>
      </c>
      <c r="D454" s="35">
        <v>2017</v>
      </c>
      <c r="E454" s="35">
        <v>3</v>
      </c>
      <c r="F454" s="35">
        <v>2</v>
      </c>
      <c r="G454" s="35">
        <v>1</v>
      </c>
      <c r="H454" s="1" t="s">
        <v>2</v>
      </c>
      <c r="I454" s="1"/>
      <c r="J454" s="1"/>
      <c r="K454" s="1"/>
      <c r="AA454" s="1"/>
    </row>
    <row r="455" spans="1:27" x14ac:dyDescent="0.25">
      <c r="A455" t="s">
        <v>77</v>
      </c>
      <c r="B455">
        <f t="shared" ref="B455:B518" si="9">IF(A455="Menores de 1 año",0,LEFT(A455,2))</f>
        <v>0</v>
      </c>
      <c r="C455" s="35">
        <v>2018</v>
      </c>
      <c r="D455" s="35">
        <v>2018</v>
      </c>
      <c r="E455" s="36">
        <v>1223</v>
      </c>
      <c r="F455" s="35">
        <v>667</v>
      </c>
      <c r="G455" s="35">
        <v>550</v>
      </c>
      <c r="H455" s="35">
        <v>6</v>
      </c>
      <c r="I455" s="1"/>
      <c r="J455" s="1"/>
      <c r="K455" s="1"/>
      <c r="AA455" s="1"/>
    </row>
    <row r="456" spans="1:27" x14ac:dyDescent="0.25">
      <c r="A456" t="s">
        <v>77</v>
      </c>
      <c r="B456">
        <f t="shared" si="9"/>
        <v>0</v>
      </c>
      <c r="C456" s="35">
        <v>2019</v>
      </c>
      <c r="D456" s="1" t="s">
        <v>4</v>
      </c>
      <c r="E456" s="36">
        <v>1181</v>
      </c>
      <c r="F456" s="35">
        <v>694</v>
      </c>
      <c r="G456" s="35">
        <v>485</v>
      </c>
      <c r="H456" s="35">
        <v>2</v>
      </c>
      <c r="I456" s="1"/>
      <c r="J456" s="1"/>
      <c r="K456" s="1"/>
      <c r="AA456" s="1"/>
    </row>
    <row r="457" spans="1:27" x14ac:dyDescent="0.25">
      <c r="A457" t="s">
        <v>77</v>
      </c>
      <c r="B457">
        <f t="shared" si="9"/>
        <v>0</v>
      </c>
      <c r="C457" s="35">
        <v>2019</v>
      </c>
      <c r="D457" s="35">
        <v>2019</v>
      </c>
      <c r="E457" s="36">
        <v>1181</v>
      </c>
      <c r="F457" s="35">
        <v>694</v>
      </c>
      <c r="G457" s="35">
        <v>485</v>
      </c>
      <c r="H457" s="35">
        <v>2</v>
      </c>
      <c r="I457" s="1"/>
      <c r="J457" s="1"/>
      <c r="K457" s="1"/>
      <c r="AA457" s="1"/>
    </row>
    <row r="458" spans="1:27" x14ac:dyDescent="0.25">
      <c r="A458" t="s">
        <v>77</v>
      </c>
      <c r="B458">
        <f t="shared" si="9"/>
        <v>0</v>
      </c>
      <c r="C458" s="35">
        <v>2020</v>
      </c>
      <c r="D458" s="1" t="s">
        <v>4</v>
      </c>
      <c r="E458" s="36">
        <v>1105</v>
      </c>
      <c r="F458" s="35">
        <v>618</v>
      </c>
      <c r="G458" s="35">
        <v>486</v>
      </c>
      <c r="H458" s="35">
        <v>1</v>
      </c>
      <c r="I458" s="1"/>
      <c r="J458" s="1"/>
      <c r="K458" s="1"/>
      <c r="AA458" s="1"/>
    </row>
    <row r="459" spans="1:27" x14ac:dyDescent="0.25">
      <c r="A459" t="s">
        <v>77</v>
      </c>
      <c r="B459">
        <f t="shared" si="9"/>
        <v>0</v>
      </c>
      <c r="C459" s="35">
        <v>2020</v>
      </c>
      <c r="D459" s="35">
        <v>2019</v>
      </c>
      <c r="E459" s="35">
        <v>1</v>
      </c>
      <c r="F459" s="1" t="s">
        <v>2</v>
      </c>
      <c r="G459" s="35">
        <v>1</v>
      </c>
      <c r="H459" s="1" t="s">
        <v>2</v>
      </c>
      <c r="I459" s="1"/>
      <c r="J459" s="1"/>
      <c r="K459" s="1"/>
      <c r="AA459" s="1"/>
    </row>
    <row r="460" spans="1:27" x14ac:dyDescent="0.25">
      <c r="A460" t="s">
        <v>77</v>
      </c>
      <c r="B460">
        <f t="shared" si="9"/>
        <v>0</v>
      </c>
      <c r="C460" s="35">
        <v>2020</v>
      </c>
      <c r="D460" s="35">
        <v>2020</v>
      </c>
      <c r="E460" s="36">
        <v>1104</v>
      </c>
      <c r="F460" s="35">
        <v>618</v>
      </c>
      <c r="G460" s="35">
        <v>485</v>
      </c>
      <c r="H460" s="35">
        <v>1</v>
      </c>
      <c r="I460" s="1"/>
      <c r="J460" s="1"/>
      <c r="K460" s="1"/>
      <c r="AA460" s="1"/>
    </row>
    <row r="461" spans="1:27" x14ac:dyDescent="0.25">
      <c r="A461" t="s">
        <v>77</v>
      </c>
      <c r="B461">
        <f t="shared" si="9"/>
        <v>0</v>
      </c>
      <c r="C461" s="35">
        <v>2021</v>
      </c>
      <c r="D461" s="1" t="s">
        <v>4</v>
      </c>
      <c r="E461" s="35">
        <v>930</v>
      </c>
      <c r="F461" s="35">
        <v>496</v>
      </c>
      <c r="G461" s="35">
        <v>429</v>
      </c>
      <c r="H461" s="35">
        <v>5</v>
      </c>
      <c r="I461" s="1"/>
      <c r="J461" s="1"/>
      <c r="K461" s="1"/>
      <c r="AA461" s="1"/>
    </row>
    <row r="462" spans="1:27" x14ac:dyDescent="0.25">
      <c r="A462" t="s">
        <v>77</v>
      </c>
      <c r="B462">
        <f t="shared" si="9"/>
        <v>0</v>
      </c>
      <c r="C462" s="35">
        <v>2021</v>
      </c>
      <c r="D462" s="35">
        <v>2020</v>
      </c>
      <c r="E462" s="35">
        <v>3</v>
      </c>
      <c r="F462" s="35">
        <v>1</v>
      </c>
      <c r="G462" s="35">
        <v>2</v>
      </c>
      <c r="H462" s="1" t="s">
        <v>2</v>
      </c>
      <c r="I462" s="1"/>
      <c r="J462" s="1"/>
      <c r="K462" s="1"/>
      <c r="AA462" s="1"/>
    </row>
    <row r="463" spans="1:27" x14ac:dyDescent="0.25">
      <c r="A463" t="s">
        <v>77</v>
      </c>
      <c r="B463">
        <f t="shared" si="9"/>
        <v>0</v>
      </c>
      <c r="C463" s="35">
        <v>2021</v>
      </c>
      <c r="D463" s="35">
        <v>2021</v>
      </c>
      <c r="E463" s="35">
        <v>927</v>
      </c>
      <c r="F463" s="35">
        <v>495</v>
      </c>
      <c r="G463" s="35">
        <v>427</v>
      </c>
      <c r="H463" s="35">
        <v>5</v>
      </c>
      <c r="I463" s="1"/>
      <c r="J463" s="1"/>
      <c r="K463" s="1"/>
      <c r="AA463" s="1"/>
    </row>
    <row r="464" spans="1:27" x14ac:dyDescent="0.25">
      <c r="A464" t="s">
        <v>77</v>
      </c>
      <c r="B464">
        <f t="shared" si="9"/>
        <v>0</v>
      </c>
      <c r="C464" s="35">
        <v>2022</v>
      </c>
      <c r="D464" s="1" t="s">
        <v>4</v>
      </c>
      <c r="E464" s="36">
        <v>1020</v>
      </c>
      <c r="F464" s="35">
        <v>557</v>
      </c>
      <c r="G464" s="35">
        <v>460</v>
      </c>
      <c r="H464" s="35">
        <v>3</v>
      </c>
      <c r="I464" s="1"/>
      <c r="J464" s="1"/>
      <c r="K464" s="1"/>
      <c r="AA464" s="1"/>
    </row>
    <row r="465" spans="1:27" x14ac:dyDescent="0.25">
      <c r="A465" t="s">
        <v>77</v>
      </c>
      <c r="B465">
        <f t="shared" si="9"/>
        <v>0</v>
      </c>
      <c r="C465" s="35">
        <v>2022</v>
      </c>
      <c r="D465" s="35">
        <v>2022</v>
      </c>
      <c r="E465" s="36">
        <v>1020</v>
      </c>
      <c r="F465" s="35">
        <v>557</v>
      </c>
      <c r="G465" s="35">
        <v>460</v>
      </c>
      <c r="H465" s="35">
        <v>3</v>
      </c>
      <c r="I465" s="1"/>
      <c r="J465" s="1"/>
      <c r="K465" s="1"/>
      <c r="AA465" s="1"/>
    </row>
    <row r="466" spans="1:27" x14ac:dyDescent="0.25">
      <c r="A466" t="s">
        <v>77</v>
      </c>
      <c r="B466">
        <f t="shared" si="9"/>
        <v>0</v>
      </c>
      <c r="C466" s="35">
        <v>2023</v>
      </c>
      <c r="D466" s="1" t="s">
        <v>4</v>
      </c>
      <c r="E466" s="36">
        <v>1014</v>
      </c>
      <c r="F466" s="35">
        <v>580</v>
      </c>
      <c r="G466" s="35">
        <v>433</v>
      </c>
      <c r="H466" s="35">
        <v>1</v>
      </c>
      <c r="I466" s="1"/>
      <c r="J466" s="1"/>
      <c r="K466" s="1"/>
      <c r="AA466" s="1"/>
    </row>
    <row r="467" spans="1:27" x14ac:dyDescent="0.25">
      <c r="A467" t="s">
        <v>77</v>
      </c>
      <c r="B467">
        <f t="shared" si="9"/>
        <v>0</v>
      </c>
      <c r="C467" s="35">
        <v>2023</v>
      </c>
      <c r="D467" s="35">
        <v>2023</v>
      </c>
      <c r="E467" s="36">
        <v>1014</v>
      </c>
      <c r="F467" s="35">
        <v>580</v>
      </c>
      <c r="G467" s="35">
        <v>433</v>
      </c>
      <c r="H467" s="35">
        <v>1</v>
      </c>
      <c r="I467" s="1"/>
      <c r="J467" s="1"/>
      <c r="K467" s="1"/>
      <c r="AA467" s="1"/>
    </row>
    <row r="468" spans="1:27" x14ac:dyDescent="0.25">
      <c r="A468" t="s">
        <v>77</v>
      </c>
      <c r="B468">
        <f t="shared" si="9"/>
        <v>0</v>
      </c>
      <c r="C468" s="35">
        <v>2024</v>
      </c>
      <c r="D468" s="1" t="s">
        <v>4</v>
      </c>
      <c r="E468" s="35">
        <v>915</v>
      </c>
      <c r="F468" s="35">
        <v>523</v>
      </c>
      <c r="G468" s="35">
        <v>389</v>
      </c>
      <c r="H468" s="35">
        <v>3</v>
      </c>
      <c r="I468" s="1"/>
      <c r="J468" s="1"/>
      <c r="K468" s="1"/>
      <c r="AA468" s="1"/>
    </row>
    <row r="469" spans="1:27" x14ac:dyDescent="0.25">
      <c r="A469" t="s">
        <v>77</v>
      </c>
      <c r="B469">
        <f t="shared" si="9"/>
        <v>0</v>
      </c>
      <c r="C469" s="35">
        <v>2024</v>
      </c>
      <c r="D469" s="35">
        <v>2024</v>
      </c>
      <c r="E469" s="35">
        <v>915</v>
      </c>
      <c r="F469" s="35">
        <v>523</v>
      </c>
      <c r="G469" s="35">
        <v>389</v>
      </c>
      <c r="H469" s="35">
        <v>3</v>
      </c>
      <c r="I469" s="1"/>
      <c r="J469" s="1"/>
      <c r="K469" s="1"/>
      <c r="AA469" s="1"/>
    </row>
    <row r="470" spans="1:27" x14ac:dyDescent="0.25">
      <c r="A470" t="s">
        <v>78</v>
      </c>
      <c r="B470" t="str">
        <f t="shared" si="9"/>
        <v>1-</v>
      </c>
      <c r="C470" s="35">
        <v>1990</v>
      </c>
      <c r="D470" s="1" t="s">
        <v>4</v>
      </c>
      <c r="E470" s="35">
        <v>693</v>
      </c>
      <c r="F470" s="35">
        <v>390</v>
      </c>
      <c r="G470" s="35">
        <v>303</v>
      </c>
      <c r="H470" s="1" t="s">
        <v>2</v>
      </c>
      <c r="I470" s="1"/>
      <c r="J470" s="1"/>
      <c r="K470" s="1"/>
      <c r="AA470" s="1"/>
    </row>
    <row r="471" spans="1:27" x14ac:dyDescent="0.25">
      <c r="A471" t="s">
        <v>78</v>
      </c>
      <c r="B471" t="str">
        <f t="shared" si="9"/>
        <v>1-</v>
      </c>
      <c r="C471" s="35">
        <v>1990</v>
      </c>
      <c r="D471" s="35">
        <v>1990</v>
      </c>
      <c r="E471" s="35">
        <v>689</v>
      </c>
      <c r="F471" s="35">
        <v>387</v>
      </c>
      <c r="G471" s="35">
        <v>302</v>
      </c>
      <c r="H471" s="1" t="s">
        <v>2</v>
      </c>
      <c r="I471" s="1"/>
      <c r="J471" s="1"/>
      <c r="K471" s="1"/>
      <c r="AA471" s="1"/>
    </row>
    <row r="472" spans="1:27" x14ac:dyDescent="0.25">
      <c r="A472" t="s">
        <v>78</v>
      </c>
      <c r="B472" t="str">
        <f t="shared" si="9"/>
        <v>1-</v>
      </c>
      <c r="C472" s="35">
        <v>1990</v>
      </c>
      <c r="D472" s="1" t="s">
        <v>24</v>
      </c>
      <c r="E472" s="35">
        <v>4</v>
      </c>
      <c r="F472" s="35">
        <v>3</v>
      </c>
      <c r="G472" s="35">
        <v>1</v>
      </c>
      <c r="H472" s="1" t="s">
        <v>2</v>
      </c>
      <c r="I472" s="1"/>
      <c r="J472" s="1"/>
      <c r="K472" s="1"/>
      <c r="AA472" s="1"/>
    </row>
    <row r="473" spans="1:27" x14ac:dyDescent="0.25">
      <c r="A473" t="s">
        <v>78</v>
      </c>
      <c r="B473" t="str">
        <f t="shared" si="9"/>
        <v>1-</v>
      </c>
      <c r="C473" s="35">
        <v>1991</v>
      </c>
      <c r="D473" s="1" t="s">
        <v>4</v>
      </c>
      <c r="E473" s="35">
        <v>517</v>
      </c>
      <c r="F473" s="35">
        <v>279</v>
      </c>
      <c r="G473" s="35">
        <v>238</v>
      </c>
      <c r="H473" s="1" t="s">
        <v>2</v>
      </c>
      <c r="I473" s="1"/>
      <c r="J473" s="1"/>
      <c r="K473" s="1"/>
      <c r="AA473" s="1"/>
    </row>
    <row r="474" spans="1:27" x14ac:dyDescent="0.25">
      <c r="A474" t="s">
        <v>78</v>
      </c>
      <c r="B474" t="str">
        <f t="shared" si="9"/>
        <v>1-</v>
      </c>
      <c r="C474" s="35">
        <v>1991</v>
      </c>
      <c r="D474" s="35">
        <v>1991</v>
      </c>
      <c r="E474" s="35">
        <v>514</v>
      </c>
      <c r="F474" s="35">
        <v>277</v>
      </c>
      <c r="G474" s="35">
        <v>237</v>
      </c>
      <c r="H474" s="1" t="s">
        <v>2</v>
      </c>
      <c r="I474" s="1"/>
      <c r="J474" s="1"/>
      <c r="K474" s="1"/>
      <c r="AA474" s="1"/>
    </row>
    <row r="475" spans="1:27" x14ac:dyDescent="0.25">
      <c r="A475" t="s">
        <v>78</v>
      </c>
      <c r="B475" t="str">
        <f t="shared" si="9"/>
        <v>1-</v>
      </c>
      <c r="C475" s="35">
        <v>1991</v>
      </c>
      <c r="D475" s="1" t="s">
        <v>24</v>
      </c>
      <c r="E475" s="35">
        <v>3</v>
      </c>
      <c r="F475" s="35">
        <v>2</v>
      </c>
      <c r="G475" s="35">
        <v>1</v>
      </c>
      <c r="H475" s="1" t="s">
        <v>2</v>
      </c>
      <c r="I475" s="1"/>
      <c r="J475" s="1"/>
      <c r="K475" s="1"/>
      <c r="AA475" s="1"/>
    </row>
    <row r="476" spans="1:27" x14ac:dyDescent="0.25">
      <c r="A476" t="s">
        <v>78</v>
      </c>
      <c r="B476" t="str">
        <f t="shared" si="9"/>
        <v>1-</v>
      </c>
      <c r="C476" s="35">
        <v>1992</v>
      </c>
      <c r="D476" s="1" t="s">
        <v>4</v>
      </c>
      <c r="E476" s="35">
        <v>466</v>
      </c>
      <c r="F476" s="35">
        <v>251</v>
      </c>
      <c r="G476" s="35">
        <v>215</v>
      </c>
      <c r="H476" s="1" t="s">
        <v>2</v>
      </c>
      <c r="I476" s="1"/>
      <c r="J476" s="1"/>
      <c r="K476" s="1"/>
      <c r="AA476" s="1"/>
    </row>
    <row r="477" spans="1:27" x14ac:dyDescent="0.25">
      <c r="A477" t="s">
        <v>78</v>
      </c>
      <c r="B477" t="str">
        <f t="shared" si="9"/>
        <v>1-</v>
      </c>
      <c r="C477" s="35">
        <v>1992</v>
      </c>
      <c r="D477" s="35">
        <v>1992</v>
      </c>
      <c r="E477" s="35">
        <v>461</v>
      </c>
      <c r="F477" s="35">
        <v>249</v>
      </c>
      <c r="G477" s="35">
        <v>212</v>
      </c>
      <c r="H477" s="1" t="s">
        <v>2</v>
      </c>
      <c r="I477" s="1"/>
      <c r="J477" s="1"/>
      <c r="K477" s="1"/>
      <c r="AA477" s="1"/>
    </row>
    <row r="478" spans="1:27" x14ac:dyDescent="0.25">
      <c r="A478" t="s">
        <v>78</v>
      </c>
      <c r="B478" t="str">
        <f t="shared" si="9"/>
        <v>1-</v>
      </c>
      <c r="C478" s="35">
        <v>1992</v>
      </c>
      <c r="D478" s="1" t="s">
        <v>24</v>
      </c>
      <c r="E478" s="35">
        <v>5</v>
      </c>
      <c r="F478" s="35">
        <v>2</v>
      </c>
      <c r="G478" s="35">
        <v>3</v>
      </c>
      <c r="H478" s="1" t="s">
        <v>2</v>
      </c>
      <c r="I478" s="1"/>
      <c r="J478" s="1"/>
      <c r="K478" s="1"/>
      <c r="AA478" s="1"/>
    </row>
    <row r="479" spans="1:27" x14ac:dyDescent="0.25">
      <c r="A479" t="s">
        <v>78</v>
      </c>
      <c r="B479" t="str">
        <f t="shared" si="9"/>
        <v>1-</v>
      </c>
      <c r="C479" s="35">
        <v>1993</v>
      </c>
      <c r="D479" s="1" t="s">
        <v>4</v>
      </c>
      <c r="E479" s="35">
        <v>449</v>
      </c>
      <c r="F479" s="35">
        <v>257</v>
      </c>
      <c r="G479" s="35">
        <v>192</v>
      </c>
      <c r="H479" s="1" t="s">
        <v>2</v>
      </c>
      <c r="I479" s="1"/>
      <c r="J479" s="1"/>
      <c r="K479" s="1"/>
      <c r="AA479" s="1"/>
    </row>
    <row r="480" spans="1:27" x14ac:dyDescent="0.25">
      <c r="A480" t="s">
        <v>78</v>
      </c>
      <c r="B480" t="str">
        <f t="shared" si="9"/>
        <v>1-</v>
      </c>
      <c r="C480" s="35">
        <v>1993</v>
      </c>
      <c r="D480" s="35">
        <v>1992</v>
      </c>
      <c r="E480" s="35">
        <v>3</v>
      </c>
      <c r="F480" s="35">
        <v>3</v>
      </c>
      <c r="G480" s="1" t="s">
        <v>2</v>
      </c>
      <c r="H480" s="1" t="s">
        <v>2</v>
      </c>
      <c r="I480" s="1"/>
      <c r="J480" s="1"/>
      <c r="K480" s="1"/>
      <c r="AA480" s="1"/>
    </row>
    <row r="481" spans="1:27" x14ac:dyDescent="0.25">
      <c r="A481" t="s">
        <v>78</v>
      </c>
      <c r="B481" t="str">
        <f t="shared" si="9"/>
        <v>1-</v>
      </c>
      <c r="C481" s="35">
        <v>1993</v>
      </c>
      <c r="D481" s="35">
        <v>1993</v>
      </c>
      <c r="E481" s="35">
        <v>444</v>
      </c>
      <c r="F481" s="35">
        <v>252</v>
      </c>
      <c r="G481" s="35">
        <v>192</v>
      </c>
      <c r="H481" s="1" t="s">
        <v>2</v>
      </c>
      <c r="I481" s="1"/>
      <c r="J481" s="1"/>
      <c r="K481" s="1"/>
      <c r="AA481" s="1"/>
    </row>
    <row r="482" spans="1:27" x14ac:dyDescent="0.25">
      <c r="A482" t="s">
        <v>78</v>
      </c>
      <c r="B482" t="str">
        <f t="shared" si="9"/>
        <v>1-</v>
      </c>
      <c r="C482" s="35">
        <v>1993</v>
      </c>
      <c r="D482" s="1" t="s">
        <v>24</v>
      </c>
      <c r="E482" s="35">
        <v>2</v>
      </c>
      <c r="F482" s="35">
        <v>2</v>
      </c>
      <c r="G482" s="1" t="s">
        <v>2</v>
      </c>
      <c r="H482" s="1" t="s">
        <v>2</v>
      </c>
      <c r="I482" s="1"/>
      <c r="J482" s="1"/>
      <c r="K482" s="1"/>
      <c r="AA482" s="1"/>
    </row>
    <row r="483" spans="1:27" x14ac:dyDescent="0.25">
      <c r="A483" t="s">
        <v>78</v>
      </c>
      <c r="B483" t="str">
        <f t="shared" si="9"/>
        <v>1-</v>
      </c>
      <c r="C483" s="35">
        <v>1994</v>
      </c>
      <c r="D483" s="1" t="s">
        <v>4</v>
      </c>
      <c r="E483" s="35">
        <v>470</v>
      </c>
      <c r="F483" s="35">
        <v>244</v>
      </c>
      <c r="G483" s="35">
        <v>226</v>
      </c>
      <c r="H483" s="1" t="s">
        <v>2</v>
      </c>
      <c r="I483" s="1"/>
      <c r="J483" s="1"/>
      <c r="K483" s="1"/>
      <c r="AA483" s="1"/>
    </row>
    <row r="484" spans="1:27" x14ac:dyDescent="0.25">
      <c r="A484" t="s">
        <v>78</v>
      </c>
      <c r="B484" t="str">
        <f t="shared" si="9"/>
        <v>1-</v>
      </c>
      <c r="C484" s="35">
        <v>1994</v>
      </c>
      <c r="D484" s="35">
        <v>1993</v>
      </c>
      <c r="E484" s="35">
        <v>1</v>
      </c>
      <c r="F484" s="1" t="s">
        <v>2</v>
      </c>
      <c r="G484" s="35">
        <v>1</v>
      </c>
      <c r="H484" s="1" t="s">
        <v>2</v>
      </c>
      <c r="I484" s="1"/>
      <c r="J484" s="1"/>
      <c r="K484" s="1"/>
      <c r="AA484" s="1"/>
    </row>
    <row r="485" spans="1:27" x14ac:dyDescent="0.25">
      <c r="A485" t="s">
        <v>78</v>
      </c>
      <c r="B485" t="str">
        <f t="shared" si="9"/>
        <v>1-</v>
      </c>
      <c r="C485" s="35">
        <v>1994</v>
      </c>
      <c r="D485" s="35">
        <v>1994</v>
      </c>
      <c r="E485" s="35">
        <v>469</v>
      </c>
      <c r="F485" s="35">
        <v>244</v>
      </c>
      <c r="G485" s="35">
        <v>225</v>
      </c>
      <c r="H485" s="1" t="s">
        <v>2</v>
      </c>
      <c r="I485" s="1"/>
      <c r="J485" s="1"/>
      <c r="K485" s="1"/>
      <c r="AA485" s="1"/>
    </row>
    <row r="486" spans="1:27" x14ac:dyDescent="0.25">
      <c r="A486" t="s">
        <v>78</v>
      </c>
      <c r="B486" t="str">
        <f t="shared" si="9"/>
        <v>1-</v>
      </c>
      <c r="C486" s="35">
        <v>1995</v>
      </c>
      <c r="D486" s="1" t="s">
        <v>4</v>
      </c>
      <c r="E486" s="35">
        <v>512</v>
      </c>
      <c r="F486" s="35">
        <v>294</v>
      </c>
      <c r="G486" s="35">
        <v>218</v>
      </c>
      <c r="H486" s="1" t="s">
        <v>2</v>
      </c>
      <c r="I486" s="1"/>
      <c r="J486" s="1"/>
      <c r="K486" s="1"/>
      <c r="AA486" s="1"/>
    </row>
    <row r="487" spans="1:27" x14ac:dyDescent="0.25">
      <c r="A487" t="s">
        <v>78</v>
      </c>
      <c r="B487" t="str">
        <f t="shared" si="9"/>
        <v>1-</v>
      </c>
      <c r="C487" s="35">
        <v>1995</v>
      </c>
      <c r="D487" s="35">
        <v>1994</v>
      </c>
      <c r="E487" s="35">
        <v>4</v>
      </c>
      <c r="F487" s="35">
        <v>2</v>
      </c>
      <c r="G487" s="35">
        <v>2</v>
      </c>
      <c r="H487" s="1" t="s">
        <v>2</v>
      </c>
      <c r="I487" s="1"/>
      <c r="J487" s="1"/>
      <c r="K487" s="1"/>
      <c r="AA487" s="1"/>
    </row>
    <row r="488" spans="1:27" x14ac:dyDescent="0.25">
      <c r="A488" t="s">
        <v>78</v>
      </c>
      <c r="B488" t="str">
        <f t="shared" si="9"/>
        <v>1-</v>
      </c>
      <c r="C488" s="35">
        <v>1995</v>
      </c>
      <c r="D488" s="35">
        <v>1995</v>
      </c>
      <c r="E488" s="35">
        <v>508</v>
      </c>
      <c r="F488" s="35">
        <v>292</v>
      </c>
      <c r="G488" s="35">
        <v>216</v>
      </c>
      <c r="H488" s="1" t="s">
        <v>2</v>
      </c>
      <c r="I488" s="1"/>
      <c r="J488" s="1"/>
      <c r="K488" s="1"/>
      <c r="AA488" s="1"/>
    </row>
    <row r="489" spans="1:27" x14ac:dyDescent="0.25">
      <c r="A489" t="s">
        <v>78</v>
      </c>
      <c r="B489" t="str">
        <f t="shared" si="9"/>
        <v>1-</v>
      </c>
      <c r="C489" s="35">
        <v>1996</v>
      </c>
      <c r="D489" s="1" t="s">
        <v>4</v>
      </c>
      <c r="E489" s="35">
        <v>445</v>
      </c>
      <c r="F489" s="35">
        <v>252</v>
      </c>
      <c r="G489" s="35">
        <v>193</v>
      </c>
      <c r="H489" s="1" t="s">
        <v>2</v>
      </c>
      <c r="I489" s="1"/>
      <c r="J489" s="1"/>
      <c r="K489" s="1"/>
      <c r="AA489" s="1"/>
    </row>
    <row r="490" spans="1:27" x14ac:dyDescent="0.25">
      <c r="A490" t="s">
        <v>78</v>
      </c>
      <c r="B490" t="str">
        <f t="shared" si="9"/>
        <v>1-</v>
      </c>
      <c r="C490" s="35">
        <v>1996</v>
      </c>
      <c r="D490" s="35">
        <v>1994</v>
      </c>
      <c r="E490" s="35">
        <v>1</v>
      </c>
      <c r="F490" s="1" t="s">
        <v>2</v>
      </c>
      <c r="G490" s="35">
        <v>1</v>
      </c>
      <c r="H490" s="1" t="s">
        <v>2</v>
      </c>
      <c r="I490" s="1"/>
      <c r="J490" s="1"/>
      <c r="K490" s="1"/>
      <c r="AA490" s="1"/>
    </row>
    <row r="491" spans="1:27" x14ac:dyDescent="0.25">
      <c r="A491" t="s">
        <v>78</v>
      </c>
      <c r="B491" t="str">
        <f t="shared" si="9"/>
        <v>1-</v>
      </c>
      <c r="C491" s="35">
        <v>1996</v>
      </c>
      <c r="D491" s="35">
        <v>1995</v>
      </c>
      <c r="E491" s="35">
        <v>5</v>
      </c>
      <c r="F491" s="35">
        <v>2</v>
      </c>
      <c r="G491" s="35">
        <v>3</v>
      </c>
      <c r="H491" s="1" t="s">
        <v>2</v>
      </c>
      <c r="I491" s="1"/>
      <c r="J491" s="1"/>
      <c r="K491" s="1"/>
      <c r="AA491" s="1"/>
    </row>
    <row r="492" spans="1:27" x14ac:dyDescent="0.25">
      <c r="A492" t="s">
        <v>78</v>
      </c>
      <c r="B492" t="str">
        <f t="shared" si="9"/>
        <v>1-</v>
      </c>
      <c r="C492" s="35">
        <v>1996</v>
      </c>
      <c r="D492" s="35">
        <v>1996</v>
      </c>
      <c r="E492" s="35">
        <v>439</v>
      </c>
      <c r="F492" s="35">
        <v>250</v>
      </c>
      <c r="G492" s="35">
        <v>189</v>
      </c>
      <c r="H492" s="1" t="s">
        <v>2</v>
      </c>
      <c r="I492" s="1"/>
      <c r="J492" s="1"/>
      <c r="K492" s="1"/>
      <c r="AA492" s="1"/>
    </row>
    <row r="493" spans="1:27" x14ac:dyDescent="0.25">
      <c r="A493" t="s">
        <v>78</v>
      </c>
      <c r="B493" t="str">
        <f t="shared" si="9"/>
        <v>1-</v>
      </c>
      <c r="C493" s="35">
        <v>1997</v>
      </c>
      <c r="D493" s="1" t="s">
        <v>4</v>
      </c>
      <c r="E493" s="35">
        <v>425</v>
      </c>
      <c r="F493" s="35">
        <v>210</v>
      </c>
      <c r="G493" s="35">
        <v>215</v>
      </c>
      <c r="H493" s="1" t="s">
        <v>2</v>
      </c>
      <c r="I493" s="1"/>
      <c r="J493" s="1"/>
      <c r="K493" s="1"/>
      <c r="AA493" s="1"/>
    </row>
    <row r="494" spans="1:27" x14ac:dyDescent="0.25">
      <c r="A494" t="s">
        <v>78</v>
      </c>
      <c r="B494" t="str">
        <f t="shared" si="9"/>
        <v>1-</v>
      </c>
      <c r="C494" s="35">
        <v>1997</v>
      </c>
      <c r="D494" s="35">
        <v>1994</v>
      </c>
      <c r="E494" s="35">
        <v>1</v>
      </c>
      <c r="F494" s="1" t="s">
        <v>2</v>
      </c>
      <c r="G494" s="35">
        <v>1</v>
      </c>
      <c r="H494" s="1" t="s">
        <v>2</v>
      </c>
      <c r="I494" s="1"/>
      <c r="J494" s="1"/>
      <c r="K494" s="1"/>
      <c r="AA494" s="1"/>
    </row>
    <row r="495" spans="1:27" x14ac:dyDescent="0.25">
      <c r="A495" t="s">
        <v>78</v>
      </c>
      <c r="B495" t="str">
        <f t="shared" si="9"/>
        <v>1-</v>
      </c>
      <c r="C495" s="35">
        <v>1997</v>
      </c>
      <c r="D495" s="35">
        <v>1996</v>
      </c>
      <c r="E495" s="35">
        <v>1</v>
      </c>
      <c r="F495" s="1" t="s">
        <v>2</v>
      </c>
      <c r="G495" s="35">
        <v>1</v>
      </c>
      <c r="H495" s="1" t="s">
        <v>2</v>
      </c>
      <c r="I495" s="1"/>
      <c r="J495" s="1"/>
      <c r="K495" s="1"/>
      <c r="AA495" s="1"/>
    </row>
    <row r="496" spans="1:27" x14ac:dyDescent="0.25">
      <c r="A496" t="s">
        <v>78</v>
      </c>
      <c r="B496" t="str">
        <f t="shared" si="9"/>
        <v>1-</v>
      </c>
      <c r="C496" s="35">
        <v>1997</v>
      </c>
      <c r="D496" s="35">
        <v>1997</v>
      </c>
      <c r="E496" s="35">
        <v>423</v>
      </c>
      <c r="F496" s="35">
        <v>210</v>
      </c>
      <c r="G496" s="35">
        <v>213</v>
      </c>
      <c r="H496" s="1" t="s">
        <v>2</v>
      </c>
      <c r="I496" s="1"/>
      <c r="J496" s="1"/>
      <c r="K496" s="1"/>
      <c r="AA496" s="1"/>
    </row>
    <row r="497" spans="1:27" x14ac:dyDescent="0.25">
      <c r="A497" t="s">
        <v>78</v>
      </c>
      <c r="B497" t="str">
        <f t="shared" si="9"/>
        <v>1-</v>
      </c>
      <c r="C497" s="35">
        <v>1998</v>
      </c>
      <c r="D497" s="1" t="s">
        <v>4</v>
      </c>
      <c r="E497" s="35">
        <v>445</v>
      </c>
      <c r="F497" s="35">
        <v>225</v>
      </c>
      <c r="G497" s="35">
        <v>220</v>
      </c>
      <c r="H497" s="1" t="s">
        <v>2</v>
      </c>
      <c r="I497" s="1"/>
      <c r="J497" s="1"/>
      <c r="K497" s="1"/>
      <c r="AA497" s="1"/>
    </row>
    <row r="498" spans="1:27" x14ac:dyDescent="0.25">
      <c r="A498" t="s">
        <v>78</v>
      </c>
      <c r="B498" t="str">
        <f t="shared" si="9"/>
        <v>1-</v>
      </c>
      <c r="C498" s="35">
        <v>1998</v>
      </c>
      <c r="D498" s="35">
        <v>1996</v>
      </c>
      <c r="E498" s="35">
        <v>1</v>
      </c>
      <c r="F498" s="35">
        <v>1</v>
      </c>
      <c r="G498" s="1" t="s">
        <v>2</v>
      </c>
      <c r="H498" s="1" t="s">
        <v>2</v>
      </c>
      <c r="I498" s="1"/>
      <c r="J498" s="1"/>
      <c r="K498" s="1"/>
      <c r="AA498" s="1"/>
    </row>
    <row r="499" spans="1:27" x14ac:dyDescent="0.25">
      <c r="A499" t="s">
        <v>78</v>
      </c>
      <c r="B499" t="str">
        <f t="shared" si="9"/>
        <v>1-</v>
      </c>
      <c r="C499" s="35">
        <v>1998</v>
      </c>
      <c r="D499" s="35">
        <v>1997</v>
      </c>
      <c r="E499" s="35">
        <v>2</v>
      </c>
      <c r="F499" s="1" t="s">
        <v>2</v>
      </c>
      <c r="G499" s="35">
        <v>2</v>
      </c>
      <c r="H499" s="1" t="s">
        <v>2</v>
      </c>
      <c r="I499" s="1"/>
      <c r="J499" s="1"/>
      <c r="K499" s="1"/>
      <c r="AA499" s="1"/>
    </row>
    <row r="500" spans="1:27" x14ac:dyDescent="0.25">
      <c r="A500" t="s">
        <v>78</v>
      </c>
      <c r="B500" t="str">
        <f t="shared" si="9"/>
        <v>1-</v>
      </c>
      <c r="C500" s="35">
        <v>1998</v>
      </c>
      <c r="D500" s="35">
        <v>1998</v>
      </c>
      <c r="E500" s="35">
        <v>442</v>
      </c>
      <c r="F500" s="35">
        <v>224</v>
      </c>
      <c r="G500" s="35">
        <v>218</v>
      </c>
      <c r="H500" s="1" t="s">
        <v>2</v>
      </c>
      <c r="I500" s="1"/>
      <c r="J500" s="1"/>
      <c r="K500" s="1"/>
      <c r="AA500" s="1"/>
    </row>
    <row r="501" spans="1:27" x14ac:dyDescent="0.25">
      <c r="A501" t="s">
        <v>78</v>
      </c>
      <c r="B501" t="str">
        <f t="shared" si="9"/>
        <v>1-</v>
      </c>
      <c r="C501" s="35">
        <v>1999</v>
      </c>
      <c r="D501" s="1" t="s">
        <v>4</v>
      </c>
      <c r="E501" s="35">
        <v>381</v>
      </c>
      <c r="F501" s="35">
        <v>212</v>
      </c>
      <c r="G501" s="35">
        <v>169</v>
      </c>
      <c r="H501" s="1" t="s">
        <v>2</v>
      </c>
      <c r="I501" s="1"/>
      <c r="J501" s="1"/>
      <c r="K501" s="1"/>
      <c r="AA501" s="1"/>
    </row>
    <row r="502" spans="1:27" x14ac:dyDescent="0.25">
      <c r="A502" t="s">
        <v>78</v>
      </c>
      <c r="B502" t="str">
        <f t="shared" si="9"/>
        <v>1-</v>
      </c>
      <c r="C502" s="35">
        <v>1999</v>
      </c>
      <c r="D502" s="35">
        <v>1998</v>
      </c>
      <c r="E502" s="35">
        <v>1</v>
      </c>
      <c r="F502" s="35">
        <v>1</v>
      </c>
      <c r="G502" s="1" t="s">
        <v>2</v>
      </c>
      <c r="H502" s="1" t="s">
        <v>2</v>
      </c>
      <c r="I502" s="1"/>
      <c r="J502" s="1"/>
      <c r="K502" s="1"/>
      <c r="AA502" s="1"/>
    </row>
    <row r="503" spans="1:27" x14ac:dyDescent="0.25">
      <c r="A503" t="s">
        <v>78</v>
      </c>
      <c r="B503" t="str">
        <f t="shared" si="9"/>
        <v>1-</v>
      </c>
      <c r="C503" s="35">
        <v>1999</v>
      </c>
      <c r="D503" s="35">
        <v>1999</v>
      </c>
      <c r="E503" s="35">
        <v>380</v>
      </c>
      <c r="F503" s="35">
        <v>211</v>
      </c>
      <c r="G503" s="35">
        <v>169</v>
      </c>
      <c r="H503" s="1" t="s">
        <v>2</v>
      </c>
      <c r="I503" s="1"/>
      <c r="J503" s="1"/>
      <c r="K503" s="1"/>
      <c r="AA503" s="1"/>
    </row>
    <row r="504" spans="1:27" x14ac:dyDescent="0.25">
      <c r="A504" t="s">
        <v>78</v>
      </c>
      <c r="B504" t="str">
        <f t="shared" si="9"/>
        <v>1-</v>
      </c>
      <c r="C504" s="35">
        <v>2000</v>
      </c>
      <c r="D504" s="1" t="s">
        <v>4</v>
      </c>
      <c r="E504" s="35">
        <v>365</v>
      </c>
      <c r="F504" s="35">
        <v>204</v>
      </c>
      <c r="G504" s="35">
        <v>160</v>
      </c>
      <c r="H504" s="35">
        <v>1</v>
      </c>
      <c r="I504" s="1"/>
      <c r="J504" s="1"/>
      <c r="K504" s="1"/>
      <c r="AA504" s="1"/>
    </row>
    <row r="505" spans="1:27" x14ac:dyDescent="0.25">
      <c r="A505" t="s">
        <v>78</v>
      </c>
      <c r="B505" t="str">
        <f t="shared" si="9"/>
        <v>1-</v>
      </c>
      <c r="C505" s="35">
        <v>2000</v>
      </c>
      <c r="D505" s="35">
        <v>2000</v>
      </c>
      <c r="E505" s="35">
        <v>365</v>
      </c>
      <c r="F505" s="35">
        <v>204</v>
      </c>
      <c r="G505" s="35">
        <v>160</v>
      </c>
      <c r="H505" s="35">
        <v>1</v>
      </c>
      <c r="I505" s="1"/>
      <c r="J505" s="1"/>
      <c r="K505" s="1"/>
      <c r="AA505" s="1"/>
    </row>
    <row r="506" spans="1:27" x14ac:dyDescent="0.25">
      <c r="A506" t="s">
        <v>78</v>
      </c>
      <c r="B506" t="str">
        <f t="shared" si="9"/>
        <v>1-</v>
      </c>
      <c r="C506" s="35">
        <v>2001</v>
      </c>
      <c r="D506" s="1" t="s">
        <v>4</v>
      </c>
      <c r="E506" s="35">
        <v>384</v>
      </c>
      <c r="F506" s="35">
        <v>196</v>
      </c>
      <c r="G506" s="35">
        <v>188</v>
      </c>
      <c r="H506" s="1" t="s">
        <v>2</v>
      </c>
      <c r="I506" s="1"/>
      <c r="J506" s="1"/>
      <c r="K506" s="1"/>
      <c r="AA506" s="1"/>
    </row>
    <row r="507" spans="1:27" x14ac:dyDescent="0.25">
      <c r="A507" t="s">
        <v>78</v>
      </c>
      <c r="B507" t="str">
        <f t="shared" si="9"/>
        <v>1-</v>
      </c>
      <c r="C507" s="35">
        <v>2001</v>
      </c>
      <c r="D507" s="35">
        <v>2000</v>
      </c>
      <c r="E507" s="35">
        <v>1</v>
      </c>
      <c r="F507" s="1" t="s">
        <v>2</v>
      </c>
      <c r="G507" s="35">
        <v>1</v>
      </c>
      <c r="H507" s="1" t="s">
        <v>2</v>
      </c>
      <c r="I507" s="1"/>
      <c r="J507" s="1"/>
      <c r="K507" s="1"/>
      <c r="AA507" s="1"/>
    </row>
    <row r="508" spans="1:27" x14ac:dyDescent="0.25">
      <c r="A508" t="s">
        <v>78</v>
      </c>
      <c r="B508" t="str">
        <f t="shared" si="9"/>
        <v>1-</v>
      </c>
      <c r="C508" s="35">
        <v>2001</v>
      </c>
      <c r="D508" s="35">
        <v>2001</v>
      </c>
      <c r="E508" s="35">
        <v>383</v>
      </c>
      <c r="F508" s="35">
        <v>196</v>
      </c>
      <c r="G508" s="35">
        <v>187</v>
      </c>
      <c r="H508" s="1" t="s">
        <v>2</v>
      </c>
      <c r="I508" s="1"/>
      <c r="J508" s="1"/>
      <c r="K508" s="1"/>
      <c r="AA508" s="1"/>
    </row>
    <row r="509" spans="1:27" x14ac:dyDescent="0.25">
      <c r="A509" t="s">
        <v>78</v>
      </c>
      <c r="B509" t="str">
        <f t="shared" si="9"/>
        <v>1-</v>
      </c>
      <c r="C509" s="35">
        <v>2002</v>
      </c>
      <c r="D509" s="1" t="s">
        <v>4</v>
      </c>
      <c r="E509" s="35">
        <v>368</v>
      </c>
      <c r="F509" s="35">
        <v>212</v>
      </c>
      <c r="G509" s="35">
        <v>156</v>
      </c>
      <c r="H509" s="1" t="s">
        <v>2</v>
      </c>
      <c r="I509" s="1"/>
      <c r="J509" s="1"/>
      <c r="K509" s="1"/>
      <c r="AA509" s="1"/>
    </row>
    <row r="510" spans="1:27" x14ac:dyDescent="0.25">
      <c r="A510" t="s">
        <v>78</v>
      </c>
      <c r="B510" t="str">
        <f t="shared" si="9"/>
        <v>1-</v>
      </c>
      <c r="C510" s="35">
        <v>2002</v>
      </c>
      <c r="D510" s="35">
        <v>2001</v>
      </c>
      <c r="E510" s="35">
        <v>2</v>
      </c>
      <c r="F510" s="35">
        <v>2</v>
      </c>
      <c r="G510" s="1" t="s">
        <v>2</v>
      </c>
      <c r="H510" s="1" t="s">
        <v>2</v>
      </c>
      <c r="I510" s="1"/>
      <c r="J510" s="1"/>
      <c r="K510" s="1"/>
      <c r="AA510" s="1"/>
    </row>
    <row r="511" spans="1:27" x14ac:dyDescent="0.25">
      <c r="A511" t="s">
        <v>78</v>
      </c>
      <c r="B511" t="str">
        <f t="shared" si="9"/>
        <v>1-</v>
      </c>
      <c r="C511" s="35">
        <v>2002</v>
      </c>
      <c r="D511" s="35">
        <v>2002</v>
      </c>
      <c r="E511" s="35">
        <v>366</v>
      </c>
      <c r="F511" s="35">
        <v>210</v>
      </c>
      <c r="G511" s="35">
        <v>156</v>
      </c>
      <c r="H511" s="1" t="s">
        <v>2</v>
      </c>
      <c r="I511" s="1"/>
      <c r="J511" s="1"/>
      <c r="K511" s="1"/>
      <c r="AA511" s="1"/>
    </row>
    <row r="512" spans="1:27" x14ac:dyDescent="0.25">
      <c r="A512" t="s">
        <v>78</v>
      </c>
      <c r="B512" t="str">
        <f t="shared" si="9"/>
        <v>1-</v>
      </c>
      <c r="C512" s="35">
        <v>2003</v>
      </c>
      <c r="D512" s="1" t="s">
        <v>4</v>
      </c>
      <c r="E512" s="35">
        <v>340</v>
      </c>
      <c r="F512" s="35">
        <v>189</v>
      </c>
      <c r="G512" s="35">
        <v>151</v>
      </c>
      <c r="H512" s="1" t="s">
        <v>2</v>
      </c>
      <c r="I512" s="1"/>
      <c r="J512" s="1"/>
      <c r="K512" s="1"/>
      <c r="AA512" s="1"/>
    </row>
    <row r="513" spans="1:27" x14ac:dyDescent="0.25">
      <c r="A513" t="s">
        <v>78</v>
      </c>
      <c r="B513" t="str">
        <f t="shared" si="9"/>
        <v>1-</v>
      </c>
      <c r="C513" s="35">
        <v>2003</v>
      </c>
      <c r="D513" s="35">
        <v>2003</v>
      </c>
      <c r="E513" s="35">
        <v>340</v>
      </c>
      <c r="F513" s="35">
        <v>189</v>
      </c>
      <c r="G513" s="35">
        <v>151</v>
      </c>
      <c r="H513" s="1" t="s">
        <v>2</v>
      </c>
      <c r="I513" s="1"/>
      <c r="J513" s="1"/>
      <c r="K513" s="1"/>
      <c r="AA513" s="1"/>
    </row>
    <row r="514" spans="1:27" x14ac:dyDescent="0.25">
      <c r="A514" t="s">
        <v>78</v>
      </c>
      <c r="B514" t="str">
        <f t="shared" si="9"/>
        <v>1-</v>
      </c>
      <c r="C514" s="35">
        <v>2004</v>
      </c>
      <c r="D514" s="1" t="s">
        <v>4</v>
      </c>
      <c r="E514" s="35">
        <v>349</v>
      </c>
      <c r="F514" s="35">
        <v>198</v>
      </c>
      <c r="G514" s="35">
        <v>151</v>
      </c>
      <c r="H514" s="1" t="s">
        <v>2</v>
      </c>
      <c r="I514" s="1"/>
      <c r="J514" s="1"/>
      <c r="K514" s="1"/>
      <c r="AA514" s="1"/>
    </row>
    <row r="515" spans="1:27" x14ac:dyDescent="0.25">
      <c r="A515" t="s">
        <v>78</v>
      </c>
      <c r="B515" t="str">
        <f t="shared" si="9"/>
        <v>1-</v>
      </c>
      <c r="C515" s="35">
        <v>2004</v>
      </c>
      <c r="D515" s="35">
        <v>2003</v>
      </c>
      <c r="E515" s="35">
        <v>2</v>
      </c>
      <c r="F515" s="35">
        <v>2</v>
      </c>
      <c r="G515" s="1" t="s">
        <v>2</v>
      </c>
      <c r="H515" s="1" t="s">
        <v>2</v>
      </c>
      <c r="I515" s="1"/>
      <c r="J515" s="1"/>
      <c r="K515" s="1"/>
      <c r="AA515" s="1"/>
    </row>
    <row r="516" spans="1:27" x14ac:dyDescent="0.25">
      <c r="A516" t="s">
        <v>78</v>
      </c>
      <c r="B516" t="str">
        <f t="shared" si="9"/>
        <v>1-</v>
      </c>
      <c r="C516" s="35">
        <v>2004</v>
      </c>
      <c r="D516" s="35">
        <v>2004</v>
      </c>
      <c r="E516" s="35">
        <v>347</v>
      </c>
      <c r="F516" s="35">
        <v>196</v>
      </c>
      <c r="G516" s="35">
        <v>151</v>
      </c>
      <c r="H516" s="1" t="s">
        <v>2</v>
      </c>
      <c r="I516" s="1"/>
      <c r="J516" s="1"/>
      <c r="K516" s="1"/>
      <c r="AA516" s="1"/>
    </row>
    <row r="517" spans="1:27" x14ac:dyDescent="0.25">
      <c r="A517" t="s">
        <v>78</v>
      </c>
      <c r="B517" t="str">
        <f t="shared" si="9"/>
        <v>1-</v>
      </c>
      <c r="C517" s="35">
        <v>2005</v>
      </c>
      <c r="D517" s="1" t="s">
        <v>4</v>
      </c>
      <c r="E517" s="35">
        <v>322</v>
      </c>
      <c r="F517" s="35">
        <v>168</v>
      </c>
      <c r="G517" s="35">
        <v>154</v>
      </c>
      <c r="H517" s="1" t="s">
        <v>2</v>
      </c>
      <c r="I517" s="1"/>
      <c r="J517" s="1"/>
      <c r="K517" s="1"/>
      <c r="AA517" s="1"/>
    </row>
    <row r="518" spans="1:27" x14ac:dyDescent="0.25">
      <c r="A518" t="s">
        <v>78</v>
      </c>
      <c r="B518" t="str">
        <f t="shared" si="9"/>
        <v>1-</v>
      </c>
      <c r="C518" s="35">
        <v>2005</v>
      </c>
      <c r="D518" s="35">
        <v>2004</v>
      </c>
      <c r="E518" s="35">
        <v>3</v>
      </c>
      <c r="F518" s="1" t="s">
        <v>2</v>
      </c>
      <c r="G518" s="35">
        <v>3</v>
      </c>
      <c r="H518" s="1" t="s">
        <v>2</v>
      </c>
      <c r="I518" s="1"/>
      <c r="J518" s="1"/>
      <c r="K518" s="1"/>
      <c r="AA518" s="1"/>
    </row>
    <row r="519" spans="1:27" x14ac:dyDescent="0.25">
      <c r="A519" t="s">
        <v>78</v>
      </c>
      <c r="B519" t="str">
        <f t="shared" ref="B519:B582" si="10">IF(A519="Menores de 1 año",0,LEFT(A519,2))</f>
        <v>1-</v>
      </c>
      <c r="C519" s="35">
        <v>2005</v>
      </c>
      <c r="D519" s="35">
        <v>2005</v>
      </c>
      <c r="E519" s="35">
        <v>319</v>
      </c>
      <c r="F519" s="35">
        <v>168</v>
      </c>
      <c r="G519" s="35">
        <v>151</v>
      </c>
      <c r="H519" s="1" t="s">
        <v>2</v>
      </c>
      <c r="I519" s="1"/>
      <c r="J519" s="1"/>
      <c r="K519" s="1"/>
      <c r="AA519" s="1"/>
    </row>
    <row r="520" spans="1:27" x14ac:dyDescent="0.25">
      <c r="A520" t="s">
        <v>78</v>
      </c>
      <c r="B520" t="str">
        <f t="shared" si="10"/>
        <v>1-</v>
      </c>
      <c r="C520" s="35">
        <v>2006</v>
      </c>
      <c r="D520" s="1" t="s">
        <v>4</v>
      </c>
      <c r="E520" s="35">
        <v>312</v>
      </c>
      <c r="F520" s="35">
        <v>172</v>
      </c>
      <c r="G520" s="35">
        <v>140</v>
      </c>
      <c r="H520" s="1" t="s">
        <v>2</v>
      </c>
      <c r="I520" s="1"/>
      <c r="J520" s="1"/>
      <c r="K520" s="1"/>
      <c r="AA520" s="1"/>
    </row>
    <row r="521" spans="1:27" x14ac:dyDescent="0.25">
      <c r="A521" t="s">
        <v>78</v>
      </c>
      <c r="B521" t="str">
        <f t="shared" si="10"/>
        <v>1-</v>
      </c>
      <c r="C521" s="35">
        <v>2006</v>
      </c>
      <c r="D521" s="35">
        <v>2005</v>
      </c>
      <c r="E521" s="35">
        <v>2</v>
      </c>
      <c r="F521" s="1" t="s">
        <v>2</v>
      </c>
      <c r="G521" s="35">
        <v>2</v>
      </c>
      <c r="H521" s="1" t="s">
        <v>2</v>
      </c>
      <c r="I521" s="1"/>
      <c r="J521" s="1"/>
      <c r="K521" s="1"/>
      <c r="AA521" s="1"/>
    </row>
    <row r="522" spans="1:27" x14ac:dyDescent="0.25">
      <c r="A522" t="s">
        <v>78</v>
      </c>
      <c r="B522" t="str">
        <f t="shared" si="10"/>
        <v>1-</v>
      </c>
      <c r="C522" s="35">
        <v>2006</v>
      </c>
      <c r="D522" s="35">
        <v>2006</v>
      </c>
      <c r="E522" s="35">
        <v>310</v>
      </c>
      <c r="F522" s="35">
        <v>172</v>
      </c>
      <c r="G522" s="35">
        <v>138</v>
      </c>
      <c r="H522" s="1" t="s">
        <v>2</v>
      </c>
      <c r="I522" s="1"/>
      <c r="J522" s="1"/>
      <c r="K522" s="1"/>
      <c r="AA522" s="1"/>
    </row>
    <row r="523" spans="1:27" x14ac:dyDescent="0.25">
      <c r="A523" t="s">
        <v>78</v>
      </c>
      <c r="B523" t="str">
        <f t="shared" si="10"/>
        <v>1-</v>
      </c>
      <c r="C523" s="35">
        <v>2007</v>
      </c>
      <c r="D523" s="1" t="s">
        <v>4</v>
      </c>
      <c r="E523" s="35">
        <v>339</v>
      </c>
      <c r="F523" s="35">
        <v>182</v>
      </c>
      <c r="G523" s="35">
        <v>157</v>
      </c>
      <c r="H523" s="1" t="s">
        <v>2</v>
      </c>
      <c r="I523" s="1"/>
      <c r="J523" s="1"/>
      <c r="K523" s="1"/>
      <c r="AA523" s="1"/>
    </row>
    <row r="524" spans="1:27" x14ac:dyDescent="0.25">
      <c r="A524" t="s">
        <v>78</v>
      </c>
      <c r="B524" t="str">
        <f t="shared" si="10"/>
        <v>1-</v>
      </c>
      <c r="C524" s="35">
        <v>2007</v>
      </c>
      <c r="D524" s="35">
        <v>2002</v>
      </c>
      <c r="E524" s="35">
        <v>1</v>
      </c>
      <c r="F524" s="35">
        <v>1</v>
      </c>
      <c r="G524" s="1" t="s">
        <v>2</v>
      </c>
      <c r="H524" s="1" t="s">
        <v>2</v>
      </c>
      <c r="I524" s="1"/>
      <c r="J524" s="1"/>
      <c r="K524" s="1"/>
      <c r="AA524" s="1"/>
    </row>
    <row r="525" spans="1:27" x14ac:dyDescent="0.25">
      <c r="A525" t="s">
        <v>78</v>
      </c>
      <c r="B525" t="str">
        <f t="shared" si="10"/>
        <v>1-</v>
      </c>
      <c r="C525" s="35">
        <v>2007</v>
      </c>
      <c r="D525" s="35">
        <v>2007</v>
      </c>
      <c r="E525" s="35">
        <v>338</v>
      </c>
      <c r="F525" s="35">
        <v>181</v>
      </c>
      <c r="G525" s="35">
        <v>157</v>
      </c>
      <c r="H525" s="1" t="s">
        <v>2</v>
      </c>
      <c r="I525" s="1"/>
      <c r="J525" s="1"/>
      <c r="K525" s="1"/>
      <c r="AA525" s="1"/>
    </row>
    <row r="526" spans="1:27" x14ac:dyDescent="0.25">
      <c r="A526" t="s">
        <v>78</v>
      </c>
      <c r="B526" t="str">
        <f t="shared" si="10"/>
        <v>1-</v>
      </c>
      <c r="C526" s="35">
        <v>2008</v>
      </c>
      <c r="D526" s="1" t="s">
        <v>4</v>
      </c>
      <c r="E526" s="35">
        <v>289</v>
      </c>
      <c r="F526" s="35">
        <v>155</v>
      </c>
      <c r="G526" s="35">
        <v>134</v>
      </c>
      <c r="H526" s="1" t="s">
        <v>2</v>
      </c>
      <c r="I526" s="1"/>
      <c r="J526" s="1"/>
      <c r="K526" s="1"/>
      <c r="AA526" s="1"/>
    </row>
    <row r="527" spans="1:27" x14ac:dyDescent="0.25">
      <c r="A527" t="s">
        <v>78</v>
      </c>
      <c r="B527" t="str">
        <f t="shared" si="10"/>
        <v>1-</v>
      </c>
      <c r="C527" s="35">
        <v>2008</v>
      </c>
      <c r="D527" s="35">
        <v>2007</v>
      </c>
      <c r="E527" s="35">
        <v>4</v>
      </c>
      <c r="F527" s="35">
        <v>1</v>
      </c>
      <c r="G527" s="35">
        <v>3</v>
      </c>
      <c r="H527" s="1" t="s">
        <v>2</v>
      </c>
      <c r="I527" s="1"/>
      <c r="J527" s="1"/>
      <c r="K527" s="1"/>
      <c r="AA527" s="1"/>
    </row>
    <row r="528" spans="1:27" x14ac:dyDescent="0.25">
      <c r="A528" t="s">
        <v>78</v>
      </c>
      <c r="B528" t="str">
        <f t="shared" si="10"/>
        <v>1-</v>
      </c>
      <c r="C528" s="35">
        <v>2008</v>
      </c>
      <c r="D528" s="35">
        <v>2008</v>
      </c>
      <c r="E528" s="35">
        <v>285</v>
      </c>
      <c r="F528" s="35">
        <v>154</v>
      </c>
      <c r="G528" s="35">
        <v>131</v>
      </c>
      <c r="H528" s="1" t="s">
        <v>2</v>
      </c>
      <c r="I528" s="1"/>
      <c r="J528" s="1"/>
      <c r="K528" s="1"/>
      <c r="AA528" s="1"/>
    </row>
    <row r="529" spans="1:27" x14ac:dyDescent="0.25">
      <c r="A529" t="s">
        <v>78</v>
      </c>
      <c r="B529" t="str">
        <f t="shared" si="10"/>
        <v>1-</v>
      </c>
      <c r="C529" s="35">
        <v>2009</v>
      </c>
      <c r="D529" s="1" t="s">
        <v>4</v>
      </c>
      <c r="E529" s="35">
        <v>329</v>
      </c>
      <c r="F529" s="35">
        <v>172</v>
      </c>
      <c r="G529" s="35">
        <v>157</v>
      </c>
      <c r="H529" s="1" t="s">
        <v>2</v>
      </c>
      <c r="I529" s="1"/>
      <c r="J529" s="1"/>
      <c r="K529" s="1"/>
      <c r="AA529" s="1"/>
    </row>
    <row r="530" spans="1:27" x14ac:dyDescent="0.25">
      <c r="A530" t="s">
        <v>78</v>
      </c>
      <c r="B530" t="str">
        <f t="shared" si="10"/>
        <v>1-</v>
      </c>
      <c r="C530" s="35">
        <v>2009</v>
      </c>
      <c r="D530" s="35">
        <v>2009</v>
      </c>
      <c r="E530" s="35">
        <v>329</v>
      </c>
      <c r="F530" s="35">
        <v>172</v>
      </c>
      <c r="G530" s="35">
        <v>157</v>
      </c>
      <c r="H530" s="1" t="s">
        <v>2</v>
      </c>
      <c r="I530" s="1"/>
      <c r="J530" s="1"/>
      <c r="K530" s="1"/>
      <c r="AA530" s="1"/>
    </row>
    <row r="531" spans="1:27" x14ac:dyDescent="0.25">
      <c r="A531" t="s">
        <v>78</v>
      </c>
      <c r="B531" t="str">
        <f t="shared" si="10"/>
        <v>1-</v>
      </c>
      <c r="C531" s="35">
        <v>2010</v>
      </c>
      <c r="D531" s="1" t="s">
        <v>4</v>
      </c>
      <c r="E531" s="35">
        <v>296</v>
      </c>
      <c r="F531" s="35">
        <v>163</v>
      </c>
      <c r="G531" s="35">
        <v>133</v>
      </c>
      <c r="H531" s="1" t="s">
        <v>2</v>
      </c>
      <c r="I531" s="1"/>
      <c r="J531" s="1"/>
      <c r="K531" s="1"/>
      <c r="AA531" s="1"/>
    </row>
    <row r="532" spans="1:27" x14ac:dyDescent="0.25">
      <c r="A532" t="s">
        <v>78</v>
      </c>
      <c r="B532" t="str">
        <f t="shared" si="10"/>
        <v>1-</v>
      </c>
      <c r="C532" s="35">
        <v>2010</v>
      </c>
      <c r="D532" s="35">
        <v>2009</v>
      </c>
      <c r="E532" s="35">
        <v>1</v>
      </c>
      <c r="F532" s="35">
        <v>1</v>
      </c>
      <c r="G532" s="1" t="s">
        <v>2</v>
      </c>
      <c r="H532" s="1" t="s">
        <v>2</v>
      </c>
      <c r="I532" s="1"/>
      <c r="J532" s="1"/>
      <c r="K532" s="1"/>
      <c r="AA532" s="1"/>
    </row>
    <row r="533" spans="1:27" x14ac:dyDescent="0.25">
      <c r="A533" t="s">
        <v>78</v>
      </c>
      <c r="B533" t="str">
        <f t="shared" si="10"/>
        <v>1-</v>
      </c>
      <c r="C533" s="35">
        <v>2010</v>
      </c>
      <c r="D533" s="35">
        <v>2010</v>
      </c>
      <c r="E533" s="35">
        <v>295</v>
      </c>
      <c r="F533" s="35">
        <v>162</v>
      </c>
      <c r="G533" s="35">
        <v>133</v>
      </c>
      <c r="H533" s="1" t="s">
        <v>2</v>
      </c>
      <c r="I533" s="1"/>
      <c r="J533" s="1"/>
      <c r="K533" s="1"/>
      <c r="AA533" s="1"/>
    </row>
    <row r="534" spans="1:27" x14ac:dyDescent="0.25">
      <c r="A534" t="s">
        <v>78</v>
      </c>
      <c r="B534" t="str">
        <f t="shared" si="10"/>
        <v>1-</v>
      </c>
      <c r="C534" s="35">
        <v>2011</v>
      </c>
      <c r="D534" s="1" t="s">
        <v>4</v>
      </c>
      <c r="E534" s="35">
        <v>289</v>
      </c>
      <c r="F534" s="35">
        <v>169</v>
      </c>
      <c r="G534" s="35">
        <v>120</v>
      </c>
      <c r="H534" s="1" t="s">
        <v>2</v>
      </c>
      <c r="I534" s="1"/>
      <c r="J534" s="1"/>
      <c r="K534" s="1"/>
      <c r="AA534" s="1"/>
    </row>
    <row r="535" spans="1:27" x14ac:dyDescent="0.25">
      <c r="A535" t="s">
        <v>78</v>
      </c>
      <c r="B535" t="str">
        <f t="shared" si="10"/>
        <v>1-</v>
      </c>
      <c r="C535" s="35">
        <v>2011</v>
      </c>
      <c r="D535" s="35">
        <v>2010</v>
      </c>
      <c r="E535" s="35">
        <v>2</v>
      </c>
      <c r="F535" s="35">
        <v>1</v>
      </c>
      <c r="G535" s="35">
        <v>1</v>
      </c>
      <c r="H535" s="1" t="s">
        <v>2</v>
      </c>
      <c r="I535" s="1"/>
      <c r="J535" s="1"/>
      <c r="K535" s="1"/>
      <c r="AA535" s="1"/>
    </row>
    <row r="536" spans="1:27" x14ac:dyDescent="0.25">
      <c r="A536" t="s">
        <v>78</v>
      </c>
      <c r="B536" t="str">
        <f t="shared" si="10"/>
        <v>1-</v>
      </c>
      <c r="C536" s="35">
        <v>2011</v>
      </c>
      <c r="D536" s="35">
        <v>2011</v>
      </c>
      <c r="E536" s="35">
        <v>287</v>
      </c>
      <c r="F536" s="35">
        <v>168</v>
      </c>
      <c r="G536" s="35">
        <v>119</v>
      </c>
      <c r="H536" s="1" t="s">
        <v>2</v>
      </c>
      <c r="I536" s="1"/>
      <c r="J536" s="1"/>
      <c r="K536" s="1"/>
      <c r="AA536" s="1"/>
    </row>
    <row r="537" spans="1:27" x14ac:dyDescent="0.25">
      <c r="A537" t="s">
        <v>78</v>
      </c>
      <c r="B537" t="str">
        <f t="shared" si="10"/>
        <v>1-</v>
      </c>
      <c r="C537" s="35">
        <v>2012</v>
      </c>
      <c r="D537" s="1" t="s">
        <v>4</v>
      </c>
      <c r="E537" s="35">
        <v>269</v>
      </c>
      <c r="F537" s="35">
        <v>150</v>
      </c>
      <c r="G537" s="35">
        <v>119</v>
      </c>
      <c r="H537" s="1" t="s">
        <v>2</v>
      </c>
      <c r="I537" s="1"/>
      <c r="J537" s="1"/>
      <c r="K537" s="1"/>
      <c r="AA537" s="1"/>
    </row>
    <row r="538" spans="1:27" x14ac:dyDescent="0.25">
      <c r="A538" t="s">
        <v>78</v>
      </c>
      <c r="B538" t="str">
        <f t="shared" si="10"/>
        <v>1-</v>
      </c>
      <c r="C538" s="35">
        <v>2012</v>
      </c>
      <c r="D538" s="35">
        <v>2012</v>
      </c>
      <c r="E538" s="35">
        <v>269</v>
      </c>
      <c r="F538" s="35">
        <v>150</v>
      </c>
      <c r="G538" s="35">
        <v>119</v>
      </c>
      <c r="H538" s="1" t="s">
        <v>2</v>
      </c>
      <c r="I538" s="1"/>
      <c r="J538" s="1"/>
      <c r="K538" s="1"/>
      <c r="AA538" s="1"/>
    </row>
    <row r="539" spans="1:27" x14ac:dyDescent="0.25">
      <c r="A539" t="s">
        <v>78</v>
      </c>
      <c r="B539" t="str">
        <f t="shared" si="10"/>
        <v>1-</v>
      </c>
      <c r="C539" s="35">
        <v>2013</v>
      </c>
      <c r="D539" s="1" t="s">
        <v>4</v>
      </c>
      <c r="E539" s="35">
        <v>254</v>
      </c>
      <c r="F539" s="35">
        <v>137</v>
      </c>
      <c r="G539" s="35">
        <v>117</v>
      </c>
      <c r="H539" s="1" t="s">
        <v>2</v>
      </c>
      <c r="I539" s="1"/>
      <c r="J539" s="1"/>
      <c r="K539" s="1"/>
      <c r="AA539" s="1"/>
    </row>
    <row r="540" spans="1:27" x14ac:dyDescent="0.25">
      <c r="A540" t="s">
        <v>78</v>
      </c>
      <c r="B540" t="str">
        <f t="shared" si="10"/>
        <v>1-</v>
      </c>
      <c r="C540" s="35">
        <v>2013</v>
      </c>
      <c r="D540" s="35">
        <v>2013</v>
      </c>
      <c r="E540" s="35">
        <v>254</v>
      </c>
      <c r="F540" s="35">
        <v>137</v>
      </c>
      <c r="G540" s="35">
        <v>117</v>
      </c>
      <c r="H540" s="1" t="s">
        <v>2</v>
      </c>
      <c r="I540" s="1"/>
      <c r="J540" s="1"/>
      <c r="K540" s="1"/>
      <c r="AA540" s="1"/>
    </row>
    <row r="541" spans="1:27" x14ac:dyDescent="0.25">
      <c r="A541" t="s">
        <v>78</v>
      </c>
      <c r="B541" t="str">
        <f t="shared" si="10"/>
        <v>1-</v>
      </c>
      <c r="C541" s="35">
        <v>2014</v>
      </c>
      <c r="D541" s="1" t="s">
        <v>4</v>
      </c>
      <c r="E541" s="35">
        <v>247</v>
      </c>
      <c r="F541" s="35">
        <v>145</v>
      </c>
      <c r="G541" s="35">
        <v>102</v>
      </c>
      <c r="H541" s="1" t="s">
        <v>2</v>
      </c>
      <c r="I541" s="1"/>
      <c r="J541" s="1"/>
      <c r="K541" s="1"/>
      <c r="AA541" s="1"/>
    </row>
    <row r="542" spans="1:27" x14ac:dyDescent="0.25">
      <c r="A542" t="s">
        <v>78</v>
      </c>
      <c r="B542" t="str">
        <f t="shared" si="10"/>
        <v>1-</v>
      </c>
      <c r="C542" s="35">
        <v>2014</v>
      </c>
      <c r="D542" s="35">
        <v>2013</v>
      </c>
      <c r="E542" s="35">
        <v>2</v>
      </c>
      <c r="F542" s="35">
        <v>2</v>
      </c>
      <c r="G542" s="1" t="s">
        <v>2</v>
      </c>
      <c r="H542" s="1" t="s">
        <v>2</v>
      </c>
      <c r="I542" s="1"/>
      <c r="J542" s="1"/>
      <c r="K542" s="1"/>
      <c r="AA542" s="1"/>
    </row>
    <row r="543" spans="1:27" x14ac:dyDescent="0.25">
      <c r="A543" t="s">
        <v>78</v>
      </c>
      <c r="B543" t="str">
        <f t="shared" si="10"/>
        <v>1-</v>
      </c>
      <c r="C543" s="35">
        <v>2014</v>
      </c>
      <c r="D543" s="35">
        <v>2014</v>
      </c>
      <c r="E543" s="35">
        <v>245</v>
      </c>
      <c r="F543" s="35">
        <v>143</v>
      </c>
      <c r="G543" s="35">
        <v>102</v>
      </c>
      <c r="H543" s="1" t="s">
        <v>2</v>
      </c>
      <c r="I543" s="1"/>
      <c r="J543" s="1"/>
      <c r="K543" s="1"/>
      <c r="AA543" s="1"/>
    </row>
    <row r="544" spans="1:27" x14ac:dyDescent="0.25">
      <c r="A544" t="s">
        <v>78</v>
      </c>
      <c r="B544" t="str">
        <f t="shared" si="10"/>
        <v>1-</v>
      </c>
      <c r="C544" s="35">
        <v>2015</v>
      </c>
      <c r="D544" s="1" t="s">
        <v>4</v>
      </c>
      <c r="E544" s="35">
        <v>217</v>
      </c>
      <c r="F544" s="35">
        <v>124</v>
      </c>
      <c r="G544" s="35">
        <v>93</v>
      </c>
      <c r="H544" s="1" t="s">
        <v>2</v>
      </c>
      <c r="I544" s="1"/>
      <c r="J544" s="1"/>
      <c r="K544" s="1"/>
      <c r="AA544" s="1"/>
    </row>
    <row r="545" spans="1:27" x14ac:dyDescent="0.25">
      <c r="A545" t="s">
        <v>78</v>
      </c>
      <c r="B545" t="str">
        <f t="shared" si="10"/>
        <v>1-</v>
      </c>
      <c r="C545" s="35">
        <v>2015</v>
      </c>
      <c r="D545" s="35">
        <v>2015</v>
      </c>
      <c r="E545" s="35">
        <v>217</v>
      </c>
      <c r="F545" s="35">
        <v>124</v>
      </c>
      <c r="G545" s="35">
        <v>93</v>
      </c>
      <c r="H545" s="1" t="s">
        <v>2</v>
      </c>
      <c r="I545" s="1"/>
      <c r="J545" s="1"/>
      <c r="K545" s="1"/>
      <c r="AA545" s="1"/>
    </row>
    <row r="546" spans="1:27" x14ac:dyDescent="0.25">
      <c r="A546" t="s">
        <v>78</v>
      </c>
      <c r="B546" t="str">
        <f t="shared" si="10"/>
        <v>1-</v>
      </c>
      <c r="C546" s="35">
        <v>2016</v>
      </c>
      <c r="D546" s="1" t="s">
        <v>4</v>
      </c>
      <c r="E546" s="35">
        <v>223</v>
      </c>
      <c r="F546" s="35">
        <v>111</v>
      </c>
      <c r="G546" s="35">
        <v>112</v>
      </c>
      <c r="H546" s="1" t="s">
        <v>2</v>
      </c>
      <c r="I546" s="1"/>
      <c r="J546" s="1"/>
      <c r="K546" s="1"/>
      <c r="AA546" s="1"/>
    </row>
    <row r="547" spans="1:27" x14ac:dyDescent="0.25">
      <c r="A547" t="s">
        <v>78</v>
      </c>
      <c r="B547" t="str">
        <f t="shared" si="10"/>
        <v>1-</v>
      </c>
      <c r="C547" s="35">
        <v>2016</v>
      </c>
      <c r="D547" s="35">
        <v>2015</v>
      </c>
      <c r="E547" s="35">
        <v>1</v>
      </c>
      <c r="F547" s="1" t="s">
        <v>2</v>
      </c>
      <c r="G547" s="35">
        <v>1</v>
      </c>
      <c r="H547" s="1" t="s">
        <v>2</v>
      </c>
      <c r="I547" s="1"/>
      <c r="J547" s="1"/>
      <c r="K547" s="1"/>
      <c r="AA547" s="1"/>
    </row>
    <row r="548" spans="1:27" x14ac:dyDescent="0.25">
      <c r="A548" t="s">
        <v>78</v>
      </c>
      <c r="B548" t="str">
        <f t="shared" si="10"/>
        <v>1-</v>
      </c>
      <c r="C548" s="35">
        <v>2016</v>
      </c>
      <c r="D548" s="35">
        <v>2016</v>
      </c>
      <c r="E548" s="35">
        <v>222</v>
      </c>
      <c r="F548" s="35">
        <v>111</v>
      </c>
      <c r="G548" s="35">
        <v>111</v>
      </c>
      <c r="H548" s="1" t="s">
        <v>2</v>
      </c>
      <c r="I548" s="1"/>
      <c r="J548" s="1"/>
      <c r="K548" s="1"/>
      <c r="AA548" s="1"/>
    </row>
    <row r="549" spans="1:27" x14ac:dyDescent="0.25">
      <c r="A549" t="s">
        <v>78</v>
      </c>
      <c r="B549" t="str">
        <f t="shared" si="10"/>
        <v>1-</v>
      </c>
      <c r="C549" s="35">
        <v>2017</v>
      </c>
      <c r="D549" s="1" t="s">
        <v>4</v>
      </c>
      <c r="E549" s="35">
        <v>242</v>
      </c>
      <c r="F549" s="35">
        <v>133</v>
      </c>
      <c r="G549" s="35">
        <v>109</v>
      </c>
      <c r="H549" s="1" t="s">
        <v>2</v>
      </c>
      <c r="I549" s="1"/>
      <c r="J549" s="1"/>
      <c r="K549" s="1"/>
      <c r="AA549" s="1"/>
    </row>
    <row r="550" spans="1:27" x14ac:dyDescent="0.25">
      <c r="A550" t="s">
        <v>78</v>
      </c>
      <c r="B550" t="str">
        <f t="shared" si="10"/>
        <v>1-</v>
      </c>
      <c r="C550" s="35">
        <v>2017</v>
      </c>
      <c r="D550" s="35">
        <v>2017</v>
      </c>
      <c r="E550" s="35">
        <v>242</v>
      </c>
      <c r="F550" s="35">
        <v>133</v>
      </c>
      <c r="G550" s="35">
        <v>109</v>
      </c>
      <c r="H550" s="1" t="s">
        <v>2</v>
      </c>
      <c r="I550" s="1"/>
      <c r="J550" s="1"/>
      <c r="K550" s="1"/>
      <c r="AA550" s="1"/>
    </row>
    <row r="551" spans="1:27" x14ac:dyDescent="0.25">
      <c r="A551" t="s">
        <v>78</v>
      </c>
      <c r="B551" t="str">
        <f t="shared" si="10"/>
        <v>1-</v>
      </c>
      <c r="C551" s="35">
        <v>2018</v>
      </c>
      <c r="D551" s="1" t="s">
        <v>4</v>
      </c>
      <c r="E551" s="35">
        <v>198</v>
      </c>
      <c r="F551" s="35">
        <v>108</v>
      </c>
      <c r="G551" s="35">
        <v>90</v>
      </c>
      <c r="H551" s="1" t="s">
        <v>2</v>
      </c>
      <c r="I551" s="1"/>
      <c r="J551" s="1"/>
      <c r="K551" s="1"/>
      <c r="AA551" s="1"/>
    </row>
    <row r="552" spans="1:27" x14ac:dyDescent="0.25">
      <c r="A552" t="s">
        <v>78</v>
      </c>
      <c r="B552" t="str">
        <f t="shared" si="10"/>
        <v>1-</v>
      </c>
      <c r="C552" s="35">
        <v>2018</v>
      </c>
      <c r="D552" s="35">
        <v>2018</v>
      </c>
      <c r="E552" s="35">
        <v>198</v>
      </c>
      <c r="F552" s="35">
        <v>108</v>
      </c>
      <c r="G552" s="35">
        <v>90</v>
      </c>
      <c r="H552" s="1" t="s">
        <v>2</v>
      </c>
      <c r="I552" s="1"/>
      <c r="J552" s="1"/>
      <c r="K552" s="1"/>
      <c r="AA552" s="1"/>
    </row>
    <row r="553" spans="1:27" x14ac:dyDescent="0.25">
      <c r="A553" t="s">
        <v>78</v>
      </c>
      <c r="B553" t="str">
        <f t="shared" si="10"/>
        <v>1-</v>
      </c>
      <c r="C553" s="35">
        <v>2019</v>
      </c>
      <c r="D553" s="1" t="s">
        <v>4</v>
      </c>
      <c r="E553" s="35">
        <v>214</v>
      </c>
      <c r="F553" s="35">
        <v>108</v>
      </c>
      <c r="G553" s="35">
        <v>106</v>
      </c>
      <c r="H553" s="1" t="s">
        <v>2</v>
      </c>
      <c r="I553" s="1"/>
      <c r="J553" s="1"/>
      <c r="K553" s="1"/>
      <c r="AA553" s="1"/>
    </row>
    <row r="554" spans="1:27" x14ac:dyDescent="0.25">
      <c r="A554" t="s">
        <v>78</v>
      </c>
      <c r="B554" t="str">
        <f t="shared" si="10"/>
        <v>1-</v>
      </c>
      <c r="C554" s="35">
        <v>2019</v>
      </c>
      <c r="D554" s="35">
        <v>2018</v>
      </c>
      <c r="E554" s="35">
        <v>1</v>
      </c>
      <c r="F554" s="35">
        <v>1</v>
      </c>
      <c r="G554" s="1" t="s">
        <v>2</v>
      </c>
      <c r="H554" s="1" t="s">
        <v>2</v>
      </c>
      <c r="I554" s="1"/>
      <c r="J554" s="1"/>
      <c r="K554" s="1"/>
      <c r="AA554" s="1"/>
    </row>
    <row r="555" spans="1:27" x14ac:dyDescent="0.25">
      <c r="A555" t="s">
        <v>78</v>
      </c>
      <c r="B555" t="str">
        <f t="shared" si="10"/>
        <v>1-</v>
      </c>
      <c r="C555" s="35">
        <v>2019</v>
      </c>
      <c r="D555" s="35">
        <v>2019</v>
      </c>
      <c r="E555" s="35">
        <v>213</v>
      </c>
      <c r="F555" s="35">
        <v>107</v>
      </c>
      <c r="G555" s="35">
        <v>106</v>
      </c>
      <c r="H555" s="1" t="s">
        <v>2</v>
      </c>
      <c r="I555" s="1"/>
      <c r="J555" s="1"/>
      <c r="K555" s="1"/>
      <c r="AA555" s="1"/>
    </row>
    <row r="556" spans="1:27" x14ac:dyDescent="0.25">
      <c r="A556" t="s">
        <v>78</v>
      </c>
      <c r="B556" t="str">
        <f t="shared" si="10"/>
        <v>1-</v>
      </c>
      <c r="C556" s="35">
        <v>2020</v>
      </c>
      <c r="D556" s="1" t="s">
        <v>4</v>
      </c>
      <c r="E556" s="35">
        <v>162</v>
      </c>
      <c r="F556" s="35">
        <v>89</v>
      </c>
      <c r="G556" s="35">
        <v>73</v>
      </c>
      <c r="H556" s="1" t="s">
        <v>2</v>
      </c>
      <c r="I556" s="1"/>
      <c r="J556" s="1"/>
      <c r="K556" s="1"/>
      <c r="AA556" s="1"/>
    </row>
    <row r="557" spans="1:27" x14ac:dyDescent="0.25">
      <c r="A557" t="s">
        <v>78</v>
      </c>
      <c r="B557" t="str">
        <f t="shared" si="10"/>
        <v>1-</v>
      </c>
      <c r="C557" s="35">
        <v>2020</v>
      </c>
      <c r="D557" s="35">
        <v>2020</v>
      </c>
      <c r="E557" s="35">
        <v>162</v>
      </c>
      <c r="F557" s="35">
        <v>89</v>
      </c>
      <c r="G557" s="35">
        <v>73</v>
      </c>
      <c r="H557" s="1" t="s">
        <v>2</v>
      </c>
      <c r="I557" s="1"/>
      <c r="J557" s="1"/>
      <c r="K557" s="1"/>
      <c r="AA557" s="1"/>
    </row>
    <row r="558" spans="1:27" x14ac:dyDescent="0.25">
      <c r="A558" t="s">
        <v>78</v>
      </c>
      <c r="B558" t="str">
        <f t="shared" si="10"/>
        <v>1-</v>
      </c>
      <c r="C558" s="35">
        <v>2021</v>
      </c>
      <c r="D558" s="1" t="s">
        <v>4</v>
      </c>
      <c r="E558" s="35">
        <v>135</v>
      </c>
      <c r="F558" s="35">
        <v>75</v>
      </c>
      <c r="G558" s="35">
        <v>60</v>
      </c>
      <c r="H558" s="1" t="s">
        <v>2</v>
      </c>
      <c r="I558" s="1"/>
      <c r="J558" s="1"/>
      <c r="K558" s="1"/>
      <c r="AA558" s="1"/>
    </row>
    <row r="559" spans="1:27" x14ac:dyDescent="0.25">
      <c r="A559" t="s">
        <v>78</v>
      </c>
      <c r="B559" t="str">
        <f t="shared" si="10"/>
        <v>1-</v>
      </c>
      <c r="C559" s="35">
        <v>2021</v>
      </c>
      <c r="D559" s="35">
        <v>2021</v>
      </c>
      <c r="E559" s="35">
        <v>135</v>
      </c>
      <c r="F559" s="35">
        <v>75</v>
      </c>
      <c r="G559" s="35">
        <v>60</v>
      </c>
      <c r="H559" s="1" t="s">
        <v>2</v>
      </c>
      <c r="I559" s="1"/>
      <c r="J559" s="1"/>
      <c r="K559" s="1"/>
      <c r="AA559" s="1"/>
    </row>
    <row r="560" spans="1:27" x14ac:dyDescent="0.25">
      <c r="A560" t="s">
        <v>78</v>
      </c>
      <c r="B560" t="str">
        <f t="shared" si="10"/>
        <v>1-</v>
      </c>
      <c r="C560" s="35">
        <v>2022</v>
      </c>
      <c r="D560" s="1" t="s">
        <v>4</v>
      </c>
      <c r="E560" s="35">
        <v>139</v>
      </c>
      <c r="F560" s="35">
        <v>83</v>
      </c>
      <c r="G560" s="35">
        <v>56</v>
      </c>
      <c r="H560" s="1" t="s">
        <v>2</v>
      </c>
      <c r="I560" s="1"/>
      <c r="J560" s="1"/>
      <c r="K560" s="1"/>
      <c r="AA560" s="1"/>
    </row>
    <row r="561" spans="1:27" x14ac:dyDescent="0.25">
      <c r="A561" t="s">
        <v>78</v>
      </c>
      <c r="B561" t="str">
        <f t="shared" si="10"/>
        <v>1-</v>
      </c>
      <c r="C561" s="35">
        <v>2022</v>
      </c>
      <c r="D561" s="35">
        <v>2022</v>
      </c>
      <c r="E561" s="35">
        <v>139</v>
      </c>
      <c r="F561" s="35">
        <v>83</v>
      </c>
      <c r="G561" s="35">
        <v>56</v>
      </c>
      <c r="H561" s="1" t="s">
        <v>2</v>
      </c>
      <c r="I561" s="1"/>
      <c r="J561" s="1"/>
      <c r="K561" s="1"/>
      <c r="AA561" s="1"/>
    </row>
    <row r="562" spans="1:27" x14ac:dyDescent="0.25">
      <c r="A562" t="s">
        <v>78</v>
      </c>
      <c r="B562" t="str">
        <f t="shared" si="10"/>
        <v>1-</v>
      </c>
      <c r="C562" s="35">
        <v>2023</v>
      </c>
      <c r="D562" s="1" t="s">
        <v>4</v>
      </c>
      <c r="E562" s="35">
        <v>138</v>
      </c>
      <c r="F562" s="35">
        <v>75</v>
      </c>
      <c r="G562" s="35">
        <v>63</v>
      </c>
      <c r="H562" s="1" t="s">
        <v>2</v>
      </c>
      <c r="I562" s="1"/>
      <c r="J562" s="1"/>
      <c r="K562" s="1"/>
      <c r="AA562" s="1"/>
    </row>
    <row r="563" spans="1:27" x14ac:dyDescent="0.25">
      <c r="A563" t="s">
        <v>78</v>
      </c>
      <c r="B563" t="str">
        <f t="shared" si="10"/>
        <v>1-</v>
      </c>
      <c r="C563" s="35">
        <v>2023</v>
      </c>
      <c r="D563" s="35">
        <v>2023</v>
      </c>
      <c r="E563" s="35">
        <v>138</v>
      </c>
      <c r="F563" s="35">
        <v>75</v>
      </c>
      <c r="G563" s="35">
        <v>63</v>
      </c>
      <c r="H563" s="1" t="s">
        <v>2</v>
      </c>
      <c r="I563" s="1"/>
      <c r="J563" s="1"/>
      <c r="K563" s="1"/>
      <c r="AA563" s="1"/>
    </row>
    <row r="564" spans="1:27" x14ac:dyDescent="0.25">
      <c r="A564" t="s">
        <v>78</v>
      </c>
      <c r="B564" t="str">
        <f t="shared" si="10"/>
        <v>1-</v>
      </c>
      <c r="C564" s="35">
        <v>2024</v>
      </c>
      <c r="D564" s="1" t="s">
        <v>4</v>
      </c>
      <c r="E564" s="35">
        <v>138</v>
      </c>
      <c r="F564" s="35">
        <v>73</v>
      </c>
      <c r="G564" s="35">
        <v>65</v>
      </c>
      <c r="H564" s="1" t="s">
        <v>2</v>
      </c>
      <c r="I564" s="1"/>
      <c r="J564" s="1"/>
      <c r="K564" s="1"/>
      <c r="AA564" s="1"/>
    </row>
    <row r="565" spans="1:27" x14ac:dyDescent="0.25">
      <c r="A565" t="s">
        <v>78</v>
      </c>
      <c r="B565" t="str">
        <f t="shared" si="10"/>
        <v>1-</v>
      </c>
      <c r="C565" s="35">
        <v>2024</v>
      </c>
      <c r="D565" s="35">
        <v>2024</v>
      </c>
      <c r="E565" s="35">
        <v>138</v>
      </c>
      <c r="F565" s="35">
        <v>73</v>
      </c>
      <c r="G565" s="35">
        <v>65</v>
      </c>
      <c r="H565" s="1" t="s">
        <v>2</v>
      </c>
      <c r="I565" s="1"/>
      <c r="J565" s="1"/>
      <c r="K565" s="1"/>
      <c r="AA565" s="1"/>
    </row>
    <row r="566" spans="1:27" x14ac:dyDescent="0.25">
      <c r="A566" t="s">
        <v>79</v>
      </c>
      <c r="B566" t="str">
        <f t="shared" si="10"/>
        <v>5-</v>
      </c>
      <c r="C566" s="35">
        <v>1990</v>
      </c>
      <c r="D566" s="1" t="s">
        <v>4</v>
      </c>
      <c r="E566" s="35">
        <v>311</v>
      </c>
      <c r="F566" s="35">
        <v>159</v>
      </c>
      <c r="G566" s="35">
        <v>151</v>
      </c>
      <c r="H566" s="35">
        <v>1</v>
      </c>
      <c r="I566" s="1"/>
      <c r="J566" s="1"/>
      <c r="K566" s="1"/>
      <c r="AA566" s="1"/>
    </row>
    <row r="567" spans="1:27" x14ac:dyDescent="0.25">
      <c r="A567" t="s">
        <v>79</v>
      </c>
      <c r="B567" t="str">
        <f t="shared" si="10"/>
        <v>5-</v>
      </c>
      <c r="C567" s="35">
        <v>1990</v>
      </c>
      <c r="D567" s="35">
        <v>1990</v>
      </c>
      <c r="E567" s="35">
        <v>308</v>
      </c>
      <c r="F567" s="35">
        <v>158</v>
      </c>
      <c r="G567" s="35">
        <v>149</v>
      </c>
      <c r="H567" s="35">
        <v>1</v>
      </c>
      <c r="I567" s="1"/>
      <c r="J567" s="1"/>
      <c r="K567" s="1"/>
      <c r="AA567" s="1"/>
    </row>
    <row r="568" spans="1:27" x14ac:dyDescent="0.25">
      <c r="A568" t="s">
        <v>79</v>
      </c>
      <c r="B568" t="str">
        <f t="shared" si="10"/>
        <v>5-</v>
      </c>
      <c r="C568" s="35">
        <v>1990</v>
      </c>
      <c r="D568" s="1" t="s">
        <v>24</v>
      </c>
      <c r="E568" s="35">
        <v>3</v>
      </c>
      <c r="F568" s="35">
        <v>1</v>
      </c>
      <c r="G568" s="35">
        <v>2</v>
      </c>
      <c r="H568" s="1" t="s">
        <v>2</v>
      </c>
      <c r="I568" s="1"/>
      <c r="J568" s="1"/>
      <c r="K568" s="1"/>
      <c r="AA568" s="1"/>
    </row>
    <row r="569" spans="1:27" x14ac:dyDescent="0.25">
      <c r="A569" t="s">
        <v>79</v>
      </c>
      <c r="B569" t="str">
        <f t="shared" si="10"/>
        <v>5-</v>
      </c>
      <c r="C569" s="35">
        <v>1991</v>
      </c>
      <c r="D569" s="1" t="s">
        <v>4</v>
      </c>
      <c r="E569" s="35">
        <v>279</v>
      </c>
      <c r="F569" s="35">
        <v>166</v>
      </c>
      <c r="G569" s="35">
        <v>113</v>
      </c>
      <c r="H569" s="1" t="s">
        <v>2</v>
      </c>
      <c r="I569" s="1"/>
      <c r="J569" s="1"/>
      <c r="K569" s="1"/>
      <c r="AA569" s="1"/>
    </row>
    <row r="570" spans="1:27" x14ac:dyDescent="0.25">
      <c r="A570" t="s">
        <v>79</v>
      </c>
      <c r="B570" t="str">
        <f t="shared" si="10"/>
        <v>5-</v>
      </c>
      <c r="C570" s="35">
        <v>1991</v>
      </c>
      <c r="D570" s="35">
        <v>1991</v>
      </c>
      <c r="E570" s="35">
        <v>277</v>
      </c>
      <c r="F570" s="35">
        <v>164</v>
      </c>
      <c r="G570" s="35">
        <v>113</v>
      </c>
      <c r="H570" s="1" t="s">
        <v>2</v>
      </c>
      <c r="I570" s="1"/>
      <c r="J570" s="1"/>
      <c r="K570" s="1"/>
      <c r="AA570" s="1"/>
    </row>
    <row r="571" spans="1:27" x14ac:dyDescent="0.25">
      <c r="A571" t="s">
        <v>79</v>
      </c>
      <c r="B571" t="str">
        <f t="shared" si="10"/>
        <v>5-</v>
      </c>
      <c r="C571" s="35">
        <v>1991</v>
      </c>
      <c r="D571" s="1" t="s">
        <v>24</v>
      </c>
      <c r="E571" s="35">
        <v>2</v>
      </c>
      <c r="F571" s="35">
        <v>2</v>
      </c>
      <c r="G571" s="1" t="s">
        <v>2</v>
      </c>
      <c r="H571" s="1" t="s">
        <v>2</v>
      </c>
      <c r="I571" s="1"/>
      <c r="J571" s="1"/>
      <c r="K571" s="1"/>
      <c r="AA571" s="1"/>
    </row>
    <row r="572" spans="1:27" x14ac:dyDescent="0.25">
      <c r="A572" t="s">
        <v>79</v>
      </c>
      <c r="B572" t="str">
        <f t="shared" si="10"/>
        <v>5-</v>
      </c>
      <c r="C572" s="35">
        <v>1992</v>
      </c>
      <c r="D572" s="1" t="s">
        <v>4</v>
      </c>
      <c r="E572" s="35">
        <v>234</v>
      </c>
      <c r="F572" s="35">
        <v>129</v>
      </c>
      <c r="G572" s="35">
        <v>104</v>
      </c>
      <c r="H572" s="35">
        <v>1</v>
      </c>
      <c r="I572" s="1"/>
      <c r="J572" s="1"/>
      <c r="K572" s="1"/>
      <c r="AA572" s="1"/>
    </row>
    <row r="573" spans="1:27" x14ac:dyDescent="0.25">
      <c r="A573" t="s">
        <v>79</v>
      </c>
      <c r="B573" t="str">
        <f t="shared" si="10"/>
        <v>5-</v>
      </c>
      <c r="C573" s="35">
        <v>1992</v>
      </c>
      <c r="D573" s="35">
        <v>1992</v>
      </c>
      <c r="E573" s="35">
        <v>231</v>
      </c>
      <c r="F573" s="35">
        <v>128</v>
      </c>
      <c r="G573" s="35">
        <v>103</v>
      </c>
      <c r="H573" s="1" t="s">
        <v>2</v>
      </c>
      <c r="I573" s="1"/>
      <c r="J573" s="1"/>
      <c r="K573" s="1"/>
      <c r="AA573" s="1"/>
    </row>
    <row r="574" spans="1:27" x14ac:dyDescent="0.25">
      <c r="A574" t="s">
        <v>79</v>
      </c>
      <c r="B574" t="str">
        <f t="shared" si="10"/>
        <v>5-</v>
      </c>
      <c r="C574" s="35">
        <v>1992</v>
      </c>
      <c r="D574" s="1" t="s">
        <v>24</v>
      </c>
      <c r="E574" s="35">
        <v>3</v>
      </c>
      <c r="F574" s="35">
        <v>1</v>
      </c>
      <c r="G574" s="35">
        <v>1</v>
      </c>
      <c r="H574" s="35">
        <v>1</v>
      </c>
      <c r="I574" s="1"/>
      <c r="J574" s="1"/>
      <c r="K574" s="1"/>
      <c r="AA574" s="1"/>
    </row>
    <row r="575" spans="1:27" x14ac:dyDescent="0.25">
      <c r="A575" t="s">
        <v>79</v>
      </c>
      <c r="B575" t="str">
        <f t="shared" si="10"/>
        <v>5-</v>
      </c>
      <c r="C575" s="35">
        <v>1993</v>
      </c>
      <c r="D575" s="1" t="s">
        <v>4</v>
      </c>
      <c r="E575" s="35">
        <v>246</v>
      </c>
      <c r="F575" s="35">
        <v>147</v>
      </c>
      <c r="G575" s="35">
        <v>99</v>
      </c>
      <c r="H575" s="1" t="s">
        <v>2</v>
      </c>
      <c r="I575" s="1"/>
      <c r="J575" s="1"/>
      <c r="K575" s="1"/>
      <c r="AA575" s="1"/>
    </row>
    <row r="576" spans="1:27" x14ac:dyDescent="0.25">
      <c r="A576" t="s">
        <v>79</v>
      </c>
      <c r="B576" t="str">
        <f t="shared" si="10"/>
        <v>5-</v>
      </c>
      <c r="C576" s="35">
        <v>1993</v>
      </c>
      <c r="D576" s="35">
        <v>1992</v>
      </c>
      <c r="E576" s="35">
        <v>2</v>
      </c>
      <c r="F576" s="35">
        <v>1</v>
      </c>
      <c r="G576" s="35">
        <v>1</v>
      </c>
      <c r="H576" s="1" t="s">
        <v>2</v>
      </c>
      <c r="I576" s="1"/>
      <c r="J576" s="1"/>
      <c r="K576" s="1"/>
      <c r="AA576" s="1"/>
    </row>
    <row r="577" spans="1:27" x14ac:dyDescent="0.25">
      <c r="A577" t="s">
        <v>79</v>
      </c>
      <c r="B577" t="str">
        <f t="shared" si="10"/>
        <v>5-</v>
      </c>
      <c r="C577" s="35">
        <v>1993</v>
      </c>
      <c r="D577" s="35">
        <v>1993</v>
      </c>
      <c r="E577" s="35">
        <v>244</v>
      </c>
      <c r="F577" s="35">
        <v>146</v>
      </c>
      <c r="G577" s="35">
        <v>98</v>
      </c>
      <c r="H577" s="1" t="s">
        <v>2</v>
      </c>
      <c r="I577" s="1"/>
      <c r="J577" s="1"/>
      <c r="K577" s="1"/>
      <c r="AA577" s="1"/>
    </row>
    <row r="578" spans="1:27" x14ac:dyDescent="0.25">
      <c r="A578" t="s">
        <v>79</v>
      </c>
      <c r="B578" t="str">
        <f t="shared" si="10"/>
        <v>5-</v>
      </c>
      <c r="C578" s="35">
        <v>1994</v>
      </c>
      <c r="D578" s="1" t="s">
        <v>4</v>
      </c>
      <c r="E578" s="35">
        <v>226</v>
      </c>
      <c r="F578" s="35">
        <v>126</v>
      </c>
      <c r="G578" s="35">
        <v>100</v>
      </c>
      <c r="H578" s="1" t="s">
        <v>2</v>
      </c>
      <c r="I578" s="1"/>
      <c r="J578" s="1"/>
      <c r="K578" s="1"/>
      <c r="AA578" s="1"/>
    </row>
    <row r="579" spans="1:27" x14ac:dyDescent="0.25">
      <c r="A579" t="s">
        <v>79</v>
      </c>
      <c r="B579" t="str">
        <f t="shared" si="10"/>
        <v>5-</v>
      </c>
      <c r="C579" s="35">
        <v>1994</v>
      </c>
      <c r="D579" s="35">
        <v>1991</v>
      </c>
      <c r="E579" s="35">
        <v>1</v>
      </c>
      <c r="F579" s="1" t="s">
        <v>2</v>
      </c>
      <c r="G579" s="35">
        <v>1</v>
      </c>
      <c r="H579" s="1" t="s">
        <v>2</v>
      </c>
      <c r="I579" s="1"/>
      <c r="J579" s="1"/>
      <c r="K579" s="1"/>
      <c r="AA579" s="1"/>
    </row>
    <row r="580" spans="1:27" x14ac:dyDescent="0.25">
      <c r="A580" t="s">
        <v>79</v>
      </c>
      <c r="B580" t="str">
        <f t="shared" si="10"/>
        <v>5-</v>
      </c>
      <c r="C580" s="35">
        <v>1994</v>
      </c>
      <c r="D580" s="35">
        <v>1994</v>
      </c>
      <c r="E580" s="35">
        <v>225</v>
      </c>
      <c r="F580" s="35">
        <v>126</v>
      </c>
      <c r="G580" s="35">
        <v>99</v>
      </c>
      <c r="H580" s="1" t="s">
        <v>2</v>
      </c>
      <c r="I580" s="1"/>
      <c r="J580" s="1"/>
      <c r="K580" s="1"/>
      <c r="AA580" s="1"/>
    </row>
    <row r="581" spans="1:27" x14ac:dyDescent="0.25">
      <c r="A581" t="s">
        <v>79</v>
      </c>
      <c r="B581" t="str">
        <f t="shared" si="10"/>
        <v>5-</v>
      </c>
      <c r="C581" s="35">
        <v>1995</v>
      </c>
      <c r="D581" s="1" t="s">
        <v>4</v>
      </c>
      <c r="E581" s="35">
        <v>217</v>
      </c>
      <c r="F581" s="35">
        <v>134</v>
      </c>
      <c r="G581" s="35">
        <v>82</v>
      </c>
      <c r="H581" s="35">
        <v>1</v>
      </c>
      <c r="I581" s="1"/>
      <c r="J581" s="1"/>
      <c r="K581" s="1"/>
      <c r="AA581" s="1"/>
    </row>
    <row r="582" spans="1:27" x14ac:dyDescent="0.25">
      <c r="A582" t="s">
        <v>79</v>
      </c>
      <c r="B582" t="str">
        <f t="shared" si="10"/>
        <v>5-</v>
      </c>
      <c r="C582" s="35">
        <v>1995</v>
      </c>
      <c r="D582" s="35">
        <v>1994</v>
      </c>
      <c r="E582" s="35">
        <v>1</v>
      </c>
      <c r="F582" s="1" t="s">
        <v>2</v>
      </c>
      <c r="G582" s="35">
        <v>1</v>
      </c>
      <c r="H582" s="1" t="s">
        <v>2</v>
      </c>
      <c r="I582" s="1"/>
      <c r="J582" s="1"/>
      <c r="K582" s="1"/>
      <c r="AA582" s="1"/>
    </row>
    <row r="583" spans="1:27" x14ac:dyDescent="0.25">
      <c r="A583" t="s">
        <v>79</v>
      </c>
      <c r="B583" t="str">
        <f t="shared" ref="B583:B646" si="11">IF(A583="Menores de 1 año",0,LEFT(A583,2))</f>
        <v>5-</v>
      </c>
      <c r="C583" s="35">
        <v>1995</v>
      </c>
      <c r="D583" s="35">
        <v>1995</v>
      </c>
      <c r="E583" s="35">
        <v>216</v>
      </c>
      <c r="F583" s="35">
        <v>134</v>
      </c>
      <c r="G583" s="35">
        <v>81</v>
      </c>
      <c r="H583" s="35">
        <v>1</v>
      </c>
      <c r="I583" s="1"/>
      <c r="J583" s="1"/>
      <c r="K583" s="1"/>
      <c r="AA583" s="1"/>
    </row>
    <row r="584" spans="1:27" x14ac:dyDescent="0.25">
      <c r="A584" t="s">
        <v>79</v>
      </c>
      <c r="B584" t="str">
        <f t="shared" si="11"/>
        <v>5-</v>
      </c>
      <c r="C584" s="35">
        <v>1996</v>
      </c>
      <c r="D584" s="1" t="s">
        <v>4</v>
      </c>
      <c r="E584" s="35">
        <v>242</v>
      </c>
      <c r="F584" s="35">
        <v>129</v>
      </c>
      <c r="G584" s="35">
        <v>113</v>
      </c>
      <c r="H584" s="1" t="s">
        <v>2</v>
      </c>
      <c r="I584" s="1"/>
      <c r="J584" s="1"/>
      <c r="K584" s="1"/>
      <c r="AA584" s="1"/>
    </row>
    <row r="585" spans="1:27" x14ac:dyDescent="0.25">
      <c r="A585" t="s">
        <v>79</v>
      </c>
      <c r="B585" t="str">
        <f t="shared" si="11"/>
        <v>5-</v>
      </c>
      <c r="C585" s="35">
        <v>1996</v>
      </c>
      <c r="D585" s="35">
        <v>1995</v>
      </c>
      <c r="E585" s="35">
        <v>1</v>
      </c>
      <c r="F585" s="35">
        <v>1</v>
      </c>
      <c r="G585" s="1" t="s">
        <v>2</v>
      </c>
      <c r="H585" s="1" t="s">
        <v>2</v>
      </c>
      <c r="I585" s="1"/>
      <c r="J585" s="1"/>
      <c r="K585" s="1"/>
      <c r="AA585" s="1"/>
    </row>
    <row r="586" spans="1:27" x14ac:dyDescent="0.25">
      <c r="A586" t="s">
        <v>79</v>
      </c>
      <c r="B586" t="str">
        <f t="shared" si="11"/>
        <v>5-</v>
      </c>
      <c r="C586" s="35">
        <v>1996</v>
      </c>
      <c r="D586" s="35">
        <v>1996</v>
      </c>
      <c r="E586" s="35">
        <v>241</v>
      </c>
      <c r="F586" s="35">
        <v>128</v>
      </c>
      <c r="G586" s="35">
        <v>113</v>
      </c>
      <c r="H586" s="1" t="s">
        <v>2</v>
      </c>
      <c r="I586" s="1"/>
      <c r="J586" s="1"/>
      <c r="K586" s="1"/>
      <c r="AA586" s="1"/>
    </row>
    <row r="587" spans="1:27" x14ac:dyDescent="0.25">
      <c r="A587" t="s">
        <v>79</v>
      </c>
      <c r="B587" t="str">
        <f t="shared" si="11"/>
        <v>5-</v>
      </c>
      <c r="C587" s="35">
        <v>1997</v>
      </c>
      <c r="D587" s="1" t="s">
        <v>4</v>
      </c>
      <c r="E587" s="35">
        <v>216</v>
      </c>
      <c r="F587" s="35">
        <v>119</v>
      </c>
      <c r="G587" s="35">
        <v>97</v>
      </c>
      <c r="H587" s="1" t="s">
        <v>2</v>
      </c>
      <c r="I587" s="1"/>
      <c r="J587" s="1"/>
      <c r="K587" s="1"/>
      <c r="AA587" s="1"/>
    </row>
    <row r="588" spans="1:27" x14ac:dyDescent="0.25">
      <c r="A588" t="s">
        <v>79</v>
      </c>
      <c r="B588" t="str">
        <f t="shared" si="11"/>
        <v>5-</v>
      </c>
      <c r="C588" s="35">
        <v>1997</v>
      </c>
      <c r="D588" s="35">
        <v>1997</v>
      </c>
      <c r="E588" s="35">
        <v>216</v>
      </c>
      <c r="F588" s="35">
        <v>119</v>
      </c>
      <c r="G588" s="35">
        <v>97</v>
      </c>
      <c r="H588" s="1" t="s">
        <v>2</v>
      </c>
      <c r="I588" s="1"/>
      <c r="J588" s="1"/>
      <c r="K588" s="1"/>
      <c r="AA588" s="1"/>
    </row>
    <row r="589" spans="1:27" x14ac:dyDescent="0.25">
      <c r="A589" t="s">
        <v>79</v>
      </c>
      <c r="B589" t="str">
        <f t="shared" si="11"/>
        <v>5-</v>
      </c>
      <c r="C589" s="35">
        <v>1998</v>
      </c>
      <c r="D589" s="1" t="s">
        <v>4</v>
      </c>
      <c r="E589" s="35">
        <v>196</v>
      </c>
      <c r="F589" s="35">
        <v>112</v>
      </c>
      <c r="G589" s="35">
        <v>84</v>
      </c>
      <c r="H589" s="1" t="s">
        <v>2</v>
      </c>
      <c r="I589" s="1"/>
      <c r="J589" s="1"/>
      <c r="K589" s="1"/>
      <c r="AA589" s="1"/>
    </row>
    <row r="590" spans="1:27" x14ac:dyDescent="0.25">
      <c r="A590" t="s">
        <v>79</v>
      </c>
      <c r="B590" t="str">
        <f t="shared" si="11"/>
        <v>5-</v>
      </c>
      <c r="C590" s="35">
        <v>1998</v>
      </c>
      <c r="D590" s="35">
        <v>1908</v>
      </c>
      <c r="E590" s="35">
        <v>1</v>
      </c>
      <c r="F590" s="1" t="s">
        <v>2</v>
      </c>
      <c r="G590" s="35">
        <v>1</v>
      </c>
      <c r="H590" s="1" t="s">
        <v>2</v>
      </c>
      <c r="I590" s="1"/>
      <c r="J590" s="1"/>
      <c r="K590" s="1"/>
      <c r="AA590" s="1"/>
    </row>
    <row r="591" spans="1:27" x14ac:dyDescent="0.25">
      <c r="A591" t="s">
        <v>79</v>
      </c>
      <c r="B591" t="str">
        <f t="shared" si="11"/>
        <v>5-</v>
      </c>
      <c r="C591" s="35">
        <v>1998</v>
      </c>
      <c r="D591" s="35">
        <v>1980</v>
      </c>
      <c r="E591" s="35">
        <v>1</v>
      </c>
      <c r="F591" s="35">
        <v>1</v>
      </c>
      <c r="G591" s="1" t="s">
        <v>2</v>
      </c>
      <c r="H591" s="1" t="s">
        <v>2</v>
      </c>
      <c r="I591" s="1"/>
      <c r="J591" s="1"/>
      <c r="K591" s="1"/>
      <c r="AA591" s="1"/>
    </row>
    <row r="592" spans="1:27" x14ac:dyDescent="0.25">
      <c r="A592" t="s">
        <v>79</v>
      </c>
      <c r="B592" t="str">
        <f t="shared" si="11"/>
        <v>5-</v>
      </c>
      <c r="C592" s="35">
        <v>1998</v>
      </c>
      <c r="D592" s="35">
        <v>1998</v>
      </c>
      <c r="E592" s="35">
        <v>194</v>
      </c>
      <c r="F592" s="35">
        <v>111</v>
      </c>
      <c r="G592" s="35">
        <v>83</v>
      </c>
      <c r="H592" s="1" t="s">
        <v>2</v>
      </c>
      <c r="I592" s="1"/>
      <c r="J592" s="1"/>
      <c r="K592" s="1"/>
      <c r="AA592" s="1"/>
    </row>
    <row r="593" spans="1:27" x14ac:dyDescent="0.25">
      <c r="A593" t="s">
        <v>79</v>
      </c>
      <c r="B593" t="str">
        <f t="shared" si="11"/>
        <v>5-</v>
      </c>
      <c r="C593" s="35">
        <v>1999</v>
      </c>
      <c r="D593" s="1" t="s">
        <v>4</v>
      </c>
      <c r="E593" s="35">
        <v>170</v>
      </c>
      <c r="F593" s="35">
        <v>97</v>
      </c>
      <c r="G593" s="35">
        <v>73</v>
      </c>
      <c r="H593" s="1" t="s">
        <v>2</v>
      </c>
      <c r="I593" s="1"/>
      <c r="J593" s="1"/>
      <c r="K593" s="1"/>
      <c r="AA593" s="1"/>
    </row>
    <row r="594" spans="1:27" x14ac:dyDescent="0.25">
      <c r="A594" t="s">
        <v>79</v>
      </c>
      <c r="B594" t="str">
        <f t="shared" si="11"/>
        <v>5-</v>
      </c>
      <c r="C594" s="35">
        <v>1999</v>
      </c>
      <c r="D594" s="35">
        <v>1999</v>
      </c>
      <c r="E594" s="35">
        <v>170</v>
      </c>
      <c r="F594" s="35">
        <v>97</v>
      </c>
      <c r="G594" s="35">
        <v>73</v>
      </c>
      <c r="H594" s="1" t="s">
        <v>2</v>
      </c>
      <c r="I594" s="1"/>
      <c r="J594" s="1"/>
      <c r="K594" s="1"/>
      <c r="AA594" s="1"/>
    </row>
    <row r="595" spans="1:27" x14ac:dyDescent="0.25">
      <c r="A595" t="s">
        <v>79</v>
      </c>
      <c r="B595" t="str">
        <f t="shared" si="11"/>
        <v>5-</v>
      </c>
      <c r="C595" s="35">
        <v>2000</v>
      </c>
      <c r="D595" s="1" t="s">
        <v>4</v>
      </c>
      <c r="E595" s="35">
        <v>184</v>
      </c>
      <c r="F595" s="35">
        <v>93</v>
      </c>
      <c r="G595" s="35">
        <v>91</v>
      </c>
      <c r="H595" s="1" t="s">
        <v>2</v>
      </c>
      <c r="I595" s="1"/>
      <c r="J595" s="1"/>
      <c r="K595" s="1"/>
      <c r="AA595" s="1"/>
    </row>
    <row r="596" spans="1:27" x14ac:dyDescent="0.25">
      <c r="A596" t="s">
        <v>79</v>
      </c>
      <c r="B596" t="str">
        <f t="shared" si="11"/>
        <v>5-</v>
      </c>
      <c r="C596" s="35">
        <v>2000</v>
      </c>
      <c r="D596" s="35">
        <v>1999</v>
      </c>
      <c r="E596" s="35">
        <v>1</v>
      </c>
      <c r="F596" s="35">
        <v>1</v>
      </c>
      <c r="G596" s="1" t="s">
        <v>2</v>
      </c>
      <c r="H596" s="1" t="s">
        <v>2</v>
      </c>
      <c r="I596" s="1"/>
      <c r="J596" s="1"/>
      <c r="K596" s="1"/>
      <c r="AA596" s="1"/>
    </row>
    <row r="597" spans="1:27" x14ac:dyDescent="0.25">
      <c r="A597" t="s">
        <v>79</v>
      </c>
      <c r="B597" t="str">
        <f t="shared" si="11"/>
        <v>5-</v>
      </c>
      <c r="C597" s="35">
        <v>2000</v>
      </c>
      <c r="D597" s="35">
        <v>2000</v>
      </c>
      <c r="E597" s="35">
        <v>183</v>
      </c>
      <c r="F597" s="35">
        <v>92</v>
      </c>
      <c r="G597" s="35">
        <v>91</v>
      </c>
      <c r="H597" s="1" t="s">
        <v>2</v>
      </c>
      <c r="I597" s="1"/>
      <c r="J597" s="1"/>
      <c r="K597" s="1"/>
      <c r="AA597" s="1"/>
    </row>
    <row r="598" spans="1:27" x14ac:dyDescent="0.25">
      <c r="A598" t="s">
        <v>79</v>
      </c>
      <c r="B598" t="str">
        <f t="shared" si="11"/>
        <v>5-</v>
      </c>
      <c r="C598" s="35">
        <v>2001</v>
      </c>
      <c r="D598" s="1" t="s">
        <v>4</v>
      </c>
      <c r="E598" s="35">
        <v>172</v>
      </c>
      <c r="F598" s="35">
        <v>92</v>
      </c>
      <c r="G598" s="35">
        <v>80</v>
      </c>
      <c r="H598" s="1" t="s">
        <v>2</v>
      </c>
      <c r="I598" s="1"/>
      <c r="J598" s="1"/>
      <c r="K598" s="1"/>
      <c r="AA598" s="1"/>
    </row>
    <row r="599" spans="1:27" x14ac:dyDescent="0.25">
      <c r="A599" t="s">
        <v>79</v>
      </c>
      <c r="B599" t="str">
        <f t="shared" si="11"/>
        <v>5-</v>
      </c>
      <c r="C599" s="35">
        <v>2001</v>
      </c>
      <c r="D599" s="35">
        <v>2000</v>
      </c>
      <c r="E599" s="35">
        <v>2</v>
      </c>
      <c r="F599" s="35">
        <v>1</v>
      </c>
      <c r="G599" s="35">
        <v>1</v>
      </c>
      <c r="H599" s="1" t="s">
        <v>2</v>
      </c>
      <c r="I599" s="1"/>
      <c r="J599" s="1"/>
      <c r="K599" s="1"/>
      <c r="AA599" s="1"/>
    </row>
    <row r="600" spans="1:27" x14ac:dyDescent="0.25">
      <c r="A600" t="s">
        <v>79</v>
      </c>
      <c r="B600" t="str">
        <f t="shared" si="11"/>
        <v>5-</v>
      </c>
      <c r="C600" s="35">
        <v>2001</v>
      </c>
      <c r="D600" s="35">
        <v>2001</v>
      </c>
      <c r="E600" s="35">
        <v>170</v>
      </c>
      <c r="F600" s="35">
        <v>91</v>
      </c>
      <c r="G600" s="35">
        <v>79</v>
      </c>
      <c r="H600" s="1" t="s">
        <v>2</v>
      </c>
      <c r="I600" s="1"/>
      <c r="J600" s="1"/>
      <c r="K600" s="1"/>
      <c r="AA600" s="1"/>
    </row>
    <row r="601" spans="1:27" x14ac:dyDescent="0.25">
      <c r="A601" t="s">
        <v>79</v>
      </c>
      <c r="B601" t="str">
        <f t="shared" si="11"/>
        <v>5-</v>
      </c>
      <c r="C601" s="35">
        <v>2002</v>
      </c>
      <c r="D601" s="1" t="s">
        <v>4</v>
      </c>
      <c r="E601" s="35">
        <v>167</v>
      </c>
      <c r="F601" s="35">
        <v>86</v>
      </c>
      <c r="G601" s="35">
        <v>81</v>
      </c>
      <c r="H601" s="1" t="s">
        <v>2</v>
      </c>
      <c r="I601" s="1"/>
      <c r="J601" s="1"/>
      <c r="K601" s="1"/>
      <c r="AA601" s="1"/>
    </row>
    <row r="602" spans="1:27" x14ac:dyDescent="0.25">
      <c r="A602" t="s">
        <v>79</v>
      </c>
      <c r="B602" t="str">
        <f t="shared" si="11"/>
        <v>5-</v>
      </c>
      <c r="C602" s="35">
        <v>2002</v>
      </c>
      <c r="D602" s="35">
        <v>2002</v>
      </c>
      <c r="E602" s="35">
        <v>167</v>
      </c>
      <c r="F602" s="35">
        <v>86</v>
      </c>
      <c r="G602" s="35">
        <v>81</v>
      </c>
      <c r="H602" s="1" t="s">
        <v>2</v>
      </c>
      <c r="I602" s="1"/>
      <c r="J602" s="1"/>
      <c r="K602" s="1"/>
      <c r="AA602" s="1"/>
    </row>
    <row r="603" spans="1:27" x14ac:dyDescent="0.25">
      <c r="A603" t="s">
        <v>79</v>
      </c>
      <c r="B603" t="str">
        <f t="shared" si="11"/>
        <v>5-</v>
      </c>
      <c r="C603" s="35">
        <v>2003</v>
      </c>
      <c r="D603" s="1" t="s">
        <v>4</v>
      </c>
      <c r="E603" s="35">
        <v>180</v>
      </c>
      <c r="F603" s="35">
        <v>104</v>
      </c>
      <c r="G603" s="35">
        <v>76</v>
      </c>
      <c r="H603" s="1" t="s">
        <v>2</v>
      </c>
      <c r="I603" s="1"/>
      <c r="J603" s="1"/>
      <c r="K603" s="1"/>
      <c r="AA603" s="1"/>
    </row>
    <row r="604" spans="1:27" x14ac:dyDescent="0.25">
      <c r="A604" t="s">
        <v>79</v>
      </c>
      <c r="B604" t="str">
        <f t="shared" si="11"/>
        <v>5-</v>
      </c>
      <c r="C604" s="35">
        <v>2003</v>
      </c>
      <c r="D604" s="35">
        <v>2003</v>
      </c>
      <c r="E604" s="35">
        <v>180</v>
      </c>
      <c r="F604" s="35">
        <v>104</v>
      </c>
      <c r="G604" s="35">
        <v>76</v>
      </c>
      <c r="H604" s="1" t="s">
        <v>2</v>
      </c>
      <c r="I604" s="1"/>
      <c r="J604" s="1"/>
      <c r="K604" s="1"/>
      <c r="AA604" s="1"/>
    </row>
    <row r="605" spans="1:27" x14ac:dyDescent="0.25">
      <c r="A605" t="s">
        <v>79</v>
      </c>
      <c r="B605" t="str">
        <f t="shared" si="11"/>
        <v>5-</v>
      </c>
      <c r="C605" s="35">
        <v>2004</v>
      </c>
      <c r="D605" s="1" t="s">
        <v>4</v>
      </c>
      <c r="E605" s="35">
        <v>157</v>
      </c>
      <c r="F605" s="35">
        <v>83</v>
      </c>
      <c r="G605" s="35">
        <v>74</v>
      </c>
      <c r="H605" s="1" t="s">
        <v>2</v>
      </c>
      <c r="I605" s="1"/>
      <c r="J605" s="1"/>
      <c r="K605" s="1"/>
      <c r="AA605" s="1"/>
    </row>
    <row r="606" spans="1:27" x14ac:dyDescent="0.25">
      <c r="A606" t="s">
        <v>79</v>
      </c>
      <c r="B606" t="str">
        <f t="shared" si="11"/>
        <v>5-</v>
      </c>
      <c r="C606" s="35">
        <v>2004</v>
      </c>
      <c r="D606" s="35">
        <v>2004</v>
      </c>
      <c r="E606" s="35">
        <v>157</v>
      </c>
      <c r="F606" s="35">
        <v>83</v>
      </c>
      <c r="G606" s="35">
        <v>74</v>
      </c>
      <c r="H606" s="1" t="s">
        <v>2</v>
      </c>
      <c r="I606" s="1"/>
      <c r="J606" s="1"/>
      <c r="K606" s="1"/>
      <c r="AA606" s="1"/>
    </row>
    <row r="607" spans="1:27" x14ac:dyDescent="0.25">
      <c r="A607" t="s">
        <v>79</v>
      </c>
      <c r="B607" t="str">
        <f t="shared" si="11"/>
        <v>5-</v>
      </c>
      <c r="C607" s="35">
        <v>2005</v>
      </c>
      <c r="D607" s="1" t="s">
        <v>4</v>
      </c>
      <c r="E607" s="35">
        <v>185</v>
      </c>
      <c r="F607" s="35">
        <v>82</v>
      </c>
      <c r="G607" s="35">
        <v>103</v>
      </c>
      <c r="H607" s="1" t="s">
        <v>2</v>
      </c>
      <c r="I607" s="1"/>
      <c r="J607" s="1"/>
      <c r="K607" s="1"/>
      <c r="AA607" s="1"/>
    </row>
    <row r="608" spans="1:27" x14ac:dyDescent="0.25">
      <c r="A608" t="s">
        <v>79</v>
      </c>
      <c r="B608" t="str">
        <f t="shared" si="11"/>
        <v>5-</v>
      </c>
      <c r="C608" s="35">
        <v>2005</v>
      </c>
      <c r="D608" s="35">
        <v>2005</v>
      </c>
      <c r="E608" s="35">
        <v>185</v>
      </c>
      <c r="F608" s="35">
        <v>82</v>
      </c>
      <c r="G608" s="35">
        <v>103</v>
      </c>
      <c r="H608" s="1" t="s">
        <v>2</v>
      </c>
      <c r="I608" s="1"/>
      <c r="J608" s="1"/>
      <c r="K608" s="1"/>
      <c r="AA608" s="1"/>
    </row>
    <row r="609" spans="1:27" x14ac:dyDescent="0.25">
      <c r="A609" t="s">
        <v>79</v>
      </c>
      <c r="B609" t="str">
        <f t="shared" si="11"/>
        <v>5-</v>
      </c>
      <c r="C609" s="35">
        <v>2006</v>
      </c>
      <c r="D609" s="1" t="s">
        <v>4</v>
      </c>
      <c r="E609" s="35">
        <v>183</v>
      </c>
      <c r="F609" s="35">
        <v>103</v>
      </c>
      <c r="G609" s="35">
        <v>80</v>
      </c>
      <c r="H609" s="1" t="s">
        <v>2</v>
      </c>
      <c r="I609" s="1"/>
      <c r="J609" s="1"/>
      <c r="K609" s="1"/>
      <c r="AA609" s="1"/>
    </row>
    <row r="610" spans="1:27" x14ac:dyDescent="0.25">
      <c r="A610" t="s">
        <v>79</v>
      </c>
      <c r="B610" t="str">
        <f t="shared" si="11"/>
        <v>5-</v>
      </c>
      <c r="C610" s="35">
        <v>2006</v>
      </c>
      <c r="D610" s="35">
        <v>2003</v>
      </c>
      <c r="E610" s="35">
        <v>1</v>
      </c>
      <c r="F610" s="35">
        <v>1</v>
      </c>
      <c r="G610" s="1" t="s">
        <v>2</v>
      </c>
      <c r="H610" s="1" t="s">
        <v>2</v>
      </c>
      <c r="I610" s="1"/>
      <c r="J610" s="1"/>
      <c r="K610" s="1"/>
      <c r="AA610" s="1"/>
    </row>
    <row r="611" spans="1:27" x14ac:dyDescent="0.25">
      <c r="A611" t="s">
        <v>79</v>
      </c>
      <c r="B611" t="str">
        <f t="shared" si="11"/>
        <v>5-</v>
      </c>
      <c r="C611" s="35">
        <v>2006</v>
      </c>
      <c r="D611" s="35">
        <v>2005</v>
      </c>
      <c r="E611" s="35">
        <v>2</v>
      </c>
      <c r="F611" s="1" t="s">
        <v>2</v>
      </c>
      <c r="G611" s="35">
        <v>2</v>
      </c>
      <c r="H611" s="1" t="s">
        <v>2</v>
      </c>
      <c r="I611" s="1"/>
      <c r="J611" s="1"/>
      <c r="K611" s="1"/>
      <c r="AA611" s="1"/>
    </row>
    <row r="612" spans="1:27" x14ac:dyDescent="0.25">
      <c r="A612" t="s">
        <v>79</v>
      </c>
      <c r="B612" t="str">
        <f t="shared" si="11"/>
        <v>5-</v>
      </c>
      <c r="C612" s="35">
        <v>2006</v>
      </c>
      <c r="D612" s="35">
        <v>2006</v>
      </c>
      <c r="E612" s="35">
        <v>180</v>
      </c>
      <c r="F612" s="35">
        <v>102</v>
      </c>
      <c r="G612" s="35">
        <v>78</v>
      </c>
      <c r="H612" s="1" t="s">
        <v>2</v>
      </c>
      <c r="I612" s="1"/>
      <c r="J612" s="1"/>
      <c r="K612" s="1"/>
      <c r="AA612" s="1"/>
    </row>
    <row r="613" spans="1:27" x14ac:dyDescent="0.25">
      <c r="A613" t="s">
        <v>79</v>
      </c>
      <c r="B613" t="str">
        <f t="shared" si="11"/>
        <v>5-</v>
      </c>
      <c r="C613" s="35">
        <v>2007</v>
      </c>
      <c r="D613" s="1" t="s">
        <v>4</v>
      </c>
      <c r="E613" s="35">
        <v>151</v>
      </c>
      <c r="F613" s="35">
        <v>85</v>
      </c>
      <c r="G613" s="35">
        <v>66</v>
      </c>
      <c r="H613" s="1" t="s">
        <v>2</v>
      </c>
      <c r="I613" s="1"/>
      <c r="J613" s="1"/>
      <c r="K613" s="1"/>
      <c r="AA613" s="1"/>
    </row>
    <row r="614" spans="1:27" x14ac:dyDescent="0.25">
      <c r="A614" t="s">
        <v>79</v>
      </c>
      <c r="B614" t="str">
        <f t="shared" si="11"/>
        <v>5-</v>
      </c>
      <c r="C614" s="35">
        <v>2007</v>
      </c>
      <c r="D614" s="35">
        <v>2007</v>
      </c>
      <c r="E614" s="35">
        <v>151</v>
      </c>
      <c r="F614" s="35">
        <v>85</v>
      </c>
      <c r="G614" s="35">
        <v>66</v>
      </c>
      <c r="H614" s="1" t="s">
        <v>2</v>
      </c>
      <c r="I614" s="1"/>
      <c r="J614" s="1"/>
      <c r="K614" s="1"/>
      <c r="AA614" s="1"/>
    </row>
    <row r="615" spans="1:27" x14ac:dyDescent="0.25">
      <c r="A615" t="s">
        <v>79</v>
      </c>
      <c r="B615" t="str">
        <f t="shared" si="11"/>
        <v>5-</v>
      </c>
      <c r="C615" s="35">
        <v>2008</v>
      </c>
      <c r="D615" s="1" t="s">
        <v>4</v>
      </c>
      <c r="E615" s="35">
        <v>135</v>
      </c>
      <c r="F615" s="35">
        <v>70</v>
      </c>
      <c r="G615" s="35">
        <v>65</v>
      </c>
      <c r="H615" s="1" t="s">
        <v>2</v>
      </c>
      <c r="I615" s="1"/>
      <c r="J615" s="1"/>
      <c r="K615" s="1"/>
      <c r="AA615" s="1"/>
    </row>
    <row r="616" spans="1:27" x14ac:dyDescent="0.25">
      <c r="A616" t="s">
        <v>79</v>
      </c>
      <c r="B616" t="str">
        <f t="shared" si="11"/>
        <v>5-</v>
      </c>
      <c r="C616" s="35">
        <v>2008</v>
      </c>
      <c r="D616" s="35">
        <v>2007</v>
      </c>
      <c r="E616" s="35">
        <v>1</v>
      </c>
      <c r="F616" s="35">
        <v>1</v>
      </c>
      <c r="G616" s="1" t="s">
        <v>2</v>
      </c>
      <c r="H616" s="1" t="s">
        <v>2</v>
      </c>
      <c r="I616" s="1"/>
      <c r="J616" s="1"/>
      <c r="K616" s="1"/>
      <c r="AA616" s="1"/>
    </row>
    <row r="617" spans="1:27" x14ac:dyDescent="0.25">
      <c r="A617" t="s">
        <v>79</v>
      </c>
      <c r="B617" t="str">
        <f t="shared" si="11"/>
        <v>5-</v>
      </c>
      <c r="C617" s="35">
        <v>2008</v>
      </c>
      <c r="D617" s="35">
        <v>2008</v>
      </c>
      <c r="E617" s="35">
        <v>134</v>
      </c>
      <c r="F617" s="35">
        <v>69</v>
      </c>
      <c r="G617" s="35">
        <v>65</v>
      </c>
      <c r="H617" s="1" t="s">
        <v>2</v>
      </c>
      <c r="I617" s="1"/>
      <c r="J617" s="1"/>
      <c r="K617" s="1"/>
      <c r="AA617" s="1"/>
    </row>
    <row r="618" spans="1:27" x14ac:dyDescent="0.25">
      <c r="A618" t="s">
        <v>79</v>
      </c>
      <c r="B618" t="str">
        <f t="shared" si="11"/>
        <v>5-</v>
      </c>
      <c r="C618" s="35">
        <v>2009</v>
      </c>
      <c r="D618" s="1" t="s">
        <v>4</v>
      </c>
      <c r="E618" s="35">
        <v>196</v>
      </c>
      <c r="F618" s="35">
        <v>103</v>
      </c>
      <c r="G618" s="35">
        <v>93</v>
      </c>
      <c r="H618" s="1" t="s">
        <v>2</v>
      </c>
      <c r="I618" s="1"/>
      <c r="J618" s="1"/>
      <c r="K618" s="1"/>
      <c r="AA618" s="1"/>
    </row>
    <row r="619" spans="1:27" x14ac:dyDescent="0.25">
      <c r="A619" t="s">
        <v>79</v>
      </c>
      <c r="B619" t="str">
        <f t="shared" si="11"/>
        <v>5-</v>
      </c>
      <c r="C619" s="35">
        <v>2009</v>
      </c>
      <c r="D619" s="35">
        <v>2008</v>
      </c>
      <c r="E619" s="35">
        <v>2</v>
      </c>
      <c r="F619" s="35">
        <v>2</v>
      </c>
      <c r="G619" s="1" t="s">
        <v>2</v>
      </c>
      <c r="H619" s="1" t="s">
        <v>2</v>
      </c>
      <c r="I619" s="1"/>
      <c r="J619" s="1"/>
      <c r="K619" s="1"/>
      <c r="AA619" s="1"/>
    </row>
    <row r="620" spans="1:27" x14ac:dyDescent="0.25">
      <c r="A620" t="s">
        <v>79</v>
      </c>
      <c r="B620" t="str">
        <f t="shared" si="11"/>
        <v>5-</v>
      </c>
      <c r="C620" s="35">
        <v>2009</v>
      </c>
      <c r="D620" s="35">
        <v>2009</v>
      </c>
      <c r="E620" s="35">
        <v>194</v>
      </c>
      <c r="F620" s="35">
        <v>101</v>
      </c>
      <c r="G620" s="35">
        <v>93</v>
      </c>
      <c r="H620" s="1" t="s">
        <v>2</v>
      </c>
      <c r="I620" s="1"/>
      <c r="J620" s="1"/>
      <c r="K620" s="1"/>
      <c r="AA620" s="1"/>
    </row>
    <row r="621" spans="1:27" x14ac:dyDescent="0.25">
      <c r="A621" t="s">
        <v>79</v>
      </c>
      <c r="B621" t="str">
        <f t="shared" si="11"/>
        <v>5-</v>
      </c>
      <c r="C621" s="35">
        <v>2010</v>
      </c>
      <c r="D621" s="1" t="s">
        <v>4</v>
      </c>
      <c r="E621" s="35">
        <v>179</v>
      </c>
      <c r="F621" s="35">
        <v>100</v>
      </c>
      <c r="G621" s="35">
        <v>79</v>
      </c>
      <c r="H621" s="1" t="s">
        <v>2</v>
      </c>
      <c r="I621" s="1"/>
      <c r="J621" s="1"/>
      <c r="K621" s="1"/>
      <c r="AA621" s="1"/>
    </row>
    <row r="622" spans="1:27" x14ac:dyDescent="0.25">
      <c r="A622" t="s">
        <v>79</v>
      </c>
      <c r="B622" t="str">
        <f t="shared" si="11"/>
        <v>5-</v>
      </c>
      <c r="C622" s="35">
        <v>2010</v>
      </c>
      <c r="D622" s="35">
        <v>2010</v>
      </c>
      <c r="E622" s="35">
        <v>179</v>
      </c>
      <c r="F622" s="35">
        <v>100</v>
      </c>
      <c r="G622" s="35">
        <v>79</v>
      </c>
      <c r="H622" s="1" t="s">
        <v>2</v>
      </c>
      <c r="I622" s="1"/>
      <c r="J622" s="1"/>
      <c r="K622" s="1"/>
      <c r="AA622" s="1"/>
    </row>
    <row r="623" spans="1:27" x14ac:dyDescent="0.25">
      <c r="A623" t="s">
        <v>79</v>
      </c>
      <c r="B623" t="str">
        <f t="shared" si="11"/>
        <v>5-</v>
      </c>
      <c r="C623" s="35">
        <v>2011</v>
      </c>
      <c r="D623" s="1" t="s">
        <v>4</v>
      </c>
      <c r="E623" s="35">
        <v>161</v>
      </c>
      <c r="F623" s="35">
        <v>88</v>
      </c>
      <c r="G623" s="35">
        <v>73</v>
      </c>
      <c r="H623" s="1" t="s">
        <v>2</v>
      </c>
      <c r="I623" s="1"/>
      <c r="J623" s="1"/>
      <c r="K623" s="1"/>
      <c r="AA623" s="1"/>
    </row>
    <row r="624" spans="1:27" x14ac:dyDescent="0.25">
      <c r="A624" t="s">
        <v>79</v>
      </c>
      <c r="B624" t="str">
        <f t="shared" si="11"/>
        <v>5-</v>
      </c>
      <c r="C624" s="35">
        <v>2011</v>
      </c>
      <c r="D624" s="35">
        <v>2011</v>
      </c>
      <c r="E624" s="35">
        <v>161</v>
      </c>
      <c r="F624" s="35">
        <v>88</v>
      </c>
      <c r="G624" s="35">
        <v>73</v>
      </c>
      <c r="H624" s="1" t="s">
        <v>2</v>
      </c>
      <c r="I624" s="1"/>
      <c r="J624" s="1"/>
      <c r="K624" s="1"/>
      <c r="AA624" s="1"/>
    </row>
    <row r="625" spans="1:27" x14ac:dyDescent="0.25">
      <c r="A625" t="s">
        <v>79</v>
      </c>
      <c r="B625" t="str">
        <f t="shared" si="11"/>
        <v>5-</v>
      </c>
      <c r="C625" s="35">
        <v>2012</v>
      </c>
      <c r="D625" s="1" t="s">
        <v>4</v>
      </c>
      <c r="E625" s="35">
        <v>147</v>
      </c>
      <c r="F625" s="35">
        <v>79</v>
      </c>
      <c r="G625" s="35">
        <v>68</v>
      </c>
      <c r="H625" s="1" t="s">
        <v>2</v>
      </c>
      <c r="I625" s="1"/>
      <c r="J625" s="1"/>
      <c r="K625" s="1"/>
      <c r="AA625" s="1"/>
    </row>
    <row r="626" spans="1:27" x14ac:dyDescent="0.25">
      <c r="A626" t="s">
        <v>79</v>
      </c>
      <c r="B626" t="str">
        <f t="shared" si="11"/>
        <v>5-</v>
      </c>
      <c r="C626" s="35">
        <v>2012</v>
      </c>
      <c r="D626" s="35">
        <v>2011</v>
      </c>
      <c r="E626" s="35">
        <v>2</v>
      </c>
      <c r="F626" s="35">
        <v>1</v>
      </c>
      <c r="G626" s="35">
        <v>1</v>
      </c>
      <c r="H626" s="1" t="s">
        <v>2</v>
      </c>
      <c r="I626" s="1"/>
      <c r="J626" s="1"/>
      <c r="K626" s="1"/>
      <c r="AA626" s="1"/>
    </row>
    <row r="627" spans="1:27" x14ac:dyDescent="0.25">
      <c r="A627" t="s">
        <v>79</v>
      </c>
      <c r="B627" t="str">
        <f t="shared" si="11"/>
        <v>5-</v>
      </c>
      <c r="C627" s="35">
        <v>2012</v>
      </c>
      <c r="D627" s="35">
        <v>2012</v>
      </c>
      <c r="E627" s="35">
        <v>145</v>
      </c>
      <c r="F627" s="35">
        <v>78</v>
      </c>
      <c r="G627" s="35">
        <v>67</v>
      </c>
      <c r="H627" s="1" t="s">
        <v>2</v>
      </c>
      <c r="I627" s="1"/>
      <c r="J627" s="1"/>
      <c r="K627" s="1"/>
      <c r="AA627" s="1"/>
    </row>
    <row r="628" spans="1:27" x14ac:dyDescent="0.25">
      <c r="A628" t="s">
        <v>79</v>
      </c>
      <c r="B628" t="str">
        <f t="shared" si="11"/>
        <v>5-</v>
      </c>
      <c r="C628" s="35">
        <v>2013</v>
      </c>
      <c r="D628" s="1" t="s">
        <v>4</v>
      </c>
      <c r="E628" s="35">
        <v>125</v>
      </c>
      <c r="F628" s="35">
        <v>58</v>
      </c>
      <c r="G628" s="35">
        <v>67</v>
      </c>
      <c r="H628" s="1" t="s">
        <v>2</v>
      </c>
      <c r="I628" s="1"/>
      <c r="J628" s="1"/>
      <c r="K628" s="1"/>
      <c r="AA628" s="1"/>
    </row>
    <row r="629" spans="1:27" x14ac:dyDescent="0.25">
      <c r="A629" t="s">
        <v>79</v>
      </c>
      <c r="B629" t="str">
        <f t="shared" si="11"/>
        <v>5-</v>
      </c>
      <c r="C629" s="35">
        <v>2013</v>
      </c>
      <c r="D629" s="35">
        <v>2012</v>
      </c>
      <c r="E629" s="35">
        <v>1</v>
      </c>
      <c r="F629" s="1" t="s">
        <v>2</v>
      </c>
      <c r="G629" s="35">
        <v>1</v>
      </c>
      <c r="H629" s="1" t="s">
        <v>2</v>
      </c>
      <c r="I629" s="1"/>
      <c r="J629" s="1"/>
      <c r="K629" s="1"/>
      <c r="AA629" s="1"/>
    </row>
    <row r="630" spans="1:27" x14ac:dyDescent="0.25">
      <c r="A630" t="s">
        <v>79</v>
      </c>
      <c r="B630" t="str">
        <f t="shared" si="11"/>
        <v>5-</v>
      </c>
      <c r="C630" s="35">
        <v>2013</v>
      </c>
      <c r="D630" s="35">
        <v>2013</v>
      </c>
      <c r="E630" s="35">
        <v>124</v>
      </c>
      <c r="F630" s="35">
        <v>58</v>
      </c>
      <c r="G630" s="35">
        <v>66</v>
      </c>
      <c r="H630" s="1" t="s">
        <v>2</v>
      </c>
      <c r="I630" s="1"/>
      <c r="J630" s="1"/>
      <c r="K630" s="1"/>
      <c r="AA630" s="1"/>
    </row>
    <row r="631" spans="1:27" x14ac:dyDescent="0.25">
      <c r="A631" t="s">
        <v>79</v>
      </c>
      <c r="B631" t="str">
        <f t="shared" si="11"/>
        <v>5-</v>
      </c>
      <c r="C631" s="35">
        <v>2014</v>
      </c>
      <c r="D631" s="1" t="s">
        <v>4</v>
      </c>
      <c r="E631" s="35">
        <v>143</v>
      </c>
      <c r="F631" s="35">
        <v>87</v>
      </c>
      <c r="G631" s="35">
        <v>56</v>
      </c>
      <c r="H631" s="1" t="s">
        <v>2</v>
      </c>
      <c r="I631" s="1"/>
      <c r="J631" s="1"/>
      <c r="K631" s="1"/>
      <c r="AA631" s="1"/>
    </row>
    <row r="632" spans="1:27" x14ac:dyDescent="0.25">
      <c r="A632" t="s">
        <v>79</v>
      </c>
      <c r="B632" t="str">
        <f t="shared" si="11"/>
        <v>5-</v>
      </c>
      <c r="C632" s="35">
        <v>2014</v>
      </c>
      <c r="D632" s="35">
        <v>2014</v>
      </c>
      <c r="E632" s="35">
        <v>143</v>
      </c>
      <c r="F632" s="35">
        <v>87</v>
      </c>
      <c r="G632" s="35">
        <v>56</v>
      </c>
      <c r="H632" s="1" t="s">
        <v>2</v>
      </c>
      <c r="I632" s="1"/>
      <c r="J632" s="1"/>
      <c r="K632" s="1"/>
      <c r="AA632" s="1"/>
    </row>
    <row r="633" spans="1:27" x14ac:dyDescent="0.25">
      <c r="A633" t="s">
        <v>79</v>
      </c>
      <c r="B633" t="str">
        <f t="shared" si="11"/>
        <v>5-</v>
      </c>
      <c r="C633" s="35">
        <v>2015</v>
      </c>
      <c r="D633" s="1" t="s">
        <v>4</v>
      </c>
      <c r="E633" s="35">
        <v>124</v>
      </c>
      <c r="F633" s="35">
        <v>67</v>
      </c>
      <c r="G633" s="35">
        <v>57</v>
      </c>
      <c r="H633" s="1" t="s">
        <v>2</v>
      </c>
      <c r="I633" s="1"/>
      <c r="J633" s="1"/>
      <c r="K633" s="1"/>
      <c r="AA633" s="1"/>
    </row>
    <row r="634" spans="1:27" x14ac:dyDescent="0.25">
      <c r="A634" t="s">
        <v>79</v>
      </c>
      <c r="B634" t="str">
        <f t="shared" si="11"/>
        <v>5-</v>
      </c>
      <c r="C634" s="35">
        <v>2015</v>
      </c>
      <c r="D634" s="35">
        <v>2015</v>
      </c>
      <c r="E634" s="35">
        <v>124</v>
      </c>
      <c r="F634" s="35">
        <v>67</v>
      </c>
      <c r="G634" s="35">
        <v>57</v>
      </c>
      <c r="H634" s="1" t="s">
        <v>2</v>
      </c>
      <c r="I634" s="1"/>
      <c r="J634" s="1"/>
      <c r="K634" s="1"/>
      <c r="AA634" s="1"/>
    </row>
    <row r="635" spans="1:27" x14ac:dyDescent="0.25">
      <c r="A635" t="s">
        <v>79</v>
      </c>
      <c r="B635" t="str">
        <f t="shared" si="11"/>
        <v>5-</v>
      </c>
      <c r="C635" s="35">
        <v>2016</v>
      </c>
      <c r="D635" s="1" t="s">
        <v>4</v>
      </c>
      <c r="E635" s="35">
        <v>137</v>
      </c>
      <c r="F635" s="35">
        <v>64</v>
      </c>
      <c r="G635" s="35">
        <v>73</v>
      </c>
      <c r="H635" s="1" t="s">
        <v>2</v>
      </c>
      <c r="I635" s="1"/>
      <c r="J635" s="1"/>
      <c r="K635" s="1"/>
      <c r="AA635" s="1"/>
    </row>
    <row r="636" spans="1:27" x14ac:dyDescent="0.25">
      <c r="A636" t="s">
        <v>79</v>
      </c>
      <c r="B636" t="str">
        <f t="shared" si="11"/>
        <v>5-</v>
      </c>
      <c r="C636" s="35">
        <v>2016</v>
      </c>
      <c r="D636" s="35">
        <v>2015</v>
      </c>
      <c r="E636" s="35">
        <v>3</v>
      </c>
      <c r="F636" s="35">
        <v>2</v>
      </c>
      <c r="G636" s="35">
        <v>1</v>
      </c>
      <c r="H636" s="1" t="s">
        <v>2</v>
      </c>
      <c r="I636" s="1"/>
      <c r="J636" s="1"/>
      <c r="K636" s="1"/>
      <c r="AA636" s="1"/>
    </row>
    <row r="637" spans="1:27" x14ac:dyDescent="0.25">
      <c r="A637" t="s">
        <v>79</v>
      </c>
      <c r="B637" t="str">
        <f t="shared" si="11"/>
        <v>5-</v>
      </c>
      <c r="C637" s="35">
        <v>2016</v>
      </c>
      <c r="D637" s="35">
        <v>2016</v>
      </c>
      <c r="E637" s="35">
        <v>134</v>
      </c>
      <c r="F637" s="35">
        <v>62</v>
      </c>
      <c r="G637" s="35">
        <v>72</v>
      </c>
      <c r="H637" s="1" t="s">
        <v>2</v>
      </c>
      <c r="I637" s="1"/>
      <c r="J637" s="1"/>
      <c r="K637" s="1"/>
      <c r="AA637" s="1"/>
    </row>
    <row r="638" spans="1:27" x14ac:dyDescent="0.25">
      <c r="A638" t="s">
        <v>79</v>
      </c>
      <c r="B638" t="str">
        <f t="shared" si="11"/>
        <v>5-</v>
      </c>
      <c r="C638" s="35">
        <v>2017</v>
      </c>
      <c r="D638" s="1" t="s">
        <v>4</v>
      </c>
      <c r="E638" s="35">
        <v>128</v>
      </c>
      <c r="F638" s="35">
        <v>61</v>
      </c>
      <c r="G638" s="35">
        <v>67</v>
      </c>
      <c r="H638" s="1" t="s">
        <v>2</v>
      </c>
      <c r="I638" s="1"/>
      <c r="J638" s="1"/>
      <c r="K638" s="1"/>
      <c r="AA638" s="1"/>
    </row>
    <row r="639" spans="1:27" x14ac:dyDescent="0.25">
      <c r="A639" t="s">
        <v>79</v>
      </c>
      <c r="B639" t="str">
        <f t="shared" si="11"/>
        <v>5-</v>
      </c>
      <c r="C639" s="35">
        <v>2017</v>
      </c>
      <c r="D639" s="35">
        <v>2017</v>
      </c>
      <c r="E639" s="35">
        <v>128</v>
      </c>
      <c r="F639" s="35">
        <v>61</v>
      </c>
      <c r="G639" s="35">
        <v>67</v>
      </c>
      <c r="H639" s="1" t="s">
        <v>2</v>
      </c>
      <c r="I639" s="1"/>
      <c r="J639" s="1"/>
      <c r="K639" s="1"/>
      <c r="AA639" s="1"/>
    </row>
    <row r="640" spans="1:27" x14ac:dyDescent="0.25">
      <c r="A640" t="s">
        <v>79</v>
      </c>
      <c r="B640" t="str">
        <f t="shared" si="11"/>
        <v>5-</v>
      </c>
      <c r="C640" s="35">
        <v>2018</v>
      </c>
      <c r="D640" s="1" t="s">
        <v>4</v>
      </c>
      <c r="E640" s="35">
        <v>124</v>
      </c>
      <c r="F640" s="35">
        <v>74</v>
      </c>
      <c r="G640" s="35">
        <v>50</v>
      </c>
      <c r="H640" s="1" t="s">
        <v>2</v>
      </c>
      <c r="I640" s="1"/>
      <c r="J640" s="1"/>
      <c r="K640" s="1"/>
      <c r="AA640" s="1"/>
    </row>
    <row r="641" spans="1:27" x14ac:dyDescent="0.25">
      <c r="A641" t="s">
        <v>79</v>
      </c>
      <c r="B641" t="str">
        <f t="shared" si="11"/>
        <v>5-</v>
      </c>
      <c r="C641" s="35">
        <v>2018</v>
      </c>
      <c r="D641" s="35">
        <v>2018</v>
      </c>
      <c r="E641" s="35">
        <v>124</v>
      </c>
      <c r="F641" s="35">
        <v>74</v>
      </c>
      <c r="G641" s="35">
        <v>50</v>
      </c>
      <c r="H641" s="1" t="s">
        <v>2</v>
      </c>
      <c r="I641" s="1"/>
      <c r="J641" s="1"/>
      <c r="K641" s="1"/>
      <c r="AA641" s="1"/>
    </row>
    <row r="642" spans="1:27" x14ac:dyDescent="0.25">
      <c r="A642" t="s">
        <v>79</v>
      </c>
      <c r="B642" t="str">
        <f t="shared" si="11"/>
        <v>5-</v>
      </c>
      <c r="C642" s="35">
        <v>2019</v>
      </c>
      <c r="D642" s="1" t="s">
        <v>4</v>
      </c>
      <c r="E642" s="35">
        <v>111</v>
      </c>
      <c r="F642" s="35">
        <v>57</v>
      </c>
      <c r="G642" s="35">
        <v>54</v>
      </c>
      <c r="H642" s="1" t="s">
        <v>2</v>
      </c>
      <c r="I642" s="1"/>
      <c r="J642" s="1"/>
      <c r="K642" s="1"/>
      <c r="AA642" s="1"/>
    </row>
    <row r="643" spans="1:27" x14ac:dyDescent="0.25">
      <c r="A643" t="s">
        <v>79</v>
      </c>
      <c r="B643" t="str">
        <f t="shared" si="11"/>
        <v>5-</v>
      </c>
      <c r="C643" s="35">
        <v>2019</v>
      </c>
      <c r="D643" s="35">
        <v>2018</v>
      </c>
      <c r="E643" s="35">
        <v>1</v>
      </c>
      <c r="F643" s="35">
        <v>1</v>
      </c>
      <c r="G643" s="1" t="s">
        <v>2</v>
      </c>
      <c r="H643" s="1" t="s">
        <v>2</v>
      </c>
      <c r="I643" s="1"/>
      <c r="J643" s="1"/>
      <c r="K643" s="1"/>
      <c r="AA643" s="1"/>
    </row>
    <row r="644" spans="1:27" x14ac:dyDescent="0.25">
      <c r="A644" t="s">
        <v>79</v>
      </c>
      <c r="B644" t="str">
        <f t="shared" si="11"/>
        <v>5-</v>
      </c>
      <c r="C644" s="35">
        <v>2019</v>
      </c>
      <c r="D644" s="35">
        <v>2019</v>
      </c>
      <c r="E644" s="35">
        <v>110</v>
      </c>
      <c r="F644" s="35">
        <v>56</v>
      </c>
      <c r="G644" s="35">
        <v>54</v>
      </c>
      <c r="H644" s="1" t="s">
        <v>2</v>
      </c>
      <c r="I644" s="1"/>
      <c r="J644" s="1"/>
      <c r="K644" s="1"/>
      <c r="AA644" s="1"/>
    </row>
    <row r="645" spans="1:27" x14ac:dyDescent="0.25">
      <c r="A645" t="s">
        <v>79</v>
      </c>
      <c r="B645" t="str">
        <f t="shared" si="11"/>
        <v>5-</v>
      </c>
      <c r="C645" s="35">
        <v>2020</v>
      </c>
      <c r="D645" s="1" t="s">
        <v>4</v>
      </c>
      <c r="E645" s="35">
        <v>101</v>
      </c>
      <c r="F645" s="35">
        <v>68</v>
      </c>
      <c r="G645" s="35">
        <v>33</v>
      </c>
      <c r="H645" s="1" t="s">
        <v>2</v>
      </c>
      <c r="I645" s="1"/>
      <c r="J645" s="1"/>
      <c r="K645" s="1"/>
      <c r="AA645" s="1"/>
    </row>
    <row r="646" spans="1:27" x14ac:dyDescent="0.25">
      <c r="A646" t="s">
        <v>79</v>
      </c>
      <c r="B646" t="str">
        <f t="shared" si="11"/>
        <v>5-</v>
      </c>
      <c r="C646" s="35">
        <v>2020</v>
      </c>
      <c r="D646" s="35">
        <v>2019</v>
      </c>
      <c r="E646" s="35">
        <v>1</v>
      </c>
      <c r="F646" s="35">
        <v>1</v>
      </c>
      <c r="G646" s="1" t="s">
        <v>2</v>
      </c>
      <c r="H646" s="1" t="s">
        <v>2</v>
      </c>
      <c r="I646" s="1"/>
      <c r="J646" s="1"/>
      <c r="K646" s="1"/>
      <c r="AA646" s="1"/>
    </row>
    <row r="647" spans="1:27" x14ac:dyDescent="0.25">
      <c r="A647" t="s">
        <v>79</v>
      </c>
      <c r="B647" t="str">
        <f t="shared" ref="B647:B710" si="12">IF(A647="Menores de 1 año",0,LEFT(A647,2))</f>
        <v>5-</v>
      </c>
      <c r="C647" s="35">
        <v>2020</v>
      </c>
      <c r="D647" s="35">
        <v>2020</v>
      </c>
      <c r="E647" s="35">
        <v>100</v>
      </c>
      <c r="F647" s="35">
        <v>67</v>
      </c>
      <c r="G647" s="35">
        <v>33</v>
      </c>
      <c r="H647" s="1" t="s">
        <v>2</v>
      </c>
      <c r="I647" s="1"/>
      <c r="J647" s="1"/>
      <c r="K647" s="1"/>
      <c r="AA647" s="1"/>
    </row>
    <row r="648" spans="1:27" x14ac:dyDescent="0.25">
      <c r="A648" t="s">
        <v>79</v>
      </c>
      <c r="B648" t="str">
        <f t="shared" si="12"/>
        <v>5-</v>
      </c>
      <c r="C648" s="35">
        <v>2021</v>
      </c>
      <c r="D648" s="1" t="s">
        <v>4</v>
      </c>
      <c r="E648" s="35">
        <v>108</v>
      </c>
      <c r="F648" s="35">
        <v>49</v>
      </c>
      <c r="G648" s="35">
        <v>59</v>
      </c>
      <c r="H648" s="1" t="s">
        <v>2</v>
      </c>
      <c r="I648" s="1"/>
      <c r="J648" s="1"/>
      <c r="K648" s="1"/>
      <c r="AA648" s="1"/>
    </row>
    <row r="649" spans="1:27" x14ac:dyDescent="0.25">
      <c r="A649" t="s">
        <v>79</v>
      </c>
      <c r="B649" t="str">
        <f t="shared" si="12"/>
        <v>5-</v>
      </c>
      <c r="C649" s="35">
        <v>2021</v>
      </c>
      <c r="D649" s="35">
        <v>2021</v>
      </c>
      <c r="E649" s="35">
        <v>108</v>
      </c>
      <c r="F649" s="35">
        <v>49</v>
      </c>
      <c r="G649" s="35">
        <v>59</v>
      </c>
      <c r="H649" s="1" t="s">
        <v>2</v>
      </c>
      <c r="I649" s="1"/>
      <c r="J649" s="1"/>
      <c r="K649" s="1"/>
      <c r="AA649" s="1"/>
    </row>
    <row r="650" spans="1:27" x14ac:dyDescent="0.25">
      <c r="A650" t="s">
        <v>79</v>
      </c>
      <c r="B650" t="str">
        <f t="shared" si="12"/>
        <v>5-</v>
      </c>
      <c r="C650" s="35">
        <v>2022</v>
      </c>
      <c r="D650" s="1" t="s">
        <v>4</v>
      </c>
      <c r="E650" s="35">
        <v>111</v>
      </c>
      <c r="F650" s="35">
        <v>64</v>
      </c>
      <c r="G650" s="35">
        <v>47</v>
      </c>
      <c r="H650" s="1" t="s">
        <v>2</v>
      </c>
      <c r="I650" s="1"/>
      <c r="J650" s="1"/>
      <c r="K650" s="1"/>
      <c r="AA650" s="1"/>
    </row>
    <row r="651" spans="1:27" x14ac:dyDescent="0.25">
      <c r="A651" t="s">
        <v>79</v>
      </c>
      <c r="B651" t="str">
        <f t="shared" si="12"/>
        <v>5-</v>
      </c>
      <c r="C651" s="35">
        <v>2022</v>
      </c>
      <c r="D651" s="35">
        <v>2021</v>
      </c>
      <c r="E651" s="35">
        <v>1</v>
      </c>
      <c r="F651" s="1" t="s">
        <v>2</v>
      </c>
      <c r="G651" s="35">
        <v>1</v>
      </c>
      <c r="H651" s="1" t="s">
        <v>2</v>
      </c>
      <c r="I651" s="1"/>
      <c r="J651" s="1"/>
      <c r="K651" s="1"/>
      <c r="AA651" s="1"/>
    </row>
    <row r="652" spans="1:27" x14ac:dyDescent="0.25">
      <c r="A652" t="s">
        <v>79</v>
      </c>
      <c r="B652" t="str">
        <f t="shared" si="12"/>
        <v>5-</v>
      </c>
      <c r="C652" s="35">
        <v>2022</v>
      </c>
      <c r="D652" s="35">
        <v>2022</v>
      </c>
      <c r="E652" s="35">
        <v>110</v>
      </c>
      <c r="F652" s="35">
        <v>64</v>
      </c>
      <c r="G652" s="35">
        <v>46</v>
      </c>
      <c r="H652" s="1" t="s">
        <v>2</v>
      </c>
      <c r="I652" s="1"/>
      <c r="J652" s="1"/>
      <c r="K652" s="1"/>
      <c r="AA652" s="1"/>
    </row>
    <row r="653" spans="1:27" x14ac:dyDescent="0.25">
      <c r="A653" t="s">
        <v>79</v>
      </c>
      <c r="B653" t="str">
        <f t="shared" si="12"/>
        <v>5-</v>
      </c>
      <c r="C653" s="35">
        <v>2023</v>
      </c>
      <c r="D653" s="1" t="s">
        <v>4</v>
      </c>
      <c r="E653" s="35">
        <v>101</v>
      </c>
      <c r="F653" s="35">
        <v>56</v>
      </c>
      <c r="G653" s="35">
        <v>45</v>
      </c>
      <c r="H653" s="1" t="s">
        <v>2</v>
      </c>
      <c r="I653" s="1"/>
      <c r="J653" s="1"/>
      <c r="K653" s="1"/>
      <c r="AA653" s="1"/>
    </row>
    <row r="654" spans="1:27" x14ac:dyDescent="0.25">
      <c r="A654" t="s">
        <v>79</v>
      </c>
      <c r="B654" t="str">
        <f t="shared" si="12"/>
        <v>5-</v>
      </c>
      <c r="C654" s="35">
        <v>2023</v>
      </c>
      <c r="D654" s="35">
        <v>2022</v>
      </c>
      <c r="E654" s="35">
        <v>2</v>
      </c>
      <c r="F654" s="35">
        <v>1</v>
      </c>
      <c r="G654" s="35">
        <v>1</v>
      </c>
      <c r="H654" s="1" t="s">
        <v>2</v>
      </c>
      <c r="I654" s="1"/>
      <c r="J654" s="1"/>
      <c r="K654" s="1"/>
      <c r="AA654" s="1"/>
    </row>
    <row r="655" spans="1:27" x14ac:dyDescent="0.25">
      <c r="A655" t="s">
        <v>79</v>
      </c>
      <c r="B655" t="str">
        <f t="shared" si="12"/>
        <v>5-</v>
      </c>
      <c r="C655" s="35">
        <v>2023</v>
      </c>
      <c r="D655" s="35">
        <v>2023</v>
      </c>
      <c r="E655" s="35">
        <v>99</v>
      </c>
      <c r="F655" s="35">
        <v>55</v>
      </c>
      <c r="G655" s="35">
        <v>44</v>
      </c>
      <c r="H655" s="1" t="s">
        <v>2</v>
      </c>
      <c r="I655" s="1"/>
      <c r="J655" s="1"/>
      <c r="K655" s="1"/>
      <c r="AA655" s="1"/>
    </row>
    <row r="656" spans="1:27" x14ac:dyDescent="0.25">
      <c r="A656" t="s">
        <v>79</v>
      </c>
      <c r="B656" t="str">
        <f t="shared" si="12"/>
        <v>5-</v>
      </c>
      <c r="C656" s="35">
        <v>2024</v>
      </c>
      <c r="D656" s="1" t="s">
        <v>4</v>
      </c>
      <c r="E656" s="35">
        <v>94</v>
      </c>
      <c r="F656" s="35">
        <v>47</v>
      </c>
      <c r="G656" s="35">
        <v>47</v>
      </c>
      <c r="H656" s="1" t="s">
        <v>2</v>
      </c>
      <c r="I656" s="1"/>
      <c r="J656" s="1"/>
      <c r="K656" s="1"/>
      <c r="AA656" s="1"/>
    </row>
    <row r="657" spans="1:27" x14ac:dyDescent="0.25">
      <c r="A657" t="s">
        <v>79</v>
      </c>
      <c r="B657" t="str">
        <f t="shared" si="12"/>
        <v>5-</v>
      </c>
      <c r="C657" s="35">
        <v>2024</v>
      </c>
      <c r="D657" s="35">
        <v>2023</v>
      </c>
      <c r="E657" s="35">
        <v>1</v>
      </c>
      <c r="F657" s="35">
        <v>1</v>
      </c>
      <c r="G657" s="1" t="s">
        <v>2</v>
      </c>
      <c r="H657" s="1" t="s">
        <v>2</v>
      </c>
      <c r="I657" s="1"/>
      <c r="J657" s="1"/>
      <c r="K657" s="1"/>
      <c r="AA657" s="1"/>
    </row>
    <row r="658" spans="1:27" x14ac:dyDescent="0.25">
      <c r="A658" t="s">
        <v>79</v>
      </c>
      <c r="B658" t="str">
        <f t="shared" si="12"/>
        <v>5-</v>
      </c>
      <c r="C658" s="35">
        <v>2024</v>
      </c>
      <c r="D658" s="35">
        <v>2024</v>
      </c>
      <c r="E658" s="35">
        <v>93</v>
      </c>
      <c r="F658" s="35">
        <v>46</v>
      </c>
      <c r="G658" s="35">
        <v>47</v>
      </c>
      <c r="H658" s="1" t="s">
        <v>2</v>
      </c>
      <c r="I658" s="1"/>
      <c r="J658" s="1"/>
      <c r="K658" s="1"/>
      <c r="AA658" s="1"/>
    </row>
    <row r="659" spans="1:27" x14ac:dyDescent="0.25">
      <c r="A659" t="s">
        <v>80</v>
      </c>
      <c r="B659" t="str">
        <f t="shared" si="12"/>
        <v>10</v>
      </c>
      <c r="C659" s="35">
        <v>1990</v>
      </c>
      <c r="D659" s="1" t="s">
        <v>4</v>
      </c>
      <c r="E659" s="35">
        <v>296</v>
      </c>
      <c r="F659" s="35">
        <v>177</v>
      </c>
      <c r="G659" s="35">
        <v>119</v>
      </c>
      <c r="H659" s="1" t="s">
        <v>2</v>
      </c>
      <c r="I659" s="1"/>
      <c r="J659" s="1"/>
      <c r="K659" s="1"/>
      <c r="AA659" s="1"/>
    </row>
    <row r="660" spans="1:27" x14ac:dyDescent="0.25">
      <c r="A660" t="s">
        <v>80</v>
      </c>
      <c r="B660" t="str">
        <f t="shared" si="12"/>
        <v>10</v>
      </c>
      <c r="C660" s="35">
        <v>1990</v>
      </c>
      <c r="D660" s="35">
        <v>1990</v>
      </c>
      <c r="E660" s="35">
        <v>292</v>
      </c>
      <c r="F660" s="35">
        <v>174</v>
      </c>
      <c r="G660" s="35">
        <v>118</v>
      </c>
      <c r="H660" s="1" t="s">
        <v>2</v>
      </c>
      <c r="I660" s="1"/>
      <c r="J660" s="1"/>
      <c r="K660" s="1"/>
      <c r="AA660" s="1"/>
    </row>
    <row r="661" spans="1:27" x14ac:dyDescent="0.25">
      <c r="A661" t="s">
        <v>80</v>
      </c>
      <c r="B661" t="str">
        <f t="shared" si="12"/>
        <v>10</v>
      </c>
      <c r="C661" s="35">
        <v>1990</v>
      </c>
      <c r="D661" s="1" t="s">
        <v>24</v>
      </c>
      <c r="E661" s="35">
        <v>4</v>
      </c>
      <c r="F661" s="35">
        <v>3</v>
      </c>
      <c r="G661" s="35">
        <v>1</v>
      </c>
      <c r="H661" s="1" t="s">
        <v>2</v>
      </c>
      <c r="I661" s="1"/>
      <c r="J661" s="1"/>
      <c r="K661" s="1"/>
      <c r="AA661" s="1"/>
    </row>
    <row r="662" spans="1:27" x14ac:dyDescent="0.25">
      <c r="A662" t="s">
        <v>80</v>
      </c>
      <c r="B662" t="str">
        <f t="shared" si="12"/>
        <v>10</v>
      </c>
      <c r="C662" s="35">
        <v>1991</v>
      </c>
      <c r="D662" s="1" t="s">
        <v>4</v>
      </c>
      <c r="E662" s="35">
        <v>294</v>
      </c>
      <c r="F662" s="35">
        <v>181</v>
      </c>
      <c r="G662" s="35">
        <v>113</v>
      </c>
      <c r="H662" s="1" t="s">
        <v>2</v>
      </c>
      <c r="I662" s="1"/>
      <c r="J662" s="1"/>
      <c r="K662" s="1"/>
      <c r="AA662" s="1"/>
    </row>
    <row r="663" spans="1:27" x14ac:dyDescent="0.25">
      <c r="A663" t="s">
        <v>80</v>
      </c>
      <c r="B663" t="str">
        <f t="shared" si="12"/>
        <v>10</v>
      </c>
      <c r="C663" s="35">
        <v>1991</v>
      </c>
      <c r="D663" s="35">
        <v>1991</v>
      </c>
      <c r="E663" s="35">
        <v>292</v>
      </c>
      <c r="F663" s="35">
        <v>180</v>
      </c>
      <c r="G663" s="35">
        <v>112</v>
      </c>
      <c r="H663" s="1" t="s">
        <v>2</v>
      </c>
      <c r="I663" s="1"/>
      <c r="J663" s="1"/>
      <c r="K663" s="1"/>
      <c r="AA663" s="1"/>
    </row>
    <row r="664" spans="1:27" x14ac:dyDescent="0.25">
      <c r="A664" t="s">
        <v>80</v>
      </c>
      <c r="B664" t="str">
        <f t="shared" si="12"/>
        <v>10</v>
      </c>
      <c r="C664" s="35">
        <v>1991</v>
      </c>
      <c r="D664" s="1" t="s">
        <v>24</v>
      </c>
      <c r="E664" s="35">
        <v>2</v>
      </c>
      <c r="F664" s="35">
        <v>1</v>
      </c>
      <c r="G664" s="35">
        <v>1</v>
      </c>
      <c r="H664" s="1" t="s">
        <v>2</v>
      </c>
      <c r="I664" s="1"/>
      <c r="J664" s="1"/>
      <c r="K664" s="1"/>
      <c r="AA664" s="1"/>
    </row>
    <row r="665" spans="1:27" x14ac:dyDescent="0.25">
      <c r="A665" t="s">
        <v>80</v>
      </c>
      <c r="B665" t="str">
        <f t="shared" si="12"/>
        <v>10</v>
      </c>
      <c r="C665" s="35">
        <v>1992</v>
      </c>
      <c r="D665" s="1" t="s">
        <v>4</v>
      </c>
      <c r="E665" s="35">
        <v>286</v>
      </c>
      <c r="F665" s="35">
        <v>168</v>
      </c>
      <c r="G665" s="35">
        <v>118</v>
      </c>
      <c r="H665" s="1" t="s">
        <v>2</v>
      </c>
      <c r="I665" s="1"/>
      <c r="J665" s="1"/>
      <c r="K665" s="1"/>
      <c r="AA665" s="1"/>
    </row>
    <row r="666" spans="1:27" x14ac:dyDescent="0.25">
      <c r="A666" t="s">
        <v>80</v>
      </c>
      <c r="B666" t="str">
        <f t="shared" si="12"/>
        <v>10</v>
      </c>
      <c r="C666" s="35">
        <v>1992</v>
      </c>
      <c r="D666" s="35">
        <v>1992</v>
      </c>
      <c r="E666" s="35">
        <v>284</v>
      </c>
      <c r="F666" s="35">
        <v>166</v>
      </c>
      <c r="G666" s="35">
        <v>118</v>
      </c>
      <c r="H666" s="1" t="s">
        <v>2</v>
      </c>
      <c r="I666" s="1"/>
      <c r="J666" s="1"/>
      <c r="K666" s="1"/>
      <c r="AA666" s="1"/>
    </row>
    <row r="667" spans="1:27" x14ac:dyDescent="0.25">
      <c r="A667" t="s">
        <v>80</v>
      </c>
      <c r="B667" t="str">
        <f t="shared" si="12"/>
        <v>10</v>
      </c>
      <c r="C667" s="35">
        <v>1992</v>
      </c>
      <c r="D667" s="1" t="s">
        <v>24</v>
      </c>
      <c r="E667" s="35">
        <v>2</v>
      </c>
      <c r="F667" s="35">
        <v>2</v>
      </c>
      <c r="G667" s="1" t="s">
        <v>2</v>
      </c>
      <c r="H667" s="1" t="s">
        <v>2</v>
      </c>
      <c r="I667" s="1"/>
      <c r="J667" s="1"/>
      <c r="K667" s="1"/>
      <c r="AA667" s="1"/>
    </row>
    <row r="668" spans="1:27" x14ac:dyDescent="0.25">
      <c r="A668" t="s">
        <v>80</v>
      </c>
      <c r="B668" t="str">
        <f t="shared" si="12"/>
        <v>10</v>
      </c>
      <c r="C668" s="35">
        <v>1993</v>
      </c>
      <c r="D668" s="1" t="s">
        <v>4</v>
      </c>
      <c r="E668" s="35">
        <v>232</v>
      </c>
      <c r="F668" s="35">
        <v>143</v>
      </c>
      <c r="G668" s="35">
        <v>89</v>
      </c>
      <c r="H668" s="1" t="s">
        <v>2</v>
      </c>
      <c r="I668" s="1"/>
      <c r="J668" s="1"/>
      <c r="K668" s="1"/>
      <c r="AA668" s="1"/>
    </row>
    <row r="669" spans="1:27" x14ac:dyDescent="0.25">
      <c r="A669" t="s">
        <v>80</v>
      </c>
      <c r="B669" t="str">
        <f t="shared" si="12"/>
        <v>10</v>
      </c>
      <c r="C669" s="35">
        <v>1993</v>
      </c>
      <c r="D669" s="35">
        <v>1993</v>
      </c>
      <c r="E669" s="35">
        <v>232</v>
      </c>
      <c r="F669" s="35">
        <v>143</v>
      </c>
      <c r="G669" s="35">
        <v>89</v>
      </c>
      <c r="H669" s="1" t="s">
        <v>2</v>
      </c>
      <c r="I669" s="1"/>
      <c r="J669" s="1"/>
      <c r="K669" s="1"/>
      <c r="AA669" s="1"/>
    </row>
    <row r="670" spans="1:27" x14ac:dyDescent="0.25">
      <c r="A670" t="s">
        <v>80</v>
      </c>
      <c r="B670" t="str">
        <f t="shared" si="12"/>
        <v>10</v>
      </c>
      <c r="C670" s="35">
        <v>1994</v>
      </c>
      <c r="D670" s="1" t="s">
        <v>4</v>
      </c>
      <c r="E670" s="35">
        <v>231</v>
      </c>
      <c r="F670" s="35">
        <v>155</v>
      </c>
      <c r="G670" s="35">
        <v>76</v>
      </c>
      <c r="H670" s="1" t="s">
        <v>2</v>
      </c>
      <c r="I670" s="1"/>
      <c r="J670" s="1"/>
      <c r="K670" s="1"/>
      <c r="AA670" s="1"/>
    </row>
    <row r="671" spans="1:27" x14ac:dyDescent="0.25">
      <c r="A671" t="s">
        <v>80</v>
      </c>
      <c r="B671" t="str">
        <f t="shared" si="12"/>
        <v>10</v>
      </c>
      <c r="C671" s="35">
        <v>1994</v>
      </c>
      <c r="D671" s="35">
        <v>1993</v>
      </c>
      <c r="E671" s="35">
        <v>1</v>
      </c>
      <c r="F671" s="35">
        <v>1</v>
      </c>
      <c r="G671" s="1" t="s">
        <v>2</v>
      </c>
      <c r="H671" s="1" t="s">
        <v>2</v>
      </c>
      <c r="I671" s="1"/>
      <c r="J671" s="1"/>
      <c r="K671" s="1"/>
      <c r="AA671" s="1"/>
    </row>
    <row r="672" spans="1:27" x14ac:dyDescent="0.25">
      <c r="A672" t="s">
        <v>80</v>
      </c>
      <c r="B672" t="str">
        <f t="shared" si="12"/>
        <v>10</v>
      </c>
      <c r="C672" s="35">
        <v>1994</v>
      </c>
      <c r="D672" s="35">
        <v>1994</v>
      </c>
      <c r="E672" s="35">
        <v>230</v>
      </c>
      <c r="F672" s="35">
        <v>154</v>
      </c>
      <c r="G672" s="35">
        <v>76</v>
      </c>
      <c r="H672" s="1" t="s">
        <v>2</v>
      </c>
      <c r="I672" s="1"/>
      <c r="J672" s="1"/>
      <c r="K672" s="1"/>
      <c r="AA672" s="1"/>
    </row>
    <row r="673" spans="1:27" x14ac:dyDescent="0.25">
      <c r="A673" t="s">
        <v>80</v>
      </c>
      <c r="B673" t="str">
        <f t="shared" si="12"/>
        <v>10</v>
      </c>
      <c r="C673" s="35">
        <v>1995</v>
      </c>
      <c r="D673" s="1" t="s">
        <v>4</v>
      </c>
      <c r="E673" s="35">
        <v>263</v>
      </c>
      <c r="F673" s="35">
        <v>148</v>
      </c>
      <c r="G673" s="35">
        <v>115</v>
      </c>
      <c r="H673" s="1" t="s">
        <v>2</v>
      </c>
      <c r="I673" s="1"/>
      <c r="J673" s="1"/>
      <c r="K673" s="1"/>
      <c r="AA673" s="1"/>
    </row>
    <row r="674" spans="1:27" x14ac:dyDescent="0.25">
      <c r="A674" t="s">
        <v>80</v>
      </c>
      <c r="B674" t="str">
        <f t="shared" si="12"/>
        <v>10</v>
      </c>
      <c r="C674" s="35">
        <v>1995</v>
      </c>
      <c r="D674" s="35">
        <v>1994</v>
      </c>
      <c r="E674" s="35">
        <v>3</v>
      </c>
      <c r="F674" s="35">
        <v>3</v>
      </c>
      <c r="G674" s="1" t="s">
        <v>2</v>
      </c>
      <c r="H674" s="1" t="s">
        <v>2</v>
      </c>
      <c r="I674" s="1"/>
      <c r="J674" s="1"/>
      <c r="K674" s="1"/>
      <c r="AA674" s="1"/>
    </row>
    <row r="675" spans="1:27" x14ac:dyDescent="0.25">
      <c r="A675" t="s">
        <v>80</v>
      </c>
      <c r="B675" t="str">
        <f t="shared" si="12"/>
        <v>10</v>
      </c>
      <c r="C675" s="35">
        <v>1995</v>
      </c>
      <c r="D675" s="35">
        <v>1995</v>
      </c>
      <c r="E675" s="35">
        <v>260</v>
      </c>
      <c r="F675" s="35">
        <v>145</v>
      </c>
      <c r="G675" s="35">
        <v>115</v>
      </c>
      <c r="H675" s="1" t="s">
        <v>2</v>
      </c>
      <c r="I675" s="1"/>
      <c r="J675" s="1"/>
      <c r="K675" s="1"/>
      <c r="AA675" s="1"/>
    </row>
    <row r="676" spans="1:27" x14ac:dyDescent="0.25">
      <c r="A676" t="s">
        <v>80</v>
      </c>
      <c r="B676" t="str">
        <f t="shared" si="12"/>
        <v>10</v>
      </c>
      <c r="C676" s="35">
        <v>1996</v>
      </c>
      <c r="D676" s="1" t="s">
        <v>4</v>
      </c>
      <c r="E676" s="35">
        <v>229</v>
      </c>
      <c r="F676" s="35">
        <v>134</v>
      </c>
      <c r="G676" s="35">
        <v>95</v>
      </c>
      <c r="H676" s="1" t="s">
        <v>2</v>
      </c>
      <c r="I676" s="1"/>
      <c r="J676" s="1"/>
      <c r="K676" s="1"/>
      <c r="AA676" s="1"/>
    </row>
    <row r="677" spans="1:27" x14ac:dyDescent="0.25">
      <c r="A677" t="s">
        <v>80</v>
      </c>
      <c r="B677" t="str">
        <f t="shared" si="12"/>
        <v>10</v>
      </c>
      <c r="C677" s="35">
        <v>1996</v>
      </c>
      <c r="D677" s="35">
        <v>1995</v>
      </c>
      <c r="E677" s="35">
        <v>1</v>
      </c>
      <c r="F677" s="1" t="s">
        <v>2</v>
      </c>
      <c r="G677" s="35">
        <v>1</v>
      </c>
      <c r="H677" s="1" t="s">
        <v>2</v>
      </c>
      <c r="I677" s="1"/>
      <c r="J677" s="1"/>
      <c r="K677" s="1"/>
      <c r="AA677" s="1"/>
    </row>
    <row r="678" spans="1:27" x14ac:dyDescent="0.25">
      <c r="A678" t="s">
        <v>80</v>
      </c>
      <c r="B678" t="str">
        <f t="shared" si="12"/>
        <v>10</v>
      </c>
      <c r="C678" s="35">
        <v>1996</v>
      </c>
      <c r="D678" s="35">
        <v>1996</v>
      </c>
      <c r="E678" s="35">
        <v>228</v>
      </c>
      <c r="F678" s="35">
        <v>134</v>
      </c>
      <c r="G678" s="35">
        <v>94</v>
      </c>
      <c r="H678" s="1" t="s">
        <v>2</v>
      </c>
      <c r="I678" s="1"/>
      <c r="J678" s="1"/>
      <c r="K678" s="1"/>
      <c r="AA678" s="1"/>
    </row>
    <row r="679" spans="1:27" x14ac:dyDescent="0.25">
      <c r="A679" t="s">
        <v>80</v>
      </c>
      <c r="B679" t="str">
        <f t="shared" si="12"/>
        <v>10</v>
      </c>
      <c r="C679" s="35">
        <v>1997</v>
      </c>
      <c r="D679" s="1" t="s">
        <v>4</v>
      </c>
      <c r="E679" s="35">
        <v>243</v>
      </c>
      <c r="F679" s="35">
        <v>146</v>
      </c>
      <c r="G679" s="35">
        <v>97</v>
      </c>
      <c r="H679" s="1" t="s">
        <v>2</v>
      </c>
      <c r="I679" s="1"/>
      <c r="J679" s="1"/>
      <c r="K679" s="1"/>
      <c r="AA679" s="1"/>
    </row>
    <row r="680" spans="1:27" x14ac:dyDescent="0.25">
      <c r="A680" t="s">
        <v>80</v>
      </c>
      <c r="B680" t="str">
        <f t="shared" si="12"/>
        <v>10</v>
      </c>
      <c r="C680" s="35">
        <v>1997</v>
      </c>
      <c r="D680" s="35">
        <v>1907</v>
      </c>
      <c r="E680" s="35">
        <v>1</v>
      </c>
      <c r="F680" s="35">
        <v>1</v>
      </c>
      <c r="G680" s="1" t="s">
        <v>2</v>
      </c>
      <c r="H680" s="1" t="s">
        <v>2</v>
      </c>
      <c r="I680" s="1"/>
      <c r="J680" s="1"/>
      <c r="K680" s="1"/>
      <c r="AA680" s="1"/>
    </row>
    <row r="681" spans="1:27" x14ac:dyDescent="0.25">
      <c r="A681" t="s">
        <v>80</v>
      </c>
      <c r="B681" t="str">
        <f t="shared" si="12"/>
        <v>10</v>
      </c>
      <c r="C681" s="35">
        <v>1997</v>
      </c>
      <c r="D681" s="35">
        <v>1996</v>
      </c>
      <c r="E681" s="35">
        <v>2</v>
      </c>
      <c r="F681" s="35">
        <v>1</v>
      </c>
      <c r="G681" s="35">
        <v>1</v>
      </c>
      <c r="H681" s="1" t="s">
        <v>2</v>
      </c>
      <c r="I681" s="1"/>
      <c r="J681" s="1"/>
      <c r="K681" s="1"/>
      <c r="AA681" s="1"/>
    </row>
    <row r="682" spans="1:27" x14ac:dyDescent="0.25">
      <c r="A682" t="s">
        <v>80</v>
      </c>
      <c r="B682" t="str">
        <f t="shared" si="12"/>
        <v>10</v>
      </c>
      <c r="C682" s="35">
        <v>1997</v>
      </c>
      <c r="D682" s="35">
        <v>1997</v>
      </c>
      <c r="E682" s="35">
        <v>240</v>
      </c>
      <c r="F682" s="35">
        <v>144</v>
      </c>
      <c r="G682" s="35">
        <v>96</v>
      </c>
      <c r="H682" s="1" t="s">
        <v>2</v>
      </c>
      <c r="I682" s="1"/>
      <c r="J682" s="1"/>
      <c r="K682" s="1"/>
      <c r="AA682" s="1"/>
    </row>
    <row r="683" spans="1:27" x14ac:dyDescent="0.25">
      <c r="A683" t="s">
        <v>80</v>
      </c>
      <c r="B683" t="str">
        <f t="shared" si="12"/>
        <v>10</v>
      </c>
      <c r="C683" s="35">
        <v>1998</v>
      </c>
      <c r="D683" s="1" t="s">
        <v>4</v>
      </c>
      <c r="E683" s="35">
        <v>244</v>
      </c>
      <c r="F683" s="35">
        <v>142</v>
      </c>
      <c r="G683" s="35">
        <v>102</v>
      </c>
      <c r="H683" s="1" t="s">
        <v>2</v>
      </c>
      <c r="I683" s="1"/>
      <c r="J683" s="1"/>
      <c r="K683" s="1"/>
      <c r="AA683" s="1"/>
    </row>
    <row r="684" spans="1:27" x14ac:dyDescent="0.25">
      <c r="A684" t="s">
        <v>80</v>
      </c>
      <c r="B684" t="str">
        <f t="shared" si="12"/>
        <v>10</v>
      </c>
      <c r="C684" s="35">
        <v>1998</v>
      </c>
      <c r="D684" s="35">
        <v>1997</v>
      </c>
      <c r="E684" s="35">
        <v>1</v>
      </c>
      <c r="F684" s="1" t="s">
        <v>2</v>
      </c>
      <c r="G684" s="35">
        <v>1</v>
      </c>
      <c r="H684" s="1" t="s">
        <v>2</v>
      </c>
      <c r="I684" s="1"/>
      <c r="J684" s="1"/>
      <c r="K684" s="1"/>
      <c r="AA684" s="1"/>
    </row>
    <row r="685" spans="1:27" x14ac:dyDescent="0.25">
      <c r="A685" t="s">
        <v>80</v>
      </c>
      <c r="B685" t="str">
        <f t="shared" si="12"/>
        <v>10</v>
      </c>
      <c r="C685" s="35">
        <v>1998</v>
      </c>
      <c r="D685" s="35">
        <v>1998</v>
      </c>
      <c r="E685" s="35">
        <v>243</v>
      </c>
      <c r="F685" s="35">
        <v>142</v>
      </c>
      <c r="G685" s="35">
        <v>101</v>
      </c>
      <c r="H685" s="1" t="s">
        <v>2</v>
      </c>
      <c r="I685" s="1"/>
      <c r="J685" s="1"/>
      <c r="K685" s="1"/>
      <c r="AA685" s="1"/>
    </row>
    <row r="686" spans="1:27" x14ac:dyDescent="0.25">
      <c r="A686" t="s">
        <v>80</v>
      </c>
      <c r="B686" t="str">
        <f t="shared" si="12"/>
        <v>10</v>
      </c>
      <c r="C686" s="35">
        <v>1999</v>
      </c>
      <c r="D686" s="1" t="s">
        <v>4</v>
      </c>
      <c r="E686" s="35">
        <v>206</v>
      </c>
      <c r="F686" s="35">
        <v>118</v>
      </c>
      <c r="G686" s="35">
        <v>88</v>
      </c>
      <c r="H686" s="1" t="s">
        <v>2</v>
      </c>
      <c r="I686" s="1"/>
      <c r="J686" s="1"/>
      <c r="K686" s="1"/>
      <c r="AA686" s="1"/>
    </row>
    <row r="687" spans="1:27" x14ac:dyDescent="0.25">
      <c r="A687" t="s">
        <v>80</v>
      </c>
      <c r="B687" t="str">
        <f t="shared" si="12"/>
        <v>10</v>
      </c>
      <c r="C687" s="35">
        <v>1999</v>
      </c>
      <c r="D687" s="35">
        <v>1998</v>
      </c>
      <c r="E687" s="35">
        <v>1</v>
      </c>
      <c r="F687" s="35">
        <v>1</v>
      </c>
      <c r="G687" s="1" t="s">
        <v>2</v>
      </c>
      <c r="H687" s="1" t="s">
        <v>2</v>
      </c>
      <c r="I687" s="1"/>
      <c r="J687" s="1"/>
      <c r="K687" s="1"/>
      <c r="AA687" s="1"/>
    </row>
    <row r="688" spans="1:27" x14ac:dyDescent="0.25">
      <c r="A688" t="s">
        <v>80</v>
      </c>
      <c r="B688" t="str">
        <f t="shared" si="12"/>
        <v>10</v>
      </c>
      <c r="C688" s="35">
        <v>1999</v>
      </c>
      <c r="D688" s="35">
        <v>1999</v>
      </c>
      <c r="E688" s="35">
        <v>205</v>
      </c>
      <c r="F688" s="35">
        <v>117</v>
      </c>
      <c r="G688" s="35">
        <v>88</v>
      </c>
      <c r="H688" s="1" t="s">
        <v>2</v>
      </c>
      <c r="I688" s="1"/>
      <c r="J688" s="1"/>
      <c r="K688" s="1"/>
      <c r="AA688" s="1"/>
    </row>
    <row r="689" spans="1:27" x14ac:dyDescent="0.25">
      <c r="A689" t="s">
        <v>80</v>
      </c>
      <c r="B689" t="str">
        <f t="shared" si="12"/>
        <v>10</v>
      </c>
      <c r="C689" s="35">
        <v>2000</v>
      </c>
      <c r="D689" s="1" t="s">
        <v>4</v>
      </c>
      <c r="E689" s="35">
        <v>218</v>
      </c>
      <c r="F689" s="35">
        <v>131</v>
      </c>
      <c r="G689" s="35">
        <v>87</v>
      </c>
      <c r="H689" s="1" t="s">
        <v>2</v>
      </c>
      <c r="I689" s="1"/>
      <c r="J689" s="1"/>
      <c r="K689" s="1"/>
      <c r="AA689" s="1"/>
    </row>
    <row r="690" spans="1:27" x14ac:dyDescent="0.25">
      <c r="A690" t="s">
        <v>80</v>
      </c>
      <c r="B690" t="str">
        <f t="shared" si="12"/>
        <v>10</v>
      </c>
      <c r="C690" s="35">
        <v>2000</v>
      </c>
      <c r="D690" s="35">
        <v>1999</v>
      </c>
      <c r="E690" s="35">
        <v>2</v>
      </c>
      <c r="F690" s="35">
        <v>2</v>
      </c>
      <c r="G690" s="1" t="s">
        <v>2</v>
      </c>
      <c r="H690" s="1" t="s">
        <v>2</v>
      </c>
      <c r="I690" s="1"/>
      <c r="J690" s="1"/>
      <c r="K690" s="1"/>
      <c r="AA690" s="1"/>
    </row>
    <row r="691" spans="1:27" x14ac:dyDescent="0.25">
      <c r="A691" t="s">
        <v>80</v>
      </c>
      <c r="B691" t="str">
        <f t="shared" si="12"/>
        <v>10</v>
      </c>
      <c r="C691" s="35">
        <v>2000</v>
      </c>
      <c r="D691" s="35">
        <v>2000</v>
      </c>
      <c r="E691" s="35">
        <v>216</v>
      </c>
      <c r="F691" s="35">
        <v>129</v>
      </c>
      <c r="G691" s="35">
        <v>87</v>
      </c>
      <c r="H691" s="1" t="s">
        <v>2</v>
      </c>
      <c r="I691" s="1"/>
      <c r="J691" s="1"/>
      <c r="K691" s="1"/>
      <c r="AA691" s="1"/>
    </row>
    <row r="692" spans="1:27" x14ac:dyDescent="0.25">
      <c r="A692" t="s">
        <v>80</v>
      </c>
      <c r="B692" t="str">
        <f t="shared" si="12"/>
        <v>10</v>
      </c>
      <c r="C692" s="35">
        <v>2001</v>
      </c>
      <c r="D692" s="1" t="s">
        <v>4</v>
      </c>
      <c r="E692" s="35">
        <v>224</v>
      </c>
      <c r="F692" s="35">
        <v>127</v>
      </c>
      <c r="G692" s="35">
        <v>97</v>
      </c>
      <c r="H692" s="1" t="s">
        <v>2</v>
      </c>
      <c r="I692" s="1"/>
      <c r="J692" s="1"/>
      <c r="K692" s="1"/>
      <c r="AA692" s="1"/>
    </row>
    <row r="693" spans="1:27" x14ac:dyDescent="0.25">
      <c r="A693" t="s">
        <v>80</v>
      </c>
      <c r="B693" t="str">
        <f t="shared" si="12"/>
        <v>10</v>
      </c>
      <c r="C693" s="35">
        <v>2001</v>
      </c>
      <c r="D693" s="35">
        <v>1999</v>
      </c>
      <c r="E693" s="35">
        <v>1</v>
      </c>
      <c r="F693" s="35">
        <v>1</v>
      </c>
      <c r="G693" s="1" t="s">
        <v>2</v>
      </c>
      <c r="H693" s="1" t="s">
        <v>2</v>
      </c>
      <c r="I693" s="1"/>
      <c r="J693" s="1"/>
      <c r="K693" s="1"/>
      <c r="AA693" s="1"/>
    </row>
    <row r="694" spans="1:27" x14ac:dyDescent="0.25">
      <c r="A694" t="s">
        <v>80</v>
      </c>
      <c r="B694" t="str">
        <f t="shared" si="12"/>
        <v>10</v>
      </c>
      <c r="C694" s="35">
        <v>2001</v>
      </c>
      <c r="D694" s="35">
        <v>2000</v>
      </c>
      <c r="E694" s="35">
        <v>1</v>
      </c>
      <c r="F694" s="1" t="s">
        <v>2</v>
      </c>
      <c r="G694" s="35">
        <v>1</v>
      </c>
      <c r="H694" s="1" t="s">
        <v>2</v>
      </c>
      <c r="I694" s="1"/>
      <c r="J694" s="1"/>
      <c r="K694" s="1"/>
      <c r="AA694" s="1"/>
    </row>
    <row r="695" spans="1:27" x14ac:dyDescent="0.25">
      <c r="A695" t="s">
        <v>80</v>
      </c>
      <c r="B695" t="str">
        <f t="shared" si="12"/>
        <v>10</v>
      </c>
      <c r="C695" s="35">
        <v>2001</v>
      </c>
      <c r="D695" s="35">
        <v>2001</v>
      </c>
      <c r="E695" s="35">
        <v>222</v>
      </c>
      <c r="F695" s="35">
        <v>126</v>
      </c>
      <c r="G695" s="35">
        <v>96</v>
      </c>
      <c r="H695" s="1" t="s">
        <v>2</v>
      </c>
      <c r="I695" s="1"/>
      <c r="J695" s="1"/>
      <c r="K695" s="1"/>
      <c r="AA695" s="1"/>
    </row>
    <row r="696" spans="1:27" x14ac:dyDescent="0.25">
      <c r="A696" t="s">
        <v>80</v>
      </c>
      <c r="B696" t="str">
        <f t="shared" si="12"/>
        <v>10</v>
      </c>
      <c r="C696" s="35">
        <v>2002</v>
      </c>
      <c r="D696" s="1" t="s">
        <v>4</v>
      </c>
      <c r="E696" s="35">
        <v>211</v>
      </c>
      <c r="F696" s="35">
        <v>121</v>
      </c>
      <c r="G696" s="35">
        <v>90</v>
      </c>
      <c r="H696" s="1" t="s">
        <v>2</v>
      </c>
      <c r="I696" s="1"/>
      <c r="J696" s="1"/>
      <c r="K696" s="1"/>
      <c r="AA696" s="1"/>
    </row>
    <row r="697" spans="1:27" x14ac:dyDescent="0.25">
      <c r="A697" t="s">
        <v>80</v>
      </c>
      <c r="B697" t="str">
        <f t="shared" si="12"/>
        <v>10</v>
      </c>
      <c r="C697" s="35">
        <v>2002</v>
      </c>
      <c r="D697" s="35">
        <v>2002</v>
      </c>
      <c r="E697" s="35">
        <v>211</v>
      </c>
      <c r="F697" s="35">
        <v>121</v>
      </c>
      <c r="G697" s="35">
        <v>90</v>
      </c>
      <c r="H697" s="1" t="s">
        <v>2</v>
      </c>
      <c r="I697" s="1"/>
      <c r="J697" s="1"/>
      <c r="K697" s="1"/>
      <c r="AA697" s="1"/>
    </row>
    <row r="698" spans="1:27" x14ac:dyDescent="0.25">
      <c r="A698" t="s">
        <v>80</v>
      </c>
      <c r="B698" t="str">
        <f t="shared" si="12"/>
        <v>10</v>
      </c>
      <c r="C698" s="35">
        <v>2003</v>
      </c>
      <c r="D698" s="1" t="s">
        <v>4</v>
      </c>
      <c r="E698" s="35">
        <v>228</v>
      </c>
      <c r="F698" s="35">
        <v>137</v>
      </c>
      <c r="G698" s="35">
        <v>91</v>
      </c>
      <c r="H698" s="1" t="s">
        <v>2</v>
      </c>
      <c r="I698" s="1"/>
      <c r="J698" s="1"/>
      <c r="K698" s="1"/>
      <c r="AA698" s="1"/>
    </row>
    <row r="699" spans="1:27" x14ac:dyDescent="0.25">
      <c r="A699" t="s">
        <v>80</v>
      </c>
      <c r="B699" t="str">
        <f t="shared" si="12"/>
        <v>10</v>
      </c>
      <c r="C699" s="35">
        <v>2003</v>
      </c>
      <c r="D699" s="35">
        <v>2002</v>
      </c>
      <c r="E699" s="35">
        <v>2</v>
      </c>
      <c r="F699" s="1" t="s">
        <v>2</v>
      </c>
      <c r="G699" s="35">
        <v>2</v>
      </c>
      <c r="H699" s="1" t="s">
        <v>2</v>
      </c>
      <c r="I699" s="1"/>
      <c r="J699" s="1"/>
      <c r="K699" s="1"/>
      <c r="AA699" s="1"/>
    </row>
    <row r="700" spans="1:27" x14ac:dyDescent="0.25">
      <c r="A700" t="s">
        <v>80</v>
      </c>
      <c r="B700" t="str">
        <f t="shared" si="12"/>
        <v>10</v>
      </c>
      <c r="C700" s="35">
        <v>2003</v>
      </c>
      <c r="D700" s="35">
        <v>2003</v>
      </c>
      <c r="E700" s="35">
        <v>226</v>
      </c>
      <c r="F700" s="35">
        <v>137</v>
      </c>
      <c r="G700" s="35">
        <v>89</v>
      </c>
      <c r="H700" s="1" t="s">
        <v>2</v>
      </c>
      <c r="I700" s="1"/>
      <c r="J700" s="1"/>
      <c r="K700" s="1"/>
      <c r="AA700" s="1"/>
    </row>
    <row r="701" spans="1:27" x14ac:dyDescent="0.25">
      <c r="A701" t="s">
        <v>80</v>
      </c>
      <c r="B701" t="str">
        <f t="shared" si="12"/>
        <v>10</v>
      </c>
      <c r="C701" s="35">
        <v>2004</v>
      </c>
      <c r="D701" s="1" t="s">
        <v>4</v>
      </c>
      <c r="E701" s="35">
        <v>195</v>
      </c>
      <c r="F701" s="35">
        <v>125</v>
      </c>
      <c r="G701" s="35">
        <v>70</v>
      </c>
      <c r="H701" s="1" t="s">
        <v>2</v>
      </c>
      <c r="I701" s="1"/>
      <c r="J701" s="1"/>
      <c r="K701" s="1"/>
      <c r="AA701" s="1"/>
    </row>
    <row r="702" spans="1:27" x14ac:dyDescent="0.25">
      <c r="A702" t="s">
        <v>80</v>
      </c>
      <c r="B702" t="str">
        <f t="shared" si="12"/>
        <v>10</v>
      </c>
      <c r="C702" s="35">
        <v>2004</v>
      </c>
      <c r="D702" s="35">
        <v>2004</v>
      </c>
      <c r="E702" s="35">
        <v>195</v>
      </c>
      <c r="F702" s="35">
        <v>125</v>
      </c>
      <c r="G702" s="35">
        <v>70</v>
      </c>
      <c r="H702" s="1" t="s">
        <v>2</v>
      </c>
      <c r="I702" s="1"/>
      <c r="J702" s="1"/>
      <c r="K702" s="1"/>
      <c r="AA702" s="1"/>
    </row>
    <row r="703" spans="1:27" x14ac:dyDescent="0.25">
      <c r="A703" t="s">
        <v>80</v>
      </c>
      <c r="B703" t="str">
        <f t="shared" si="12"/>
        <v>10</v>
      </c>
      <c r="C703" s="35">
        <v>2005</v>
      </c>
      <c r="D703" s="1" t="s">
        <v>4</v>
      </c>
      <c r="E703" s="35">
        <v>213</v>
      </c>
      <c r="F703" s="35">
        <v>104</v>
      </c>
      <c r="G703" s="35">
        <v>109</v>
      </c>
      <c r="H703" s="1" t="s">
        <v>2</v>
      </c>
      <c r="I703" s="1"/>
      <c r="J703" s="1"/>
      <c r="K703" s="1"/>
      <c r="AA703" s="1"/>
    </row>
    <row r="704" spans="1:27" x14ac:dyDescent="0.25">
      <c r="A704" t="s">
        <v>80</v>
      </c>
      <c r="B704" t="str">
        <f t="shared" si="12"/>
        <v>10</v>
      </c>
      <c r="C704" s="35">
        <v>2005</v>
      </c>
      <c r="D704" s="35">
        <v>2004</v>
      </c>
      <c r="E704" s="35">
        <v>2</v>
      </c>
      <c r="F704" s="35">
        <v>1</v>
      </c>
      <c r="G704" s="35">
        <v>1</v>
      </c>
      <c r="H704" s="1" t="s">
        <v>2</v>
      </c>
      <c r="I704" s="1"/>
      <c r="J704" s="1"/>
      <c r="K704" s="1"/>
      <c r="AA704" s="1"/>
    </row>
    <row r="705" spans="1:27" x14ac:dyDescent="0.25">
      <c r="A705" t="s">
        <v>80</v>
      </c>
      <c r="B705" t="str">
        <f t="shared" si="12"/>
        <v>10</v>
      </c>
      <c r="C705" s="35">
        <v>2005</v>
      </c>
      <c r="D705" s="35">
        <v>2005</v>
      </c>
      <c r="E705" s="35">
        <v>211</v>
      </c>
      <c r="F705" s="35">
        <v>103</v>
      </c>
      <c r="G705" s="35">
        <v>108</v>
      </c>
      <c r="H705" s="1" t="s">
        <v>2</v>
      </c>
      <c r="I705" s="1"/>
      <c r="J705" s="1"/>
      <c r="K705" s="1"/>
      <c r="AA705" s="1"/>
    </row>
    <row r="706" spans="1:27" x14ac:dyDescent="0.25">
      <c r="A706" t="s">
        <v>80</v>
      </c>
      <c r="B706" t="str">
        <f t="shared" si="12"/>
        <v>10</v>
      </c>
      <c r="C706" s="35">
        <v>2006</v>
      </c>
      <c r="D706" s="1" t="s">
        <v>4</v>
      </c>
      <c r="E706" s="35">
        <v>178</v>
      </c>
      <c r="F706" s="35">
        <v>110</v>
      </c>
      <c r="G706" s="35">
        <v>68</v>
      </c>
      <c r="H706" s="1" t="s">
        <v>2</v>
      </c>
      <c r="I706" s="1"/>
      <c r="J706" s="1"/>
      <c r="K706" s="1"/>
      <c r="AA706" s="1"/>
    </row>
    <row r="707" spans="1:27" x14ac:dyDescent="0.25">
      <c r="A707" t="s">
        <v>80</v>
      </c>
      <c r="B707" t="str">
        <f t="shared" si="12"/>
        <v>10</v>
      </c>
      <c r="C707" s="35">
        <v>2006</v>
      </c>
      <c r="D707" s="35">
        <v>2006</v>
      </c>
      <c r="E707" s="35">
        <v>178</v>
      </c>
      <c r="F707" s="35">
        <v>110</v>
      </c>
      <c r="G707" s="35">
        <v>68</v>
      </c>
      <c r="H707" s="1" t="s">
        <v>2</v>
      </c>
      <c r="I707" s="1"/>
      <c r="J707" s="1"/>
      <c r="K707" s="1"/>
      <c r="AA707" s="1"/>
    </row>
    <row r="708" spans="1:27" x14ac:dyDescent="0.25">
      <c r="A708" t="s">
        <v>80</v>
      </c>
      <c r="B708" t="str">
        <f t="shared" si="12"/>
        <v>10</v>
      </c>
      <c r="C708" s="35">
        <v>2007</v>
      </c>
      <c r="D708" s="1" t="s">
        <v>4</v>
      </c>
      <c r="E708" s="35">
        <v>165</v>
      </c>
      <c r="F708" s="35">
        <v>92</v>
      </c>
      <c r="G708" s="35">
        <v>73</v>
      </c>
      <c r="H708" s="1" t="s">
        <v>2</v>
      </c>
      <c r="I708" s="1"/>
      <c r="J708" s="1"/>
      <c r="K708" s="1"/>
      <c r="AA708" s="1"/>
    </row>
    <row r="709" spans="1:27" x14ac:dyDescent="0.25">
      <c r="A709" t="s">
        <v>80</v>
      </c>
      <c r="B709" t="str">
        <f t="shared" si="12"/>
        <v>10</v>
      </c>
      <c r="C709" s="35">
        <v>2007</v>
      </c>
      <c r="D709" s="35">
        <v>2005</v>
      </c>
      <c r="E709" s="35">
        <v>1</v>
      </c>
      <c r="F709" s="35">
        <v>1</v>
      </c>
      <c r="G709" s="1" t="s">
        <v>2</v>
      </c>
      <c r="H709" s="1" t="s">
        <v>2</v>
      </c>
      <c r="I709" s="1"/>
      <c r="J709" s="1"/>
      <c r="K709" s="1"/>
      <c r="AA709" s="1"/>
    </row>
    <row r="710" spans="1:27" x14ac:dyDescent="0.25">
      <c r="A710" t="s">
        <v>80</v>
      </c>
      <c r="B710" t="str">
        <f t="shared" si="12"/>
        <v>10</v>
      </c>
      <c r="C710" s="35">
        <v>2007</v>
      </c>
      <c r="D710" s="35">
        <v>2006</v>
      </c>
      <c r="E710" s="35">
        <v>1</v>
      </c>
      <c r="F710" s="35">
        <v>1</v>
      </c>
      <c r="G710" s="1" t="s">
        <v>2</v>
      </c>
      <c r="H710" s="1" t="s">
        <v>2</v>
      </c>
      <c r="I710" s="1"/>
      <c r="J710" s="1"/>
      <c r="K710" s="1"/>
      <c r="AA710" s="1"/>
    </row>
    <row r="711" spans="1:27" x14ac:dyDescent="0.25">
      <c r="A711" t="s">
        <v>80</v>
      </c>
      <c r="B711" t="str">
        <f t="shared" ref="B711:B774" si="13">IF(A711="Menores de 1 año",0,LEFT(A711,2))</f>
        <v>10</v>
      </c>
      <c r="C711" s="35">
        <v>2007</v>
      </c>
      <c r="D711" s="35">
        <v>2007</v>
      </c>
      <c r="E711" s="35">
        <v>163</v>
      </c>
      <c r="F711" s="35">
        <v>90</v>
      </c>
      <c r="G711" s="35">
        <v>73</v>
      </c>
      <c r="H711" s="1" t="s">
        <v>2</v>
      </c>
      <c r="I711" s="1"/>
      <c r="J711" s="1"/>
      <c r="K711" s="1"/>
      <c r="AA711" s="1"/>
    </row>
    <row r="712" spans="1:27" x14ac:dyDescent="0.25">
      <c r="A712" t="s">
        <v>80</v>
      </c>
      <c r="B712" t="str">
        <f t="shared" si="13"/>
        <v>10</v>
      </c>
      <c r="C712" s="35">
        <v>2008</v>
      </c>
      <c r="D712" s="1" t="s">
        <v>4</v>
      </c>
      <c r="E712" s="35">
        <v>203</v>
      </c>
      <c r="F712" s="35">
        <v>111</v>
      </c>
      <c r="G712" s="35">
        <v>92</v>
      </c>
      <c r="H712" s="1" t="s">
        <v>2</v>
      </c>
      <c r="I712" s="1"/>
      <c r="J712" s="1"/>
      <c r="K712" s="1"/>
      <c r="AA712" s="1"/>
    </row>
    <row r="713" spans="1:27" x14ac:dyDescent="0.25">
      <c r="A713" t="s">
        <v>80</v>
      </c>
      <c r="B713" t="str">
        <f t="shared" si="13"/>
        <v>10</v>
      </c>
      <c r="C713" s="35">
        <v>2008</v>
      </c>
      <c r="D713" s="35">
        <v>2005</v>
      </c>
      <c r="E713" s="35">
        <v>1</v>
      </c>
      <c r="F713" s="35">
        <v>1</v>
      </c>
      <c r="G713" s="1" t="s">
        <v>2</v>
      </c>
      <c r="H713" s="1" t="s">
        <v>2</v>
      </c>
      <c r="I713" s="1"/>
      <c r="J713" s="1"/>
      <c r="K713" s="1"/>
      <c r="AA713" s="1"/>
    </row>
    <row r="714" spans="1:27" x14ac:dyDescent="0.25">
      <c r="A714" t="s">
        <v>80</v>
      </c>
      <c r="B714" t="str">
        <f t="shared" si="13"/>
        <v>10</v>
      </c>
      <c r="C714" s="35">
        <v>2008</v>
      </c>
      <c r="D714" s="35">
        <v>2007</v>
      </c>
      <c r="E714" s="35">
        <v>1</v>
      </c>
      <c r="F714" s="1" t="s">
        <v>2</v>
      </c>
      <c r="G714" s="35">
        <v>1</v>
      </c>
      <c r="H714" s="1" t="s">
        <v>2</v>
      </c>
      <c r="I714" s="1"/>
      <c r="J714" s="1"/>
      <c r="K714" s="1"/>
      <c r="AA714" s="1"/>
    </row>
    <row r="715" spans="1:27" x14ac:dyDescent="0.25">
      <c r="A715" t="s">
        <v>80</v>
      </c>
      <c r="B715" t="str">
        <f t="shared" si="13"/>
        <v>10</v>
      </c>
      <c r="C715" s="35">
        <v>2008</v>
      </c>
      <c r="D715" s="35">
        <v>2008</v>
      </c>
      <c r="E715" s="35">
        <v>201</v>
      </c>
      <c r="F715" s="35">
        <v>110</v>
      </c>
      <c r="G715" s="35">
        <v>91</v>
      </c>
      <c r="H715" s="1" t="s">
        <v>2</v>
      </c>
      <c r="I715" s="1"/>
      <c r="J715" s="1"/>
      <c r="K715" s="1"/>
      <c r="AA715" s="1"/>
    </row>
    <row r="716" spans="1:27" x14ac:dyDescent="0.25">
      <c r="A716" t="s">
        <v>80</v>
      </c>
      <c r="B716" t="str">
        <f t="shared" si="13"/>
        <v>10</v>
      </c>
      <c r="C716" s="35">
        <v>2009</v>
      </c>
      <c r="D716" s="1" t="s">
        <v>4</v>
      </c>
      <c r="E716" s="35">
        <v>205</v>
      </c>
      <c r="F716" s="35">
        <v>120</v>
      </c>
      <c r="G716" s="35">
        <v>85</v>
      </c>
      <c r="H716" s="1" t="s">
        <v>2</v>
      </c>
      <c r="I716" s="1"/>
      <c r="J716" s="1"/>
      <c r="K716" s="1"/>
      <c r="AA716" s="1"/>
    </row>
    <row r="717" spans="1:27" x14ac:dyDescent="0.25">
      <c r="A717" t="s">
        <v>80</v>
      </c>
      <c r="B717" t="str">
        <f t="shared" si="13"/>
        <v>10</v>
      </c>
      <c r="C717" s="35">
        <v>2009</v>
      </c>
      <c r="D717" s="35">
        <v>2009</v>
      </c>
      <c r="E717" s="35">
        <v>205</v>
      </c>
      <c r="F717" s="35">
        <v>120</v>
      </c>
      <c r="G717" s="35">
        <v>85</v>
      </c>
      <c r="H717" s="1" t="s">
        <v>2</v>
      </c>
      <c r="I717" s="1"/>
      <c r="J717" s="1"/>
      <c r="K717" s="1"/>
      <c r="AA717" s="1"/>
    </row>
    <row r="718" spans="1:27" x14ac:dyDescent="0.25">
      <c r="A718" t="s">
        <v>80</v>
      </c>
      <c r="B718" t="str">
        <f t="shared" si="13"/>
        <v>10</v>
      </c>
      <c r="C718" s="35">
        <v>2010</v>
      </c>
      <c r="D718" s="1" t="s">
        <v>4</v>
      </c>
      <c r="E718" s="35">
        <v>187</v>
      </c>
      <c r="F718" s="35">
        <v>112</v>
      </c>
      <c r="G718" s="35">
        <v>75</v>
      </c>
      <c r="H718" s="1" t="s">
        <v>2</v>
      </c>
      <c r="I718" s="1"/>
      <c r="J718" s="1"/>
      <c r="K718" s="1"/>
      <c r="AA718" s="1"/>
    </row>
    <row r="719" spans="1:27" x14ac:dyDescent="0.25">
      <c r="A719" t="s">
        <v>80</v>
      </c>
      <c r="B719" t="str">
        <f t="shared" si="13"/>
        <v>10</v>
      </c>
      <c r="C719" s="35">
        <v>2010</v>
      </c>
      <c r="D719" s="35">
        <v>2009</v>
      </c>
      <c r="E719" s="35">
        <v>1</v>
      </c>
      <c r="F719" s="1" t="s">
        <v>2</v>
      </c>
      <c r="G719" s="35">
        <v>1</v>
      </c>
      <c r="H719" s="1" t="s">
        <v>2</v>
      </c>
      <c r="I719" s="1"/>
      <c r="J719" s="1"/>
      <c r="K719" s="1"/>
      <c r="AA719" s="1"/>
    </row>
    <row r="720" spans="1:27" x14ac:dyDescent="0.25">
      <c r="A720" t="s">
        <v>80</v>
      </c>
      <c r="B720" t="str">
        <f t="shared" si="13"/>
        <v>10</v>
      </c>
      <c r="C720" s="35">
        <v>2010</v>
      </c>
      <c r="D720" s="35">
        <v>2010</v>
      </c>
      <c r="E720" s="35">
        <v>186</v>
      </c>
      <c r="F720" s="35">
        <v>112</v>
      </c>
      <c r="G720" s="35">
        <v>74</v>
      </c>
      <c r="H720" s="1" t="s">
        <v>2</v>
      </c>
      <c r="I720" s="1"/>
      <c r="J720" s="1"/>
      <c r="K720" s="1"/>
      <c r="AA720" s="1"/>
    </row>
    <row r="721" spans="1:27" x14ac:dyDescent="0.25">
      <c r="A721" t="s">
        <v>80</v>
      </c>
      <c r="B721" t="str">
        <f t="shared" si="13"/>
        <v>10</v>
      </c>
      <c r="C721" s="35">
        <v>2011</v>
      </c>
      <c r="D721" s="1" t="s">
        <v>4</v>
      </c>
      <c r="E721" s="35">
        <v>173</v>
      </c>
      <c r="F721" s="35">
        <v>100</v>
      </c>
      <c r="G721" s="35">
        <v>73</v>
      </c>
      <c r="H721" s="1" t="s">
        <v>2</v>
      </c>
      <c r="I721" s="1"/>
      <c r="J721" s="1"/>
      <c r="K721" s="1"/>
      <c r="AA721" s="1"/>
    </row>
    <row r="722" spans="1:27" x14ac:dyDescent="0.25">
      <c r="A722" t="s">
        <v>80</v>
      </c>
      <c r="B722" t="str">
        <f t="shared" si="13"/>
        <v>10</v>
      </c>
      <c r="C722" s="35">
        <v>2011</v>
      </c>
      <c r="D722" s="35">
        <v>2011</v>
      </c>
      <c r="E722" s="35">
        <v>173</v>
      </c>
      <c r="F722" s="35">
        <v>100</v>
      </c>
      <c r="G722" s="35">
        <v>73</v>
      </c>
      <c r="H722" s="1" t="s">
        <v>2</v>
      </c>
      <c r="I722" s="1"/>
      <c r="J722" s="1"/>
      <c r="K722" s="1"/>
      <c r="AA722" s="1"/>
    </row>
    <row r="723" spans="1:27" x14ac:dyDescent="0.25">
      <c r="A723" t="s">
        <v>80</v>
      </c>
      <c r="B723" t="str">
        <f t="shared" si="13"/>
        <v>10</v>
      </c>
      <c r="C723" s="35">
        <v>2012</v>
      </c>
      <c r="D723" s="1" t="s">
        <v>4</v>
      </c>
      <c r="E723" s="35">
        <v>158</v>
      </c>
      <c r="F723" s="35">
        <v>74</v>
      </c>
      <c r="G723" s="35">
        <v>84</v>
      </c>
      <c r="H723" s="1" t="s">
        <v>2</v>
      </c>
      <c r="I723" s="1"/>
      <c r="J723" s="1"/>
      <c r="K723" s="1"/>
      <c r="AA723" s="1"/>
    </row>
    <row r="724" spans="1:27" x14ac:dyDescent="0.25">
      <c r="A724" t="s">
        <v>80</v>
      </c>
      <c r="B724" t="str">
        <f t="shared" si="13"/>
        <v>10</v>
      </c>
      <c r="C724" s="35">
        <v>2012</v>
      </c>
      <c r="D724" s="35">
        <v>2012</v>
      </c>
      <c r="E724" s="35">
        <v>158</v>
      </c>
      <c r="F724" s="35">
        <v>74</v>
      </c>
      <c r="G724" s="35">
        <v>84</v>
      </c>
      <c r="H724" s="1" t="s">
        <v>2</v>
      </c>
      <c r="I724" s="1"/>
      <c r="J724" s="1"/>
      <c r="K724" s="1"/>
      <c r="AA724" s="1"/>
    </row>
    <row r="725" spans="1:27" x14ac:dyDescent="0.25">
      <c r="A725" t="s">
        <v>80</v>
      </c>
      <c r="B725" t="str">
        <f t="shared" si="13"/>
        <v>10</v>
      </c>
      <c r="C725" s="35">
        <v>2013</v>
      </c>
      <c r="D725" s="1" t="s">
        <v>4</v>
      </c>
      <c r="E725" s="35">
        <v>165</v>
      </c>
      <c r="F725" s="35">
        <v>101</v>
      </c>
      <c r="G725" s="35">
        <v>64</v>
      </c>
      <c r="H725" s="1" t="s">
        <v>2</v>
      </c>
      <c r="I725" s="1"/>
      <c r="J725" s="1"/>
      <c r="K725" s="1"/>
      <c r="AA725" s="1"/>
    </row>
    <row r="726" spans="1:27" x14ac:dyDescent="0.25">
      <c r="A726" t="s">
        <v>80</v>
      </c>
      <c r="B726" t="str">
        <f t="shared" si="13"/>
        <v>10</v>
      </c>
      <c r="C726" s="35">
        <v>2013</v>
      </c>
      <c r="D726" s="35">
        <v>2013</v>
      </c>
      <c r="E726" s="35">
        <v>165</v>
      </c>
      <c r="F726" s="35">
        <v>101</v>
      </c>
      <c r="G726" s="35">
        <v>64</v>
      </c>
      <c r="H726" s="1" t="s">
        <v>2</v>
      </c>
      <c r="I726" s="1"/>
      <c r="J726" s="1"/>
      <c r="K726" s="1"/>
      <c r="AA726" s="1"/>
    </row>
    <row r="727" spans="1:27" x14ac:dyDescent="0.25">
      <c r="A727" t="s">
        <v>80</v>
      </c>
      <c r="B727" t="str">
        <f t="shared" si="13"/>
        <v>10</v>
      </c>
      <c r="C727" s="35">
        <v>2014</v>
      </c>
      <c r="D727" s="1" t="s">
        <v>4</v>
      </c>
      <c r="E727" s="35">
        <v>170</v>
      </c>
      <c r="F727" s="35">
        <v>87</v>
      </c>
      <c r="G727" s="35">
        <v>83</v>
      </c>
      <c r="H727" s="1" t="s">
        <v>2</v>
      </c>
      <c r="I727" s="1"/>
      <c r="J727" s="1"/>
      <c r="K727" s="1"/>
      <c r="AA727" s="1"/>
    </row>
    <row r="728" spans="1:27" x14ac:dyDescent="0.25">
      <c r="A728" t="s">
        <v>80</v>
      </c>
      <c r="B728" t="str">
        <f t="shared" si="13"/>
        <v>10</v>
      </c>
      <c r="C728" s="35">
        <v>2014</v>
      </c>
      <c r="D728" s="35">
        <v>2014</v>
      </c>
      <c r="E728" s="35">
        <v>170</v>
      </c>
      <c r="F728" s="35">
        <v>87</v>
      </c>
      <c r="G728" s="35">
        <v>83</v>
      </c>
      <c r="H728" s="1" t="s">
        <v>2</v>
      </c>
      <c r="I728" s="1"/>
      <c r="J728" s="1"/>
      <c r="K728" s="1"/>
      <c r="AA728" s="1"/>
    </row>
    <row r="729" spans="1:27" x14ac:dyDescent="0.25">
      <c r="A729" t="s">
        <v>80</v>
      </c>
      <c r="B729" t="str">
        <f t="shared" si="13"/>
        <v>10</v>
      </c>
      <c r="C729" s="35">
        <v>2015</v>
      </c>
      <c r="D729" s="1" t="s">
        <v>4</v>
      </c>
      <c r="E729" s="35">
        <v>149</v>
      </c>
      <c r="F729" s="35">
        <v>81</v>
      </c>
      <c r="G729" s="35">
        <v>68</v>
      </c>
      <c r="H729" s="1" t="s">
        <v>2</v>
      </c>
      <c r="I729" s="1"/>
      <c r="J729" s="1"/>
      <c r="K729" s="1"/>
      <c r="AA729" s="1"/>
    </row>
    <row r="730" spans="1:27" x14ac:dyDescent="0.25">
      <c r="A730" t="s">
        <v>80</v>
      </c>
      <c r="B730" t="str">
        <f t="shared" si="13"/>
        <v>10</v>
      </c>
      <c r="C730" s="35">
        <v>2015</v>
      </c>
      <c r="D730" s="35">
        <v>2015</v>
      </c>
      <c r="E730" s="35">
        <v>149</v>
      </c>
      <c r="F730" s="35">
        <v>81</v>
      </c>
      <c r="G730" s="35">
        <v>68</v>
      </c>
      <c r="H730" s="1" t="s">
        <v>2</v>
      </c>
      <c r="I730" s="1"/>
      <c r="J730" s="1"/>
      <c r="K730" s="1"/>
      <c r="AA730" s="1"/>
    </row>
    <row r="731" spans="1:27" x14ac:dyDescent="0.25">
      <c r="A731" t="s">
        <v>80</v>
      </c>
      <c r="B731" t="str">
        <f t="shared" si="13"/>
        <v>10</v>
      </c>
      <c r="C731" s="35">
        <v>2016</v>
      </c>
      <c r="D731" s="1" t="s">
        <v>4</v>
      </c>
      <c r="E731" s="35">
        <v>174</v>
      </c>
      <c r="F731" s="35">
        <v>86</v>
      </c>
      <c r="G731" s="35">
        <v>88</v>
      </c>
      <c r="H731" s="1" t="s">
        <v>2</v>
      </c>
      <c r="I731" s="1"/>
      <c r="J731" s="1"/>
      <c r="K731" s="1"/>
      <c r="AA731" s="1"/>
    </row>
    <row r="732" spans="1:27" x14ac:dyDescent="0.25">
      <c r="A732" t="s">
        <v>80</v>
      </c>
      <c r="B732" t="str">
        <f t="shared" si="13"/>
        <v>10</v>
      </c>
      <c r="C732" s="35">
        <v>2016</v>
      </c>
      <c r="D732" s="35">
        <v>2015</v>
      </c>
      <c r="E732" s="35">
        <v>1</v>
      </c>
      <c r="F732" s="1" t="s">
        <v>2</v>
      </c>
      <c r="G732" s="35">
        <v>1</v>
      </c>
      <c r="H732" s="1" t="s">
        <v>2</v>
      </c>
      <c r="I732" s="1"/>
      <c r="J732" s="1"/>
      <c r="K732" s="1"/>
      <c r="AA732" s="1"/>
    </row>
    <row r="733" spans="1:27" x14ac:dyDescent="0.25">
      <c r="A733" t="s">
        <v>80</v>
      </c>
      <c r="B733" t="str">
        <f t="shared" si="13"/>
        <v>10</v>
      </c>
      <c r="C733" s="35">
        <v>2016</v>
      </c>
      <c r="D733" s="35">
        <v>2016</v>
      </c>
      <c r="E733" s="35">
        <v>173</v>
      </c>
      <c r="F733" s="35">
        <v>86</v>
      </c>
      <c r="G733" s="35">
        <v>87</v>
      </c>
      <c r="H733" s="1" t="s">
        <v>2</v>
      </c>
      <c r="I733" s="1"/>
      <c r="J733" s="1"/>
      <c r="K733" s="1"/>
      <c r="AA733" s="1"/>
    </row>
    <row r="734" spans="1:27" x14ac:dyDescent="0.25">
      <c r="A734" t="s">
        <v>80</v>
      </c>
      <c r="B734" t="str">
        <f t="shared" si="13"/>
        <v>10</v>
      </c>
      <c r="C734" s="35">
        <v>2017</v>
      </c>
      <c r="D734" s="1" t="s">
        <v>4</v>
      </c>
      <c r="E734" s="35">
        <v>162</v>
      </c>
      <c r="F734" s="35">
        <v>95</v>
      </c>
      <c r="G734" s="35">
        <v>67</v>
      </c>
      <c r="H734" s="1" t="s">
        <v>2</v>
      </c>
      <c r="I734" s="1"/>
      <c r="J734" s="1"/>
      <c r="K734" s="1"/>
      <c r="AA734" s="1"/>
    </row>
    <row r="735" spans="1:27" x14ac:dyDescent="0.25">
      <c r="A735" t="s">
        <v>80</v>
      </c>
      <c r="B735" t="str">
        <f t="shared" si="13"/>
        <v>10</v>
      </c>
      <c r="C735" s="35">
        <v>2017</v>
      </c>
      <c r="D735" s="35">
        <v>2017</v>
      </c>
      <c r="E735" s="35">
        <v>162</v>
      </c>
      <c r="F735" s="35">
        <v>95</v>
      </c>
      <c r="G735" s="35">
        <v>67</v>
      </c>
      <c r="H735" s="1" t="s">
        <v>2</v>
      </c>
      <c r="I735" s="1"/>
      <c r="J735" s="1"/>
      <c r="K735" s="1"/>
      <c r="AA735" s="1"/>
    </row>
    <row r="736" spans="1:27" x14ac:dyDescent="0.25">
      <c r="A736" t="s">
        <v>80</v>
      </c>
      <c r="B736" t="str">
        <f t="shared" si="13"/>
        <v>10</v>
      </c>
      <c r="C736" s="35">
        <v>2018</v>
      </c>
      <c r="D736" s="1" t="s">
        <v>4</v>
      </c>
      <c r="E736" s="35">
        <v>136</v>
      </c>
      <c r="F736" s="35">
        <v>69</v>
      </c>
      <c r="G736" s="35">
        <v>67</v>
      </c>
      <c r="H736" s="1" t="s">
        <v>2</v>
      </c>
      <c r="I736" s="1"/>
      <c r="J736" s="1"/>
      <c r="K736" s="1"/>
      <c r="AA736" s="1"/>
    </row>
    <row r="737" spans="1:27" x14ac:dyDescent="0.25">
      <c r="A737" t="s">
        <v>80</v>
      </c>
      <c r="B737" t="str">
        <f t="shared" si="13"/>
        <v>10</v>
      </c>
      <c r="C737" s="35">
        <v>2018</v>
      </c>
      <c r="D737" s="35">
        <v>2017</v>
      </c>
      <c r="E737" s="35">
        <v>1</v>
      </c>
      <c r="F737" s="35">
        <v>1</v>
      </c>
      <c r="G737" s="1" t="s">
        <v>2</v>
      </c>
      <c r="H737" s="1" t="s">
        <v>2</v>
      </c>
      <c r="I737" s="1"/>
      <c r="J737" s="1"/>
      <c r="K737" s="1"/>
      <c r="AA737" s="1"/>
    </row>
    <row r="738" spans="1:27" x14ac:dyDescent="0.25">
      <c r="A738" t="s">
        <v>80</v>
      </c>
      <c r="B738" t="str">
        <f t="shared" si="13"/>
        <v>10</v>
      </c>
      <c r="C738" s="35">
        <v>2018</v>
      </c>
      <c r="D738" s="35">
        <v>2018</v>
      </c>
      <c r="E738" s="35">
        <v>135</v>
      </c>
      <c r="F738" s="35">
        <v>68</v>
      </c>
      <c r="G738" s="35">
        <v>67</v>
      </c>
      <c r="H738" s="1" t="s">
        <v>2</v>
      </c>
      <c r="I738" s="1"/>
      <c r="J738" s="1"/>
      <c r="K738" s="1"/>
      <c r="AA738" s="1"/>
    </row>
    <row r="739" spans="1:27" x14ac:dyDescent="0.25">
      <c r="A739" t="s">
        <v>80</v>
      </c>
      <c r="B739" t="str">
        <f t="shared" si="13"/>
        <v>10</v>
      </c>
      <c r="C739" s="35">
        <v>2019</v>
      </c>
      <c r="D739" s="1" t="s">
        <v>4</v>
      </c>
      <c r="E739" s="35">
        <v>164</v>
      </c>
      <c r="F739" s="35">
        <v>88</v>
      </c>
      <c r="G739" s="35">
        <v>76</v>
      </c>
      <c r="H739" s="1" t="s">
        <v>2</v>
      </c>
      <c r="I739" s="1"/>
      <c r="J739" s="1"/>
      <c r="K739" s="1"/>
      <c r="AA739" s="1"/>
    </row>
    <row r="740" spans="1:27" x14ac:dyDescent="0.25">
      <c r="A740" t="s">
        <v>80</v>
      </c>
      <c r="B740" t="str">
        <f t="shared" si="13"/>
        <v>10</v>
      </c>
      <c r="C740" s="35">
        <v>2019</v>
      </c>
      <c r="D740" s="35">
        <v>2019</v>
      </c>
      <c r="E740" s="35">
        <v>164</v>
      </c>
      <c r="F740" s="35">
        <v>88</v>
      </c>
      <c r="G740" s="35">
        <v>76</v>
      </c>
      <c r="H740" s="1" t="s">
        <v>2</v>
      </c>
      <c r="I740" s="1"/>
      <c r="J740" s="1"/>
      <c r="K740" s="1"/>
      <c r="AA740" s="1"/>
    </row>
    <row r="741" spans="1:27" x14ac:dyDescent="0.25">
      <c r="A741" t="s">
        <v>80</v>
      </c>
      <c r="B741" t="str">
        <f t="shared" si="13"/>
        <v>10</v>
      </c>
      <c r="C741" s="35">
        <v>2020</v>
      </c>
      <c r="D741" s="1" t="s">
        <v>4</v>
      </c>
      <c r="E741" s="35">
        <v>146</v>
      </c>
      <c r="F741" s="35">
        <v>86</v>
      </c>
      <c r="G741" s="35">
        <v>60</v>
      </c>
      <c r="H741" s="1" t="s">
        <v>2</v>
      </c>
      <c r="I741" s="1"/>
      <c r="J741" s="1"/>
      <c r="K741" s="1"/>
      <c r="AA741" s="1"/>
    </row>
    <row r="742" spans="1:27" x14ac:dyDescent="0.25">
      <c r="A742" t="s">
        <v>80</v>
      </c>
      <c r="B742" t="str">
        <f t="shared" si="13"/>
        <v>10</v>
      </c>
      <c r="C742" s="35">
        <v>2020</v>
      </c>
      <c r="D742" s="35">
        <v>2020</v>
      </c>
      <c r="E742" s="35">
        <v>146</v>
      </c>
      <c r="F742" s="35">
        <v>86</v>
      </c>
      <c r="G742" s="35">
        <v>60</v>
      </c>
      <c r="H742" s="1" t="s">
        <v>2</v>
      </c>
      <c r="I742" s="1"/>
      <c r="J742" s="1"/>
      <c r="K742" s="1"/>
      <c r="AA742" s="1"/>
    </row>
    <row r="743" spans="1:27" x14ac:dyDescent="0.25">
      <c r="A743" t="s">
        <v>80</v>
      </c>
      <c r="B743" t="str">
        <f t="shared" si="13"/>
        <v>10</v>
      </c>
      <c r="C743" s="35">
        <v>2021</v>
      </c>
      <c r="D743" s="1" t="s">
        <v>4</v>
      </c>
      <c r="E743" s="35">
        <v>160</v>
      </c>
      <c r="F743" s="35">
        <v>92</v>
      </c>
      <c r="G743" s="35">
        <v>68</v>
      </c>
      <c r="H743" s="1" t="s">
        <v>2</v>
      </c>
      <c r="I743" s="1"/>
      <c r="J743" s="1"/>
      <c r="K743" s="1"/>
      <c r="AA743" s="1"/>
    </row>
    <row r="744" spans="1:27" x14ac:dyDescent="0.25">
      <c r="A744" t="s">
        <v>80</v>
      </c>
      <c r="B744" t="str">
        <f t="shared" si="13"/>
        <v>10</v>
      </c>
      <c r="C744" s="35">
        <v>2021</v>
      </c>
      <c r="D744" s="35">
        <v>2021</v>
      </c>
      <c r="E744" s="35">
        <v>160</v>
      </c>
      <c r="F744" s="35">
        <v>92</v>
      </c>
      <c r="G744" s="35">
        <v>68</v>
      </c>
      <c r="H744" s="1" t="s">
        <v>2</v>
      </c>
      <c r="I744" s="1"/>
      <c r="J744" s="1"/>
      <c r="K744" s="1"/>
      <c r="AA744" s="1"/>
    </row>
    <row r="745" spans="1:27" x14ac:dyDescent="0.25">
      <c r="A745" t="s">
        <v>80</v>
      </c>
      <c r="B745" t="str">
        <f t="shared" si="13"/>
        <v>10</v>
      </c>
      <c r="C745" s="35">
        <v>2022</v>
      </c>
      <c r="D745" s="1" t="s">
        <v>4</v>
      </c>
      <c r="E745" s="35">
        <v>146</v>
      </c>
      <c r="F745" s="35">
        <v>78</v>
      </c>
      <c r="G745" s="35">
        <v>68</v>
      </c>
      <c r="H745" s="1" t="s">
        <v>2</v>
      </c>
      <c r="I745" s="1"/>
      <c r="J745" s="1"/>
      <c r="K745" s="1"/>
      <c r="AA745" s="1"/>
    </row>
    <row r="746" spans="1:27" x14ac:dyDescent="0.25">
      <c r="A746" t="s">
        <v>80</v>
      </c>
      <c r="B746" t="str">
        <f t="shared" si="13"/>
        <v>10</v>
      </c>
      <c r="C746" s="35">
        <v>2022</v>
      </c>
      <c r="D746" s="35">
        <v>2022</v>
      </c>
      <c r="E746" s="35">
        <v>146</v>
      </c>
      <c r="F746" s="35">
        <v>78</v>
      </c>
      <c r="G746" s="35">
        <v>68</v>
      </c>
      <c r="H746" s="1" t="s">
        <v>2</v>
      </c>
      <c r="I746" s="1"/>
      <c r="J746" s="1"/>
      <c r="K746" s="1"/>
      <c r="AA746" s="1"/>
    </row>
    <row r="747" spans="1:27" x14ac:dyDescent="0.25">
      <c r="A747" t="s">
        <v>80</v>
      </c>
      <c r="B747" t="str">
        <f t="shared" si="13"/>
        <v>10</v>
      </c>
      <c r="C747" s="35">
        <v>2023</v>
      </c>
      <c r="D747" s="1" t="s">
        <v>4</v>
      </c>
      <c r="E747" s="35">
        <v>149</v>
      </c>
      <c r="F747" s="35">
        <v>73</v>
      </c>
      <c r="G747" s="35">
        <v>76</v>
      </c>
      <c r="H747" s="1" t="s">
        <v>2</v>
      </c>
      <c r="I747" s="1"/>
      <c r="J747" s="1"/>
      <c r="K747" s="1"/>
      <c r="AA747" s="1"/>
    </row>
    <row r="748" spans="1:27" x14ac:dyDescent="0.25">
      <c r="A748" t="s">
        <v>80</v>
      </c>
      <c r="B748" t="str">
        <f t="shared" si="13"/>
        <v>10</v>
      </c>
      <c r="C748" s="35">
        <v>2023</v>
      </c>
      <c r="D748" s="35">
        <v>2023</v>
      </c>
      <c r="E748" s="35">
        <v>149</v>
      </c>
      <c r="F748" s="35">
        <v>73</v>
      </c>
      <c r="G748" s="35">
        <v>76</v>
      </c>
      <c r="H748" s="1" t="s">
        <v>2</v>
      </c>
      <c r="I748" s="1"/>
      <c r="J748" s="1"/>
      <c r="K748" s="1"/>
      <c r="AA748" s="1"/>
    </row>
    <row r="749" spans="1:27" x14ac:dyDescent="0.25">
      <c r="A749" t="s">
        <v>80</v>
      </c>
      <c r="B749" t="str">
        <f t="shared" si="13"/>
        <v>10</v>
      </c>
      <c r="C749" s="35">
        <v>2024</v>
      </c>
      <c r="D749" s="1" t="s">
        <v>4</v>
      </c>
      <c r="E749" s="35">
        <v>139</v>
      </c>
      <c r="F749" s="35">
        <v>82</v>
      </c>
      <c r="G749" s="35">
        <v>57</v>
      </c>
      <c r="H749" s="1" t="s">
        <v>2</v>
      </c>
      <c r="I749" s="1"/>
      <c r="J749" s="1"/>
      <c r="K749" s="1"/>
      <c r="AA749" s="1"/>
    </row>
    <row r="750" spans="1:27" x14ac:dyDescent="0.25">
      <c r="A750" t="s">
        <v>80</v>
      </c>
      <c r="B750" t="str">
        <f t="shared" si="13"/>
        <v>10</v>
      </c>
      <c r="C750" s="35">
        <v>2024</v>
      </c>
      <c r="D750" s="35">
        <v>2024</v>
      </c>
      <c r="E750" s="35">
        <v>139</v>
      </c>
      <c r="F750" s="35">
        <v>82</v>
      </c>
      <c r="G750" s="35">
        <v>57</v>
      </c>
      <c r="H750" s="1" t="s">
        <v>2</v>
      </c>
      <c r="I750" s="1"/>
      <c r="J750" s="1"/>
      <c r="K750" s="1"/>
      <c r="AA750" s="1"/>
    </row>
    <row r="751" spans="1:27" x14ac:dyDescent="0.25">
      <c r="A751" t="s">
        <v>81</v>
      </c>
      <c r="B751" t="str">
        <f t="shared" si="13"/>
        <v>15</v>
      </c>
      <c r="C751" s="35">
        <v>1990</v>
      </c>
      <c r="D751" s="1" t="s">
        <v>4</v>
      </c>
      <c r="E751" s="35">
        <v>668</v>
      </c>
      <c r="F751" s="35">
        <v>469</v>
      </c>
      <c r="G751" s="35">
        <v>199</v>
      </c>
      <c r="H751" s="1" t="s">
        <v>2</v>
      </c>
      <c r="I751" s="1"/>
      <c r="J751" s="1"/>
      <c r="K751" s="1"/>
      <c r="AA751" s="1"/>
    </row>
    <row r="752" spans="1:27" x14ac:dyDescent="0.25">
      <c r="A752" t="s">
        <v>81</v>
      </c>
      <c r="B752" t="str">
        <f t="shared" si="13"/>
        <v>15</v>
      </c>
      <c r="C752" s="35">
        <v>1990</v>
      </c>
      <c r="D752" s="35">
        <v>1990</v>
      </c>
      <c r="E752" s="35">
        <v>659</v>
      </c>
      <c r="F752" s="35">
        <v>460</v>
      </c>
      <c r="G752" s="35">
        <v>199</v>
      </c>
      <c r="H752" s="1" t="s">
        <v>2</v>
      </c>
      <c r="I752" s="1"/>
      <c r="J752" s="1"/>
      <c r="K752" s="1"/>
      <c r="AA752" s="1"/>
    </row>
    <row r="753" spans="1:27" x14ac:dyDescent="0.25">
      <c r="A753" t="s">
        <v>81</v>
      </c>
      <c r="B753" t="str">
        <f t="shared" si="13"/>
        <v>15</v>
      </c>
      <c r="C753" s="35">
        <v>1990</v>
      </c>
      <c r="D753" s="1" t="s">
        <v>24</v>
      </c>
      <c r="E753" s="35">
        <v>9</v>
      </c>
      <c r="F753" s="35">
        <v>9</v>
      </c>
      <c r="G753" s="1" t="s">
        <v>2</v>
      </c>
      <c r="H753" s="1" t="s">
        <v>2</v>
      </c>
      <c r="I753" s="1"/>
      <c r="J753" s="1"/>
      <c r="K753" s="1"/>
      <c r="AA753" s="1"/>
    </row>
    <row r="754" spans="1:27" x14ac:dyDescent="0.25">
      <c r="A754" t="s">
        <v>81</v>
      </c>
      <c r="B754" t="str">
        <f t="shared" si="13"/>
        <v>15</v>
      </c>
      <c r="C754" s="35">
        <v>1991</v>
      </c>
      <c r="D754" s="1" t="s">
        <v>4</v>
      </c>
      <c r="E754" s="35">
        <v>726</v>
      </c>
      <c r="F754" s="35">
        <v>498</v>
      </c>
      <c r="G754" s="35">
        <v>228</v>
      </c>
      <c r="H754" s="1" t="s">
        <v>2</v>
      </c>
      <c r="I754" s="1"/>
      <c r="J754" s="1"/>
      <c r="K754" s="1"/>
      <c r="AA754" s="1"/>
    </row>
    <row r="755" spans="1:27" x14ac:dyDescent="0.25">
      <c r="A755" t="s">
        <v>81</v>
      </c>
      <c r="B755" t="str">
        <f t="shared" si="13"/>
        <v>15</v>
      </c>
      <c r="C755" s="35">
        <v>1991</v>
      </c>
      <c r="D755" s="35">
        <v>1991</v>
      </c>
      <c r="E755" s="35">
        <v>714</v>
      </c>
      <c r="F755" s="35">
        <v>487</v>
      </c>
      <c r="G755" s="35">
        <v>227</v>
      </c>
      <c r="H755" s="1" t="s">
        <v>2</v>
      </c>
      <c r="I755" s="1"/>
      <c r="J755" s="1"/>
      <c r="K755" s="1"/>
      <c r="AA755" s="1"/>
    </row>
    <row r="756" spans="1:27" x14ac:dyDescent="0.25">
      <c r="A756" t="s">
        <v>81</v>
      </c>
      <c r="B756" t="str">
        <f t="shared" si="13"/>
        <v>15</v>
      </c>
      <c r="C756" s="35">
        <v>1991</v>
      </c>
      <c r="D756" s="1" t="s">
        <v>24</v>
      </c>
      <c r="E756" s="35">
        <v>12</v>
      </c>
      <c r="F756" s="35">
        <v>11</v>
      </c>
      <c r="G756" s="35">
        <v>1</v>
      </c>
      <c r="H756" s="1" t="s">
        <v>2</v>
      </c>
      <c r="I756" s="1"/>
      <c r="J756" s="1"/>
      <c r="K756" s="1"/>
      <c r="AA756" s="1"/>
    </row>
    <row r="757" spans="1:27" x14ac:dyDescent="0.25">
      <c r="A757" t="s">
        <v>81</v>
      </c>
      <c r="B757" t="str">
        <f t="shared" si="13"/>
        <v>15</v>
      </c>
      <c r="C757" s="35">
        <v>1992</v>
      </c>
      <c r="D757" s="1" t="s">
        <v>4</v>
      </c>
      <c r="E757" s="35">
        <v>734</v>
      </c>
      <c r="F757" s="35">
        <v>537</v>
      </c>
      <c r="G757" s="35">
        <v>197</v>
      </c>
      <c r="H757" s="1" t="s">
        <v>2</v>
      </c>
      <c r="I757" s="1"/>
      <c r="J757" s="1"/>
      <c r="K757" s="1"/>
      <c r="AA757" s="1"/>
    </row>
    <row r="758" spans="1:27" x14ac:dyDescent="0.25">
      <c r="A758" t="s">
        <v>81</v>
      </c>
      <c r="B758" t="str">
        <f t="shared" si="13"/>
        <v>15</v>
      </c>
      <c r="C758" s="35">
        <v>1992</v>
      </c>
      <c r="D758" s="35">
        <v>1992</v>
      </c>
      <c r="E758" s="35">
        <v>728</v>
      </c>
      <c r="F758" s="35">
        <v>532</v>
      </c>
      <c r="G758" s="35">
        <v>196</v>
      </c>
      <c r="H758" s="1" t="s">
        <v>2</v>
      </c>
      <c r="I758" s="1"/>
      <c r="J758" s="1"/>
      <c r="K758" s="1"/>
      <c r="AA758" s="1"/>
    </row>
    <row r="759" spans="1:27" x14ac:dyDescent="0.25">
      <c r="A759" t="s">
        <v>81</v>
      </c>
      <c r="B759" t="str">
        <f t="shared" si="13"/>
        <v>15</v>
      </c>
      <c r="C759" s="35">
        <v>1992</v>
      </c>
      <c r="D759" s="1" t="s">
        <v>24</v>
      </c>
      <c r="E759" s="35">
        <v>6</v>
      </c>
      <c r="F759" s="35">
        <v>5</v>
      </c>
      <c r="G759" s="35">
        <v>1</v>
      </c>
      <c r="H759" s="1" t="s">
        <v>2</v>
      </c>
      <c r="I759" s="1"/>
      <c r="J759" s="1"/>
      <c r="K759" s="1"/>
      <c r="AA759" s="1"/>
    </row>
    <row r="760" spans="1:27" x14ac:dyDescent="0.25">
      <c r="A760" t="s">
        <v>81</v>
      </c>
      <c r="B760" t="str">
        <f t="shared" si="13"/>
        <v>15</v>
      </c>
      <c r="C760" s="35">
        <v>1993</v>
      </c>
      <c r="D760" s="1" t="s">
        <v>4</v>
      </c>
      <c r="E760" s="35">
        <v>696</v>
      </c>
      <c r="F760" s="35">
        <v>486</v>
      </c>
      <c r="G760" s="35">
        <v>209</v>
      </c>
      <c r="H760" s="35">
        <v>1</v>
      </c>
      <c r="I760" s="1"/>
      <c r="J760" s="1"/>
      <c r="K760" s="1"/>
      <c r="AA760" s="1"/>
    </row>
    <row r="761" spans="1:27" x14ac:dyDescent="0.25">
      <c r="A761" t="s">
        <v>81</v>
      </c>
      <c r="B761" t="str">
        <f t="shared" si="13"/>
        <v>15</v>
      </c>
      <c r="C761" s="35">
        <v>1993</v>
      </c>
      <c r="D761" s="35">
        <v>1992</v>
      </c>
      <c r="E761" s="35">
        <v>1</v>
      </c>
      <c r="F761" s="1" t="s">
        <v>2</v>
      </c>
      <c r="G761" s="35">
        <v>1</v>
      </c>
      <c r="H761" s="1" t="s">
        <v>2</v>
      </c>
      <c r="I761" s="1"/>
      <c r="J761" s="1"/>
      <c r="K761" s="1"/>
      <c r="AA761" s="1"/>
    </row>
    <row r="762" spans="1:27" x14ac:dyDescent="0.25">
      <c r="A762" t="s">
        <v>81</v>
      </c>
      <c r="B762" t="str">
        <f t="shared" si="13"/>
        <v>15</v>
      </c>
      <c r="C762" s="35">
        <v>1993</v>
      </c>
      <c r="D762" s="35">
        <v>1993</v>
      </c>
      <c r="E762" s="35">
        <v>689</v>
      </c>
      <c r="F762" s="35">
        <v>480</v>
      </c>
      <c r="G762" s="35">
        <v>208</v>
      </c>
      <c r="H762" s="35">
        <v>1</v>
      </c>
      <c r="I762" s="1"/>
      <c r="J762" s="1"/>
      <c r="K762" s="1"/>
      <c r="AA762" s="1"/>
    </row>
    <row r="763" spans="1:27" x14ac:dyDescent="0.25">
      <c r="A763" t="s">
        <v>81</v>
      </c>
      <c r="B763" t="str">
        <f t="shared" si="13"/>
        <v>15</v>
      </c>
      <c r="C763" s="35">
        <v>1993</v>
      </c>
      <c r="D763" s="1" t="s">
        <v>24</v>
      </c>
      <c r="E763" s="35">
        <v>6</v>
      </c>
      <c r="F763" s="35">
        <v>6</v>
      </c>
      <c r="G763" s="1" t="s">
        <v>2</v>
      </c>
      <c r="H763" s="1" t="s">
        <v>2</v>
      </c>
      <c r="I763" s="1"/>
      <c r="J763" s="1"/>
      <c r="K763" s="1"/>
      <c r="AA763" s="1"/>
    </row>
    <row r="764" spans="1:27" x14ac:dyDescent="0.25">
      <c r="A764" t="s">
        <v>81</v>
      </c>
      <c r="B764" t="str">
        <f t="shared" si="13"/>
        <v>15</v>
      </c>
      <c r="C764" s="35">
        <v>1994</v>
      </c>
      <c r="D764" s="1" t="s">
        <v>4</v>
      </c>
      <c r="E764" s="35">
        <v>675</v>
      </c>
      <c r="F764" s="35">
        <v>460</v>
      </c>
      <c r="G764" s="35">
        <v>215</v>
      </c>
      <c r="H764" s="1" t="s">
        <v>2</v>
      </c>
      <c r="I764" s="1"/>
      <c r="J764" s="1"/>
      <c r="K764" s="1"/>
      <c r="AA764" s="1"/>
    </row>
    <row r="765" spans="1:27" x14ac:dyDescent="0.25">
      <c r="A765" t="s">
        <v>81</v>
      </c>
      <c r="B765" t="str">
        <f t="shared" si="13"/>
        <v>15</v>
      </c>
      <c r="C765" s="35">
        <v>1994</v>
      </c>
      <c r="D765" s="35">
        <v>1993</v>
      </c>
      <c r="E765" s="35">
        <v>3</v>
      </c>
      <c r="F765" s="35">
        <v>3</v>
      </c>
      <c r="G765" s="1" t="s">
        <v>2</v>
      </c>
      <c r="H765" s="1" t="s">
        <v>2</v>
      </c>
      <c r="I765" s="1"/>
      <c r="J765" s="1"/>
      <c r="K765" s="1"/>
      <c r="AA765" s="1"/>
    </row>
    <row r="766" spans="1:27" x14ac:dyDescent="0.25">
      <c r="A766" t="s">
        <v>81</v>
      </c>
      <c r="B766" t="str">
        <f t="shared" si="13"/>
        <v>15</v>
      </c>
      <c r="C766" s="35">
        <v>1994</v>
      </c>
      <c r="D766" s="35">
        <v>1994</v>
      </c>
      <c r="E766" s="35">
        <v>672</v>
      </c>
      <c r="F766" s="35">
        <v>457</v>
      </c>
      <c r="G766" s="35">
        <v>215</v>
      </c>
      <c r="H766" s="1" t="s">
        <v>2</v>
      </c>
      <c r="I766" s="1"/>
      <c r="J766" s="1"/>
      <c r="K766" s="1"/>
      <c r="AA766" s="1"/>
    </row>
    <row r="767" spans="1:27" x14ac:dyDescent="0.25">
      <c r="A767" t="s">
        <v>81</v>
      </c>
      <c r="B767" t="str">
        <f t="shared" si="13"/>
        <v>15</v>
      </c>
      <c r="C767" s="35">
        <v>1995</v>
      </c>
      <c r="D767" s="1" t="s">
        <v>4</v>
      </c>
      <c r="E767" s="35">
        <v>663</v>
      </c>
      <c r="F767" s="35">
        <v>478</v>
      </c>
      <c r="G767" s="35">
        <v>185</v>
      </c>
      <c r="H767" s="1" t="s">
        <v>2</v>
      </c>
      <c r="I767" s="1"/>
      <c r="J767" s="1"/>
      <c r="K767" s="1"/>
      <c r="AA767" s="1"/>
    </row>
    <row r="768" spans="1:27" x14ac:dyDescent="0.25">
      <c r="A768" t="s">
        <v>81</v>
      </c>
      <c r="B768" t="str">
        <f t="shared" si="13"/>
        <v>15</v>
      </c>
      <c r="C768" s="35">
        <v>1995</v>
      </c>
      <c r="D768" s="35">
        <v>1909</v>
      </c>
      <c r="E768" s="35">
        <v>1</v>
      </c>
      <c r="F768" s="35">
        <v>1</v>
      </c>
      <c r="G768" s="1" t="s">
        <v>2</v>
      </c>
      <c r="H768" s="1" t="s">
        <v>2</v>
      </c>
      <c r="I768" s="1"/>
      <c r="J768" s="1"/>
      <c r="K768" s="1"/>
      <c r="AA768" s="1"/>
    </row>
    <row r="769" spans="1:27" x14ac:dyDescent="0.25">
      <c r="A769" t="s">
        <v>81</v>
      </c>
      <c r="B769" t="str">
        <f t="shared" si="13"/>
        <v>15</v>
      </c>
      <c r="C769" s="35">
        <v>1995</v>
      </c>
      <c r="D769" s="35">
        <v>1950</v>
      </c>
      <c r="E769" s="35">
        <v>1</v>
      </c>
      <c r="F769" s="35">
        <v>1</v>
      </c>
      <c r="G769" s="1" t="s">
        <v>2</v>
      </c>
      <c r="H769" s="1" t="s">
        <v>2</v>
      </c>
      <c r="I769" s="1"/>
      <c r="J769" s="1"/>
      <c r="K769" s="1"/>
      <c r="AA769" s="1"/>
    </row>
    <row r="770" spans="1:27" x14ac:dyDescent="0.25">
      <c r="A770" t="s">
        <v>81</v>
      </c>
      <c r="B770" t="str">
        <f t="shared" si="13"/>
        <v>15</v>
      </c>
      <c r="C770" s="35">
        <v>1995</v>
      </c>
      <c r="D770" s="35">
        <v>1994</v>
      </c>
      <c r="E770" s="35">
        <v>2</v>
      </c>
      <c r="F770" s="35">
        <v>1</v>
      </c>
      <c r="G770" s="35">
        <v>1</v>
      </c>
      <c r="H770" s="1" t="s">
        <v>2</v>
      </c>
      <c r="I770" s="1"/>
      <c r="J770" s="1"/>
      <c r="K770" s="1"/>
      <c r="AA770" s="1"/>
    </row>
    <row r="771" spans="1:27" x14ac:dyDescent="0.25">
      <c r="A771" t="s">
        <v>81</v>
      </c>
      <c r="B771" t="str">
        <f t="shared" si="13"/>
        <v>15</v>
      </c>
      <c r="C771" s="35">
        <v>1995</v>
      </c>
      <c r="D771" s="35">
        <v>1995</v>
      </c>
      <c r="E771" s="35">
        <v>659</v>
      </c>
      <c r="F771" s="35">
        <v>475</v>
      </c>
      <c r="G771" s="35">
        <v>184</v>
      </c>
      <c r="H771" s="1" t="s">
        <v>2</v>
      </c>
      <c r="I771" s="1"/>
      <c r="J771" s="1"/>
      <c r="K771" s="1"/>
      <c r="AA771" s="1"/>
    </row>
    <row r="772" spans="1:27" x14ac:dyDescent="0.25">
      <c r="A772" t="s">
        <v>81</v>
      </c>
      <c r="B772" t="str">
        <f t="shared" si="13"/>
        <v>15</v>
      </c>
      <c r="C772" s="35">
        <v>1996</v>
      </c>
      <c r="D772" s="1" t="s">
        <v>4</v>
      </c>
      <c r="E772" s="35">
        <v>652</v>
      </c>
      <c r="F772" s="35">
        <v>450</v>
      </c>
      <c r="G772" s="35">
        <v>202</v>
      </c>
      <c r="H772" s="1" t="s">
        <v>2</v>
      </c>
      <c r="I772" s="1"/>
      <c r="J772" s="1"/>
      <c r="K772" s="1"/>
      <c r="AA772" s="1"/>
    </row>
    <row r="773" spans="1:27" x14ac:dyDescent="0.25">
      <c r="A773" t="s">
        <v>81</v>
      </c>
      <c r="B773" t="str">
        <f t="shared" si="13"/>
        <v>15</v>
      </c>
      <c r="C773" s="35">
        <v>1996</v>
      </c>
      <c r="D773" s="35">
        <v>1995</v>
      </c>
      <c r="E773" s="35">
        <v>2</v>
      </c>
      <c r="F773" s="35">
        <v>2</v>
      </c>
      <c r="G773" s="1" t="s">
        <v>2</v>
      </c>
      <c r="H773" s="1" t="s">
        <v>2</v>
      </c>
      <c r="I773" s="1"/>
      <c r="J773" s="1"/>
      <c r="K773" s="1"/>
      <c r="AA773" s="1"/>
    </row>
    <row r="774" spans="1:27" x14ac:dyDescent="0.25">
      <c r="A774" t="s">
        <v>81</v>
      </c>
      <c r="B774" t="str">
        <f t="shared" si="13"/>
        <v>15</v>
      </c>
      <c r="C774" s="35">
        <v>1996</v>
      </c>
      <c r="D774" s="35">
        <v>1996</v>
      </c>
      <c r="E774" s="35">
        <v>649</v>
      </c>
      <c r="F774" s="35">
        <v>447</v>
      </c>
      <c r="G774" s="35">
        <v>202</v>
      </c>
      <c r="H774" s="1" t="s">
        <v>2</v>
      </c>
      <c r="I774" s="1"/>
      <c r="J774" s="1"/>
      <c r="K774" s="1"/>
      <c r="AA774" s="1"/>
    </row>
    <row r="775" spans="1:27" x14ac:dyDescent="0.25">
      <c r="A775" t="s">
        <v>81</v>
      </c>
      <c r="B775" t="str">
        <f t="shared" ref="B775:B838" si="14">IF(A775="Menores de 1 año",0,LEFT(A775,2))</f>
        <v>15</v>
      </c>
      <c r="C775" s="35">
        <v>1996</v>
      </c>
      <c r="D775" s="1" t="s">
        <v>24</v>
      </c>
      <c r="E775" s="35">
        <v>1</v>
      </c>
      <c r="F775" s="35">
        <v>1</v>
      </c>
      <c r="G775" s="1" t="s">
        <v>2</v>
      </c>
      <c r="H775" s="1" t="s">
        <v>2</v>
      </c>
      <c r="I775" s="1"/>
      <c r="J775" s="1"/>
      <c r="K775" s="1"/>
      <c r="AA775" s="1"/>
    </row>
    <row r="776" spans="1:27" x14ac:dyDescent="0.25">
      <c r="A776" t="s">
        <v>81</v>
      </c>
      <c r="B776" t="str">
        <f t="shared" si="14"/>
        <v>15</v>
      </c>
      <c r="C776" s="35">
        <v>1997</v>
      </c>
      <c r="D776" s="1" t="s">
        <v>4</v>
      </c>
      <c r="E776" s="35">
        <v>609</v>
      </c>
      <c r="F776" s="35">
        <v>432</v>
      </c>
      <c r="G776" s="35">
        <v>177</v>
      </c>
      <c r="H776" s="1" t="s">
        <v>2</v>
      </c>
      <c r="I776" s="1"/>
      <c r="J776" s="1"/>
      <c r="K776" s="1"/>
      <c r="AA776" s="1"/>
    </row>
    <row r="777" spans="1:27" x14ac:dyDescent="0.25">
      <c r="A777" t="s">
        <v>81</v>
      </c>
      <c r="B777" t="str">
        <f t="shared" si="14"/>
        <v>15</v>
      </c>
      <c r="C777" s="35">
        <v>1997</v>
      </c>
      <c r="D777" s="35">
        <v>1996</v>
      </c>
      <c r="E777" s="35">
        <v>5</v>
      </c>
      <c r="F777" s="35">
        <v>4</v>
      </c>
      <c r="G777" s="35">
        <v>1</v>
      </c>
      <c r="H777" s="1" t="s">
        <v>2</v>
      </c>
      <c r="I777" s="1"/>
      <c r="J777" s="1"/>
      <c r="K777" s="1"/>
      <c r="AA777" s="1"/>
    </row>
    <row r="778" spans="1:27" x14ac:dyDescent="0.25">
      <c r="A778" t="s">
        <v>81</v>
      </c>
      <c r="B778" t="str">
        <f t="shared" si="14"/>
        <v>15</v>
      </c>
      <c r="C778" s="35">
        <v>1997</v>
      </c>
      <c r="D778" s="35">
        <v>1997</v>
      </c>
      <c r="E778" s="35">
        <v>604</v>
      </c>
      <c r="F778" s="35">
        <v>428</v>
      </c>
      <c r="G778" s="35">
        <v>176</v>
      </c>
      <c r="H778" s="1" t="s">
        <v>2</v>
      </c>
      <c r="I778" s="1"/>
      <c r="J778" s="1"/>
      <c r="K778" s="1"/>
      <c r="AA778" s="1"/>
    </row>
    <row r="779" spans="1:27" x14ac:dyDescent="0.25">
      <c r="A779" t="s">
        <v>81</v>
      </c>
      <c r="B779" t="str">
        <f t="shared" si="14"/>
        <v>15</v>
      </c>
      <c r="C779" s="35">
        <v>1998</v>
      </c>
      <c r="D779" s="1" t="s">
        <v>4</v>
      </c>
      <c r="E779" s="35">
        <v>574</v>
      </c>
      <c r="F779" s="35">
        <v>375</v>
      </c>
      <c r="G779" s="35">
        <v>199</v>
      </c>
      <c r="H779" s="1" t="s">
        <v>2</v>
      </c>
      <c r="I779" s="1"/>
      <c r="J779" s="1"/>
      <c r="K779" s="1"/>
      <c r="AA779" s="1"/>
    </row>
    <row r="780" spans="1:27" x14ac:dyDescent="0.25">
      <c r="A780" t="s">
        <v>81</v>
      </c>
      <c r="B780" t="str">
        <f t="shared" si="14"/>
        <v>15</v>
      </c>
      <c r="C780" s="35">
        <v>1998</v>
      </c>
      <c r="D780" s="35">
        <v>1997</v>
      </c>
      <c r="E780" s="35">
        <v>4</v>
      </c>
      <c r="F780" s="35">
        <v>4</v>
      </c>
      <c r="G780" s="1" t="s">
        <v>2</v>
      </c>
      <c r="H780" s="1" t="s">
        <v>2</v>
      </c>
      <c r="I780" s="1"/>
      <c r="J780" s="1"/>
      <c r="K780" s="1"/>
      <c r="AA780" s="1"/>
    </row>
    <row r="781" spans="1:27" x14ac:dyDescent="0.25">
      <c r="A781" t="s">
        <v>81</v>
      </c>
      <c r="B781" t="str">
        <f t="shared" si="14"/>
        <v>15</v>
      </c>
      <c r="C781" s="35">
        <v>1998</v>
      </c>
      <c r="D781" s="35">
        <v>1998</v>
      </c>
      <c r="E781" s="35">
        <v>570</v>
      </c>
      <c r="F781" s="35">
        <v>371</v>
      </c>
      <c r="G781" s="35">
        <v>199</v>
      </c>
      <c r="H781" s="1" t="s">
        <v>2</v>
      </c>
      <c r="I781" s="1"/>
      <c r="J781" s="1"/>
      <c r="K781" s="1"/>
      <c r="AA781" s="1"/>
    </row>
    <row r="782" spans="1:27" x14ac:dyDescent="0.25">
      <c r="A782" t="s">
        <v>81</v>
      </c>
      <c r="B782" t="str">
        <f t="shared" si="14"/>
        <v>15</v>
      </c>
      <c r="C782" s="35">
        <v>1999</v>
      </c>
      <c r="D782" s="1" t="s">
        <v>4</v>
      </c>
      <c r="E782" s="35">
        <v>518</v>
      </c>
      <c r="F782" s="35">
        <v>350</v>
      </c>
      <c r="G782" s="35">
        <v>168</v>
      </c>
      <c r="H782" s="1" t="s">
        <v>2</v>
      </c>
      <c r="I782" s="1"/>
      <c r="J782" s="1"/>
      <c r="K782" s="1"/>
      <c r="AA782" s="1"/>
    </row>
    <row r="783" spans="1:27" x14ac:dyDescent="0.25">
      <c r="A783" t="s">
        <v>81</v>
      </c>
      <c r="B783" t="str">
        <f t="shared" si="14"/>
        <v>15</v>
      </c>
      <c r="C783" s="35">
        <v>1999</v>
      </c>
      <c r="D783" s="35">
        <v>1998</v>
      </c>
      <c r="E783" s="35">
        <v>3</v>
      </c>
      <c r="F783" s="35">
        <v>2</v>
      </c>
      <c r="G783" s="35">
        <v>1</v>
      </c>
      <c r="H783" s="1" t="s">
        <v>2</v>
      </c>
      <c r="I783" s="1"/>
      <c r="J783" s="1"/>
      <c r="K783" s="1"/>
      <c r="AA783" s="1"/>
    </row>
    <row r="784" spans="1:27" x14ac:dyDescent="0.25">
      <c r="A784" t="s">
        <v>81</v>
      </c>
      <c r="B784" t="str">
        <f t="shared" si="14"/>
        <v>15</v>
      </c>
      <c r="C784" s="35">
        <v>1999</v>
      </c>
      <c r="D784" s="35">
        <v>1999</v>
      </c>
      <c r="E784" s="35">
        <v>514</v>
      </c>
      <c r="F784" s="35">
        <v>347</v>
      </c>
      <c r="G784" s="35">
        <v>167</v>
      </c>
      <c r="H784" s="1" t="s">
        <v>2</v>
      </c>
      <c r="I784" s="1"/>
      <c r="J784" s="1"/>
      <c r="K784" s="1"/>
      <c r="AA784" s="1"/>
    </row>
    <row r="785" spans="1:27" x14ac:dyDescent="0.25">
      <c r="A785" t="s">
        <v>81</v>
      </c>
      <c r="B785" t="str">
        <f t="shared" si="14"/>
        <v>15</v>
      </c>
      <c r="C785" s="35">
        <v>1999</v>
      </c>
      <c r="D785" s="1" t="s">
        <v>24</v>
      </c>
      <c r="E785" s="35">
        <v>1</v>
      </c>
      <c r="F785" s="35">
        <v>1</v>
      </c>
      <c r="G785" s="1" t="s">
        <v>2</v>
      </c>
      <c r="H785" s="1" t="s">
        <v>2</v>
      </c>
      <c r="I785" s="1"/>
      <c r="J785" s="1"/>
      <c r="K785" s="1"/>
      <c r="AA785" s="1"/>
    </row>
    <row r="786" spans="1:27" x14ac:dyDescent="0.25">
      <c r="A786" t="s">
        <v>81</v>
      </c>
      <c r="B786" t="str">
        <f t="shared" si="14"/>
        <v>15</v>
      </c>
      <c r="C786" s="35">
        <v>2000</v>
      </c>
      <c r="D786" s="1" t="s">
        <v>4</v>
      </c>
      <c r="E786" s="35">
        <v>509</v>
      </c>
      <c r="F786" s="35">
        <v>340</v>
      </c>
      <c r="G786" s="35">
        <v>169</v>
      </c>
      <c r="H786" s="1" t="s">
        <v>2</v>
      </c>
      <c r="I786" s="1"/>
      <c r="J786" s="1"/>
      <c r="K786" s="1"/>
      <c r="AA786" s="1"/>
    </row>
    <row r="787" spans="1:27" x14ac:dyDescent="0.25">
      <c r="A787" t="s">
        <v>81</v>
      </c>
      <c r="B787" t="str">
        <f t="shared" si="14"/>
        <v>15</v>
      </c>
      <c r="C787" s="35">
        <v>2000</v>
      </c>
      <c r="D787" s="35">
        <v>1999</v>
      </c>
      <c r="E787" s="35">
        <v>2</v>
      </c>
      <c r="F787" s="35">
        <v>2</v>
      </c>
      <c r="G787" s="1" t="s">
        <v>2</v>
      </c>
      <c r="H787" s="1" t="s">
        <v>2</v>
      </c>
      <c r="I787" s="1"/>
      <c r="J787" s="1"/>
      <c r="K787" s="1"/>
      <c r="AA787" s="1"/>
    </row>
    <row r="788" spans="1:27" x14ac:dyDescent="0.25">
      <c r="A788" t="s">
        <v>81</v>
      </c>
      <c r="B788" t="str">
        <f t="shared" si="14"/>
        <v>15</v>
      </c>
      <c r="C788" s="35">
        <v>2000</v>
      </c>
      <c r="D788" s="35">
        <v>2000</v>
      </c>
      <c r="E788" s="35">
        <v>507</v>
      </c>
      <c r="F788" s="35">
        <v>338</v>
      </c>
      <c r="G788" s="35">
        <v>169</v>
      </c>
      <c r="H788" s="1" t="s">
        <v>2</v>
      </c>
      <c r="I788" s="1"/>
      <c r="J788" s="1"/>
      <c r="K788" s="1"/>
      <c r="AA788" s="1"/>
    </row>
    <row r="789" spans="1:27" x14ac:dyDescent="0.25">
      <c r="A789" t="s">
        <v>81</v>
      </c>
      <c r="B789" t="str">
        <f t="shared" si="14"/>
        <v>15</v>
      </c>
      <c r="C789" s="35">
        <v>2001</v>
      </c>
      <c r="D789" s="1" t="s">
        <v>4</v>
      </c>
      <c r="E789" s="35">
        <v>538</v>
      </c>
      <c r="F789" s="35">
        <v>351</v>
      </c>
      <c r="G789" s="35">
        <v>187</v>
      </c>
      <c r="H789" s="1" t="s">
        <v>2</v>
      </c>
      <c r="I789" s="1"/>
      <c r="J789" s="1"/>
      <c r="K789" s="1"/>
      <c r="AA789" s="1"/>
    </row>
    <row r="790" spans="1:27" x14ac:dyDescent="0.25">
      <c r="A790" t="s">
        <v>81</v>
      </c>
      <c r="B790" t="str">
        <f t="shared" si="14"/>
        <v>15</v>
      </c>
      <c r="C790" s="35">
        <v>2001</v>
      </c>
      <c r="D790" s="35">
        <v>2000</v>
      </c>
      <c r="E790" s="35">
        <v>3</v>
      </c>
      <c r="F790" s="35">
        <v>1</v>
      </c>
      <c r="G790" s="35">
        <v>2</v>
      </c>
      <c r="H790" s="1" t="s">
        <v>2</v>
      </c>
      <c r="I790" s="1"/>
      <c r="J790" s="1"/>
      <c r="K790" s="1"/>
      <c r="AA790" s="1"/>
    </row>
    <row r="791" spans="1:27" x14ac:dyDescent="0.25">
      <c r="A791" t="s">
        <v>81</v>
      </c>
      <c r="B791" t="str">
        <f t="shared" si="14"/>
        <v>15</v>
      </c>
      <c r="C791" s="35">
        <v>2001</v>
      </c>
      <c r="D791" s="35">
        <v>2001</v>
      </c>
      <c r="E791" s="35">
        <v>535</v>
      </c>
      <c r="F791" s="35">
        <v>350</v>
      </c>
      <c r="G791" s="35">
        <v>185</v>
      </c>
      <c r="H791" s="1" t="s">
        <v>2</v>
      </c>
      <c r="I791" s="1"/>
      <c r="J791" s="1"/>
      <c r="K791" s="1"/>
      <c r="AA791" s="1"/>
    </row>
    <row r="792" spans="1:27" x14ac:dyDescent="0.25">
      <c r="A792" t="s">
        <v>81</v>
      </c>
      <c r="B792" t="str">
        <f t="shared" si="14"/>
        <v>15</v>
      </c>
      <c r="C792" s="35">
        <v>2002</v>
      </c>
      <c r="D792" s="1" t="s">
        <v>4</v>
      </c>
      <c r="E792" s="35">
        <v>566</v>
      </c>
      <c r="F792" s="35">
        <v>398</v>
      </c>
      <c r="G792" s="35">
        <v>168</v>
      </c>
      <c r="H792" s="1" t="s">
        <v>2</v>
      </c>
      <c r="I792" s="1"/>
      <c r="J792" s="1"/>
      <c r="K792" s="1"/>
      <c r="AA792" s="1"/>
    </row>
    <row r="793" spans="1:27" x14ac:dyDescent="0.25">
      <c r="A793" t="s">
        <v>81</v>
      </c>
      <c r="B793" t="str">
        <f t="shared" si="14"/>
        <v>15</v>
      </c>
      <c r="C793" s="35">
        <v>2002</v>
      </c>
      <c r="D793" s="35">
        <v>2001</v>
      </c>
      <c r="E793" s="35">
        <v>2</v>
      </c>
      <c r="F793" s="1" t="s">
        <v>2</v>
      </c>
      <c r="G793" s="35">
        <v>2</v>
      </c>
      <c r="H793" s="1" t="s">
        <v>2</v>
      </c>
      <c r="I793" s="1"/>
      <c r="J793" s="1"/>
      <c r="K793" s="1"/>
      <c r="AA793" s="1"/>
    </row>
    <row r="794" spans="1:27" x14ac:dyDescent="0.25">
      <c r="A794" t="s">
        <v>81</v>
      </c>
      <c r="B794" t="str">
        <f t="shared" si="14"/>
        <v>15</v>
      </c>
      <c r="C794" s="35">
        <v>2002</v>
      </c>
      <c r="D794" s="35">
        <v>2002</v>
      </c>
      <c r="E794" s="35">
        <v>564</v>
      </c>
      <c r="F794" s="35">
        <v>398</v>
      </c>
      <c r="G794" s="35">
        <v>166</v>
      </c>
      <c r="H794" s="1" t="s">
        <v>2</v>
      </c>
      <c r="I794" s="1"/>
      <c r="J794" s="1"/>
      <c r="K794" s="1"/>
      <c r="AA794" s="1"/>
    </row>
    <row r="795" spans="1:27" x14ac:dyDescent="0.25">
      <c r="A795" t="s">
        <v>81</v>
      </c>
      <c r="B795" t="str">
        <f t="shared" si="14"/>
        <v>15</v>
      </c>
      <c r="C795" s="35">
        <v>2003</v>
      </c>
      <c r="D795" s="1" t="s">
        <v>4</v>
      </c>
      <c r="E795" s="35">
        <v>549</v>
      </c>
      <c r="F795" s="35">
        <v>374</v>
      </c>
      <c r="G795" s="35">
        <v>175</v>
      </c>
      <c r="H795" s="1" t="s">
        <v>2</v>
      </c>
      <c r="I795" s="1"/>
      <c r="J795" s="1"/>
      <c r="K795" s="1"/>
      <c r="AA795" s="1"/>
    </row>
    <row r="796" spans="1:27" x14ac:dyDescent="0.25">
      <c r="A796" t="s">
        <v>81</v>
      </c>
      <c r="B796" t="str">
        <f t="shared" si="14"/>
        <v>15</v>
      </c>
      <c r="C796" s="35">
        <v>2003</v>
      </c>
      <c r="D796" s="35">
        <v>2002</v>
      </c>
      <c r="E796" s="35">
        <v>2</v>
      </c>
      <c r="F796" s="35">
        <v>1</v>
      </c>
      <c r="G796" s="35">
        <v>1</v>
      </c>
      <c r="H796" s="1" t="s">
        <v>2</v>
      </c>
      <c r="I796" s="1"/>
      <c r="J796" s="1"/>
      <c r="K796" s="1"/>
      <c r="AA796" s="1"/>
    </row>
    <row r="797" spans="1:27" x14ac:dyDescent="0.25">
      <c r="A797" t="s">
        <v>81</v>
      </c>
      <c r="B797" t="str">
        <f t="shared" si="14"/>
        <v>15</v>
      </c>
      <c r="C797" s="35">
        <v>2003</v>
      </c>
      <c r="D797" s="35">
        <v>2003</v>
      </c>
      <c r="E797" s="35">
        <v>547</v>
      </c>
      <c r="F797" s="35">
        <v>373</v>
      </c>
      <c r="G797" s="35">
        <v>174</v>
      </c>
      <c r="H797" s="1" t="s">
        <v>2</v>
      </c>
      <c r="I797" s="1"/>
      <c r="J797" s="1"/>
      <c r="K797" s="1"/>
      <c r="AA797" s="1"/>
    </row>
    <row r="798" spans="1:27" x14ac:dyDescent="0.25">
      <c r="A798" t="s">
        <v>81</v>
      </c>
      <c r="B798" t="str">
        <f t="shared" si="14"/>
        <v>15</v>
      </c>
      <c r="C798" s="35">
        <v>2004</v>
      </c>
      <c r="D798" s="1" t="s">
        <v>4</v>
      </c>
      <c r="E798" s="35">
        <v>471</v>
      </c>
      <c r="F798" s="35">
        <v>327</v>
      </c>
      <c r="G798" s="35">
        <v>144</v>
      </c>
      <c r="H798" s="1" t="s">
        <v>2</v>
      </c>
      <c r="I798" s="1"/>
      <c r="J798" s="1"/>
      <c r="K798" s="1"/>
      <c r="AA798" s="1"/>
    </row>
    <row r="799" spans="1:27" x14ac:dyDescent="0.25">
      <c r="A799" t="s">
        <v>81</v>
      </c>
      <c r="B799" t="str">
        <f t="shared" si="14"/>
        <v>15</v>
      </c>
      <c r="C799" s="35">
        <v>2004</v>
      </c>
      <c r="D799" s="35">
        <v>2004</v>
      </c>
      <c r="E799" s="35">
        <v>471</v>
      </c>
      <c r="F799" s="35">
        <v>327</v>
      </c>
      <c r="G799" s="35">
        <v>144</v>
      </c>
      <c r="H799" s="1" t="s">
        <v>2</v>
      </c>
      <c r="I799" s="1"/>
      <c r="J799" s="1"/>
      <c r="K799" s="1"/>
      <c r="AA799" s="1"/>
    </row>
    <row r="800" spans="1:27" x14ac:dyDescent="0.25">
      <c r="A800" t="s">
        <v>81</v>
      </c>
      <c r="B800" t="str">
        <f t="shared" si="14"/>
        <v>15</v>
      </c>
      <c r="C800" s="35">
        <v>2005</v>
      </c>
      <c r="D800" s="1" t="s">
        <v>4</v>
      </c>
      <c r="E800" s="35">
        <v>513</v>
      </c>
      <c r="F800" s="35">
        <v>362</v>
      </c>
      <c r="G800" s="35">
        <v>151</v>
      </c>
      <c r="H800" s="1" t="s">
        <v>2</v>
      </c>
      <c r="I800" s="1"/>
      <c r="J800" s="1"/>
      <c r="K800" s="1"/>
      <c r="AA800" s="1"/>
    </row>
    <row r="801" spans="1:27" x14ac:dyDescent="0.25">
      <c r="A801" t="s">
        <v>81</v>
      </c>
      <c r="B801" t="str">
        <f t="shared" si="14"/>
        <v>15</v>
      </c>
      <c r="C801" s="35">
        <v>2005</v>
      </c>
      <c r="D801" s="35">
        <v>2004</v>
      </c>
      <c r="E801" s="35">
        <v>2</v>
      </c>
      <c r="F801" s="35">
        <v>1</v>
      </c>
      <c r="G801" s="35">
        <v>1</v>
      </c>
      <c r="H801" s="1" t="s">
        <v>2</v>
      </c>
      <c r="I801" s="1"/>
      <c r="J801" s="1"/>
      <c r="K801" s="1"/>
      <c r="AA801" s="1"/>
    </row>
    <row r="802" spans="1:27" x14ac:dyDescent="0.25">
      <c r="A802" t="s">
        <v>81</v>
      </c>
      <c r="B802" t="str">
        <f t="shared" si="14"/>
        <v>15</v>
      </c>
      <c r="C802" s="35">
        <v>2005</v>
      </c>
      <c r="D802" s="35">
        <v>2005</v>
      </c>
      <c r="E802" s="35">
        <v>511</v>
      </c>
      <c r="F802" s="35">
        <v>361</v>
      </c>
      <c r="G802" s="35">
        <v>150</v>
      </c>
      <c r="H802" s="1" t="s">
        <v>2</v>
      </c>
      <c r="I802" s="1"/>
      <c r="J802" s="1"/>
      <c r="K802" s="1"/>
      <c r="AA802" s="1"/>
    </row>
    <row r="803" spans="1:27" x14ac:dyDescent="0.25">
      <c r="A803" t="s">
        <v>81</v>
      </c>
      <c r="B803" t="str">
        <f t="shared" si="14"/>
        <v>15</v>
      </c>
      <c r="C803" s="35">
        <v>2006</v>
      </c>
      <c r="D803" s="1" t="s">
        <v>4</v>
      </c>
      <c r="E803" s="35">
        <v>457</v>
      </c>
      <c r="F803" s="35">
        <v>316</v>
      </c>
      <c r="G803" s="35">
        <v>141</v>
      </c>
      <c r="H803" s="1" t="s">
        <v>2</v>
      </c>
      <c r="I803" s="1"/>
      <c r="J803" s="1"/>
      <c r="K803" s="1"/>
      <c r="AA803" s="1"/>
    </row>
    <row r="804" spans="1:27" x14ac:dyDescent="0.25">
      <c r="A804" t="s">
        <v>81</v>
      </c>
      <c r="B804" t="str">
        <f t="shared" si="14"/>
        <v>15</v>
      </c>
      <c r="C804" s="35">
        <v>2006</v>
      </c>
      <c r="D804" s="35">
        <v>2005</v>
      </c>
      <c r="E804" s="35">
        <v>3</v>
      </c>
      <c r="F804" s="35">
        <v>2</v>
      </c>
      <c r="G804" s="35">
        <v>1</v>
      </c>
      <c r="H804" s="1" t="s">
        <v>2</v>
      </c>
      <c r="I804" s="1"/>
      <c r="J804" s="1"/>
      <c r="K804" s="1"/>
      <c r="AA804" s="1"/>
    </row>
    <row r="805" spans="1:27" x14ac:dyDescent="0.25">
      <c r="A805" t="s">
        <v>81</v>
      </c>
      <c r="B805" t="str">
        <f t="shared" si="14"/>
        <v>15</v>
      </c>
      <c r="C805" s="35">
        <v>2006</v>
      </c>
      <c r="D805" s="35">
        <v>2006</v>
      </c>
      <c r="E805" s="35">
        <v>454</v>
      </c>
      <c r="F805" s="35">
        <v>314</v>
      </c>
      <c r="G805" s="35">
        <v>140</v>
      </c>
      <c r="H805" s="1" t="s">
        <v>2</v>
      </c>
      <c r="I805" s="1"/>
      <c r="J805" s="1"/>
      <c r="K805" s="1"/>
      <c r="AA805" s="1"/>
    </row>
    <row r="806" spans="1:27" x14ac:dyDescent="0.25">
      <c r="A806" t="s">
        <v>81</v>
      </c>
      <c r="B806" t="str">
        <f t="shared" si="14"/>
        <v>15</v>
      </c>
      <c r="C806" s="35">
        <v>2007</v>
      </c>
      <c r="D806" s="1" t="s">
        <v>4</v>
      </c>
      <c r="E806" s="35">
        <v>472</v>
      </c>
      <c r="F806" s="35">
        <v>320</v>
      </c>
      <c r="G806" s="35">
        <v>152</v>
      </c>
      <c r="H806" s="1" t="s">
        <v>2</v>
      </c>
      <c r="I806" s="1"/>
      <c r="J806" s="1"/>
      <c r="K806" s="1"/>
      <c r="AA806" s="1"/>
    </row>
    <row r="807" spans="1:27" x14ac:dyDescent="0.25">
      <c r="A807" t="s">
        <v>81</v>
      </c>
      <c r="B807" t="str">
        <f t="shared" si="14"/>
        <v>15</v>
      </c>
      <c r="C807" s="35">
        <v>2007</v>
      </c>
      <c r="D807" s="35">
        <v>2006</v>
      </c>
      <c r="E807" s="35">
        <v>6</v>
      </c>
      <c r="F807" s="35">
        <v>5</v>
      </c>
      <c r="G807" s="35">
        <v>1</v>
      </c>
      <c r="H807" s="1" t="s">
        <v>2</v>
      </c>
      <c r="I807" s="1"/>
      <c r="J807" s="1"/>
      <c r="K807" s="1"/>
      <c r="AA807" s="1"/>
    </row>
    <row r="808" spans="1:27" x14ac:dyDescent="0.25">
      <c r="A808" t="s">
        <v>81</v>
      </c>
      <c r="B808" t="str">
        <f t="shared" si="14"/>
        <v>15</v>
      </c>
      <c r="C808" s="35">
        <v>2007</v>
      </c>
      <c r="D808" s="35">
        <v>2007</v>
      </c>
      <c r="E808" s="35">
        <v>466</v>
      </c>
      <c r="F808" s="35">
        <v>315</v>
      </c>
      <c r="G808" s="35">
        <v>151</v>
      </c>
      <c r="H808" s="1" t="s">
        <v>2</v>
      </c>
      <c r="I808" s="1"/>
      <c r="J808" s="1"/>
      <c r="K808" s="1"/>
      <c r="AA808" s="1"/>
    </row>
    <row r="809" spans="1:27" x14ac:dyDescent="0.25">
      <c r="A809" t="s">
        <v>81</v>
      </c>
      <c r="B809" t="str">
        <f t="shared" si="14"/>
        <v>15</v>
      </c>
      <c r="C809" s="35">
        <v>2008</v>
      </c>
      <c r="D809" s="1" t="s">
        <v>4</v>
      </c>
      <c r="E809" s="35">
        <v>498</v>
      </c>
      <c r="F809" s="35">
        <v>333</v>
      </c>
      <c r="G809" s="35">
        <v>165</v>
      </c>
      <c r="H809" s="1" t="s">
        <v>2</v>
      </c>
      <c r="I809" s="1"/>
      <c r="J809" s="1"/>
      <c r="K809" s="1"/>
      <c r="AA809" s="1"/>
    </row>
    <row r="810" spans="1:27" x14ac:dyDescent="0.25">
      <c r="A810" t="s">
        <v>81</v>
      </c>
      <c r="B810" t="str">
        <f t="shared" si="14"/>
        <v>15</v>
      </c>
      <c r="C810" s="35">
        <v>2008</v>
      </c>
      <c r="D810" s="35">
        <v>2005</v>
      </c>
      <c r="E810" s="35">
        <v>1</v>
      </c>
      <c r="F810" s="35">
        <v>1</v>
      </c>
      <c r="G810" s="1" t="s">
        <v>2</v>
      </c>
      <c r="H810" s="1" t="s">
        <v>2</v>
      </c>
      <c r="I810" s="1"/>
      <c r="J810" s="1"/>
      <c r="K810" s="1"/>
      <c r="AA810" s="1"/>
    </row>
    <row r="811" spans="1:27" x14ac:dyDescent="0.25">
      <c r="A811" t="s">
        <v>81</v>
      </c>
      <c r="B811" t="str">
        <f t="shared" si="14"/>
        <v>15</v>
      </c>
      <c r="C811" s="35">
        <v>2008</v>
      </c>
      <c r="D811" s="35">
        <v>2007</v>
      </c>
      <c r="E811" s="35">
        <v>2</v>
      </c>
      <c r="F811" s="35">
        <v>1</v>
      </c>
      <c r="G811" s="35">
        <v>1</v>
      </c>
      <c r="H811" s="1" t="s">
        <v>2</v>
      </c>
      <c r="I811" s="1"/>
      <c r="J811" s="1"/>
      <c r="K811" s="1"/>
      <c r="AA811" s="1"/>
    </row>
    <row r="812" spans="1:27" x14ac:dyDescent="0.25">
      <c r="A812" t="s">
        <v>81</v>
      </c>
      <c r="B812" t="str">
        <f t="shared" si="14"/>
        <v>15</v>
      </c>
      <c r="C812" s="35">
        <v>2008</v>
      </c>
      <c r="D812" s="35">
        <v>2008</v>
      </c>
      <c r="E812" s="35">
        <v>495</v>
      </c>
      <c r="F812" s="35">
        <v>331</v>
      </c>
      <c r="G812" s="35">
        <v>164</v>
      </c>
      <c r="H812" s="1" t="s">
        <v>2</v>
      </c>
      <c r="I812" s="1"/>
      <c r="J812" s="1"/>
      <c r="K812" s="1"/>
      <c r="AA812" s="1"/>
    </row>
    <row r="813" spans="1:27" x14ac:dyDescent="0.25">
      <c r="A813" t="s">
        <v>81</v>
      </c>
      <c r="B813" t="str">
        <f t="shared" si="14"/>
        <v>15</v>
      </c>
      <c r="C813" s="35">
        <v>2009</v>
      </c>
      <c r="D813" s="1" t="s">
        <v>4</v>
      </c>
      <c r="E813" s="35">
        <v>469</v>
      </c>
      <c r="F813" s="35">
        <v>317</v>
      </c>
      <c r="G813" s="35">
        <v>152</v>
      </c>
      <c r="H813" s="1" t="s">
        <v>2</v>
      </c>
      <c r="I813" s="1"/>
      <c r="J813" s="1"/>
      <c r="K813" s="1"/>
      <c r="AA813" s="1"/>
    </row>
    <row r="814" spans="1:27" x14ac:dyDescent="0.25">
      <c r="A814" t="s">
        <v>81</v>
      </c>
      <c r="B814" t="str">
        <f t="shared" si="14"/>
        <v>15</v>
      </c>
      <c r="C814" s="35">
        <v>2009</v>
      </c>
      <c r="D814" s="35">
        <v>2008</v>
      </c>
      <c r="E814" s="35">
        <v>2</v>
      </c>
      <c r="F814" s="35">
        <v>1</v>
      </c>
      <c r="G814" s="35">
        <v>1</v>
      </c>
      <c r="H814" s="1" t="s">
        <v>2</v>
      </c>
      <c r="I814" s="1"/>
      <c r="J814" s="1"/>
      <c r="K814" s="1"/>
      <c r="AA814" s="1"/>
    </row>
    <row r="815" spans="1:27" x14ac:dyDescent="0.25">
      <c r="A815" t="s">
        <v>81</v>
      </c>
      <c r="B815" t="str">
        <f t="shared" si="14"/>
        <v>15</v>
      </c>
      <c r="C815" s="35">
        <v>2009</v>
      </c>
      <c r="D815" s="35">
        <v>2009</v>
      </c>
      <c r="E815" s="35">
        <v>467</v>
      </c>
      <c r="F815" s="35">
        <v>316</v>
      </c>
      <c r="G815" s="35">
        <v>151</v>
      </c>
      <c r="H815" s="1" t="s">
        <v>2</v>
      </c>
      <c r="I815" s="1"/>
      <c r="J815" s="1"/>
      <c r="K815" s="1"/>
      <c r="AA815" s="1"/>
    </row>
    <row r="816" spans="1:27" x14ac:dyDescent="0.25">
      <c r="A816" t="s">
        <v>81</v>
      </c>
      <c r="B816" t="str">
        <f t="shared" si="14"/>
        <v>15</v>
      </c>
      <c r="C816" s="35">
        <v>2010</v>
      </c>
      <c r="D816" s="1" t="s">
        <v>4</v>
      </c>
      <c r="E816" s="35">
        <v>517</v>
      </c>
      <c r="F816" s="35">
        <v>355</v>
      </c>
      <c r="G816" s="35">
        <v>162</v>
      </c>
      <c r="H816" s="1" t="s">
        <v>2</v>
      </c>
      <c r="I816" s="1"/>
      <c r="J816" s="1"/>
      <c r="K816" s="1"/>
      <c r="AA816" s="1"/>
    </row>
    <row r="817" spans="1:27" x14ac:dyDescent="0.25">
      <c r="A817" t="s">
        <v>81</v>
      </c>
      <c r="B817" t="str">
        <f t="shared" si="14"/>
        <v>15</v>
      </c>
      <c r="C817" s="35">
        <v>2010</v>
      </c>
      <c r="D817" s="35">
        <v>2009</v>
      </c>
      <c r="E817" s="35">
        <v>5</v>
      </c>
      <c r="F817" s="35">
        <v>2</v>
      </c>
      <c r="G817" s="35">
        <v>3</v>
      </c>
      <c r="H817" s="1" t="s">
        <v>2</v>
      </c>
      <c r="I817" s="1"/>
      <c r="J817" s="1"/>
      <c r="K817" s="1"/>
      <c r="AA817" s="1"/>
    </row>
    <row r="818" spans="1:27" x14ac:dyDescent="0.25">
      <c r="A818" t="s">
        <v>81</v>
      </c>
      <c r="B818" t="str">
        <f t="shared" si="14"/>
        <v>15</v>
      </c>
      <c r="C818" s="35">
        <v>2010</v>
      </c>
      <c r="D818" s="35">
        <v>2010</v>
      </c>
      <c r="E818" s="35">
        <v>512</v>
      </c>
      <c r="F818" s="35">
        <v>353</v>
      </c>
      <c r="G818" s="35">
        <v>159</v>
      </c>
      <c r="H818" s="1" t="s">
        <v>2</v>
      </c>
      <c r="I818" s="1"/>
      <c r="J818" s="1"/>
      <c r="K818" s="1"/>
      <c r="AA818" s="1"/>
    </row>
    <row r="819" spans="1:27" x14ac:dyDescent="0.25">
      <c r="A819" t="s">
        <v>81</v>
      </c>
      <c r="B819" t="str">
        <f t="shared" si="14"/>
        <v>15</v>
      </c>
      <c r="C819" s="35">
        <v>2011</v>
      </c>
      <c r="D819" s="1" t="s">
        <v>4</v>
      </c>
      <c r="E819" s="35">
        <v>530</v>
      </c>
      <c r="F819" s="35">
        <v>358</v>
      </c>
      <c r="G819" s="35">
        <v>172</v>
      </c>
      <c r="H819" s="1" t="s">
        <v>2</v>
      </c>
      <c r="I819" s="1"/>
      <c r="J819" s="1"/>
      <c r="K819" s="1"/>
      <c r="AA819" s="1"/>
    </row>
    <row r="820" spans="1:27" x14ac:dyDescent="0.25">
      <c r="A820" t="s">
        <v>81</v>
      </c>
      <c r="B820" t="str">
        <f t="shared" si="14"/>
        <v>15</v>
      </c>
      <c r="C820" s="35">
        <v>2011</v>
      </c>
      <c r="D820" s="35">
        <v>2010</v>
      </c>
      <c r="E820" s="35">
        <v>8</v>
      </c>
      <c r="F820" s="35">
        <v>4</v>
      </c>
      <c r="G820" s="35">
        <v>4</v>
      </c>
      <c r="H820" s="1" t="s">
        <v>2</v>
      </c>
      <c r="I820" s="1"/>
      <c r="J820" s="1"/>
      <c r="K820" s="1"/>
      <c r="AA820" s="1"/>
    </row>
    <row r="821" spans="1:27" x14ac:dyDescent="0.25">
      <c r="A821" t="s">
        <v>81</v>
      </c>
      <c r="B821" t="str">
        <f t="shared" si="14"/>
        <v>15</v>
      </c>
      <c r="C821" s="35">
        <v>2011</v>
      </c>
      <c r="D821" s="35">
        <v>2011</v>
      </c>
      <c r="E821" s="35">
        <v>522</v>
      </c>
      <c r="F821" s="35">
        <v>354</v>
      </c>
      <c r="G821" s="35">
        <v>168</v>
      </c>
      <c r="H821" s="1" t="s">
        <v>2</v>
      </c>
      <c r="I821" s="1"/>
      <c r="J821" s="1"/>
      <c r="K821" s="1"/>
      <c r="AA821" s="1"/>
    </row>
    <row r="822" spans="1:27" x14ac:dyDescent="0.25">
      <c r="A822" t="s">
        <v>81</v>
      </c>
      <c r="B822" t="str">
        <f t="shared" si="14"/>
        <v>15</v>
      </c>
      <c r="C822" s="35">
        <v>2012</v>
      </c>
      <c r="D822" s="1" t="s">
        <v>4</v>
      </c>
      <c r="E822" s="35">
        <v>503</v>
      </c>
      <c r="F822" s="35">
        <v>326</v>
      </c>
      <c r="G822" s="35">
        <v>177</v>
      </c>
      <c r="H822" s="1" t="s">
        <v>2</v>
      </c>
      <c r="I822" s="1"/>
      <c r="J822" s="1"/>
      <c r="K822" s="1"/>
      <c r="AA822" s="1"/>
    </row>
    <row r="823" spans="1:27" x14ac:dyDescent="0.25">
      <c r="A823" t="s">
        <v>81</v>
      </c>
      <c r="B823" t="str">
        <f t="shared" si="14"/>
        <v>15</v>
      </c>
      <c r="C823" s="35">
        <v>2012</v>
      </c>
      <c r="D823" s="35">
        <v>2011</v>
      </c>
      <c r="E823" s="35">
        <v>3</v>
      </c>
      <c r="F823" s="35">
        <v>3</v>
      </c>
      <c r="G823" s="1" t="s">
        <v>2</v>
      </c>
      <c r="H823" s="1" t="s">
        <v>2</v>
      </c>
      <c r="I823" s="1"/>
      <c r="J823" s="1"/>
      <c r="K823" s="1"/>
      <c r="AA823" s="1"/>
    </row>
    <row r="824" spans="1:27" x14ac:dyDescent="0.25">
      <c r="A824" t="s">
        <v>81</v>
      </c>
      <c r="B824" t="str">
        <f t="shared" si="14"/>
        <v>15</v>
      </c>
      <c r="C824" s="35">
        <v>2012</v>
      </c>
      <c r="D824" s="35">
        <v>2012</v>
      </c>
      <c r="E824" s="35">
        <v>500</v>
      </c>
      <c r="F824" s="35">
        <v>323</v>
      </c>
      <c r="G824" s="35">
        <v>177</v>
      </c>
      <c r="H824" s="1" t="s">
        <v>2</v>
      </c>
      <c r="I824" s="1"/>
      <c r="J824" s="1"/>
      <c r="K824" s="1"/>
      <c r="AA824" s="1"/>
    </row>
    <row r="825" spans="1:27" x14ac:dyDescent="0.25">
      <c r="A825" t="s">
        <v>81</v>
      </c>
      <c r="B825" t="str">
        <f t="shared" si="14"/>
        <v>15</v>
      </c>
      <c r="C825" s="35">
        <v>2013</v>
      </c>
      <c r="D825" s="1" t="s">
        <v>4</v>
      </c>
      <c r="E825" s="35">
        <v>405</v>
      </c>
      <c r="F825" s="35">
        <v>280</v>
      </c>
      <c r="G825" s="35">
        <v>124</v>
      </c>
      <c r="H825" s="35">
        <v>1</v>
      </c>
      <c r="I825" s="1"/>
      <c r="J825" s="1"/>
      <c r="K825" s="1"/>
      <c r="AA825" s="1"/>
    </row>
    <row r="826" spans="1:27" x14ac:dyDescent="0.25">
      <c r="A826" t="s">
        <v>81</v>
      </c>
      <c r="B826" t="str">
        <f t="shared" si="14"/>
        <v>15</v>
      </c>
      <c r="C826" s="35">
        <v>2013</v>
      </c>
      <c r="D826" s="35">
        <v>2011</v>
      </c>
      <c r="E826" s="35">
        <v>1</v>
      </c>
      <c r="F826" s="1" t="s">
        <v>2</v>
      </c>
      <c r="G826" s="1" t="s">
        <v>2</v>
      </c>
      <c r="H826" s="35">
        <v>1</v>
      </c>
      <c r="I826" s="1"/>
      <c r="J826" s="1"/>
      <c r="K826" s="1"/>
      <c r="AA826" s="1"/>
    </row>
    <row r="827" spans="1:27" x14ac:dyDescent="0.25">
      <c r="A827" t="s">
        <v>81</v>
      </c>
      <c r="B827" t="str">
        <f t="shared" si="14"/>
        <v>15</v>
      </c>
      <c r="C827" s="35">
        <v>2013</v>
      </c>
      <c r="D827" s="35">
        <v>2012</v>
      </c>
      <c r="E827" s="35">
        <v>5</v>
      </c>
      <c r="F827" s="35">
        <v>3</v>
      </c>
      <c r="G827" s="35">
        <v>2</v>
      </c>
      <c r="H827" s="1" t="s">
        <v>2</v>
      </c>
      <c r="I827" s="1"/>
      <c r="J827" s="1"/>
      <c r="K827" s="1"/>
      <c r="AA827" s="1"/>
    </row>
    <row r="828" spans="1:27" x14ac:dyDescent="0.25">
      <c r="A828" t="s">
        <v>81</v>
      </c>
      <c r="B828" t="str">
        <f t="shared" si="14"/>
        <v>15</v>
      </c>
      <c r="C828" s="35">
        <v>2013</v>
      </c>
      <c r="D828" s="35">
        <v>2013</v>
      </c>
      <c r="E828" s="35">
        <v>399</v>
      </c>
      <c r="F828" s="35">
        <v>277</v>
      </c>
      <c r="G828" s="35">
        <v>122</v>
      </c>
      <c r="H828" s="1" t="s">
        <v>2</v>
      </c>
      <c r="I828" s="1"/>
      <c r="J828" s="1"/>
      <c r="K828" s="1"/>
      <c r="AA828" s="1"/>
    </row>
    <row r="829" spans="1:27" x14ac:dyDescent="0.25">
      <c r="A829" t="s">
        <v>81</v>
      </c>
      <c r="B829" t="str">
        <f t="shared" si="14"/>
        <v>15</v>
      </c>
      <c r="C829" s="35">
        <v>2014</v>
      </c>
      <c r="D829" s="1" t="s">
        <v>4</v>
      </c>
      <c r="E829" s="35">
        <v>447</v>
      </c>
      <c r="F829" s="35">
        <v>278</v>
      </c>
      <c r="G829" s="35">
        <v>169</v>
      </c>
      <c r="H829" s="1" t="s">
        <v>2</v>
      </c>
      <c r="I829" s="1"/>
      <c r="J829" s="1"/>
      <c r="K829" s="1"/>
      <c r="AA829" s="1"/>
    </row>
    <row r="830" spans="1:27" x14ac:dyDescent="0.25">
      <c r="A830" t="s">
        <v>81</v>
      </c>
      <c r="B830" t="str">
        <f t="shared" si="14"/>
        <v>15</v>
      </c>
      <c r="C830" s="35">
        <v>2014</v>
      </c>
      <c r="D830" s="35">
        <v>2013</v>
      </c>
      <c r="E830" s="35">
        <v>5</v>
      </c>
      <c r="F830" s="35">
        <v>4</v>
      </c>
      <c r="G830" s="35">
        <v>1</v>
      </c>
      <c r="H830" s="1" t="s">
        <v>2</v>
      </c>
      <c r="I830" s="1"/>
      <c r="J830" s="1"/>
      <c r="K830" s="1"/>
      <c r="AA830" s="1"/>
    </row>
    <row r="831" spans="1:27" x14ac:dyDescent="0.25">
      <c r="A831" t="s">
        <v>81</v>
      </c>
      <c r="B831" t="str">
        <f t="shared" si="14"/>
        <v>15</v>
      </c>
      <c r="C831" s="35">
        <v>2014</v>
      </c>
      <c r="D831" s="35">
        <v>2014</v>
      </c>
      <c r="E831" s="35">
        <v>442</v>
      </c>
      <c r="F831" s="35">
        <v>274</v>
      </c>
      <c r="G831" s="35">
        <v>168</v>
      </c>
      <c r="H831" s="1" t="s">
        <v>2</v>
      </c>
      <c r="I831" s="1"/>
      <c r="J831" s="1"/>
      <c r="K831" s="1"/>
      <c r="AA831" s="1"/>
    </row>
    <row r="832" spans="1:27" x14ac:dyDescent="0.25">
      <c r="A832" t="s">
        <v>81</v>
      </c>
      <c r="B832" t="str">
        <f t="shared" si="14"/>
        <v>15</v>
      </c>
      <c r="C832" s="35">
        <v>2015</v>
      </c>
      <c r="D832" s="1" t="s">
        <v>4</v>
      </c>
      <c r="E832" s="35">
        <v>380</v>
      </c>
      <c r="F832" s="35">
        <v>261</v>
      </c>
      <c r="G832" s="35">
        <v>119</v>
      </c>
      <c r="H832" s="1" t="s">
        <v>2</v>
      </c>
      <c r="I832" s="1"/>
      <c r="J832" s="1"/>
      <c r="K832" s="1"/>
      <c r="AA832" s="1"/>
    </row>
    <row r="833" spans="1:27" x14ac:dyDescent="0.25">
      <c r="A833" t="s">
        <v>81</v>
      </c>
      <c r="B833" t="str">
        <f t="shared" si="14"/>
        <v>15</v>
      </c>
      <c r="C833" s="35">
        <v>2015</v>
      </c>
      <c r="D833" s="35">
        <v>2014</v>
      </c>
      <c r="E833" s="35">
        <v>4</v>
      </c>
      <c r="F833" s="35">
        <v>4</v>
      </c>
      <c r="G833" s="1" t="s">
        <v>2</v>
      </c>
      <c r="H833" s="1" t="s">
        <v>2</v>
      </c>
      <c r="I833" s="1"/>
      <c r="J833" s="1"/>
      <c r="K833" s="1"/>
      <c r="AA833" s="1"/>
    </row>
    <row r="834" spans="1:27" x14ac:dyDescent="0.25">
      <c r="A834" t="s">
        <v>81</v>
      </c>
      <c r="B834" t="str">
        <f t="shared" si="14"/>
        <v>15</v>
      </c>
      <c r="C834" s="35">
        <v>2015</v>
      </c>
      <c r="D834" s="35">
        <v>2015</v>
      </c>
      <c r="E834" s="35">
        <v>376</v>
      </c>
      <c r="F834" s="35">
        <v>257</v>
      </c>
      <c r="G834" s="35">
        <v>119</v>
      </c>
      <c r="H834" s="1" t="s">
        <v>2</v>
      </c>
      <c r="I834" s="1"/>
      <c r="J834" s="1"/>
      <c r="K834" s="1"/>
      <c r="AA834" s="1"/>
    </row>
    <row r="835" spans="1:27" x14ac:dyDescent="0.25">
      <c r="A835" t="s">
        <v>81</v>
      </c>
      <c r="B835" t="str">
        <f t="shared" si="14"/>
        <v>15</v>
      </c>
      <c r="C835" s="35">
        <v>2016</v>
      </c>
      <c r="D835" s="1" t="s">
        <v>4</v>
      </c>
      <c r="E835" s="35">
        <v>402</v>
      </c>
      <c r="F835" s="35">
        <v>291</v>
      </c>
      <c r="G835" s="35">
        <v>111</v>
      </c>
      <c r="H835" s="1" t="s">
        <v>2</v>
      </c>
      <c r="I835" s="1"/>
      <c r="J835" s="1"/>
      <c r="K835" s="1"/>
      <c r="AA835" s="1"/>
    </row>
    <row r="836" spans="1:27" x14ac:dyDescent="0.25">
      <c r="A836" t="s">
        <v>81</v>
      </c>
      <c r="B836" t="str">
        <f t="shared" si="14"/>
        <v>15</v>
      </c>
      <c r="C836" s="35">
        <v>2016</v>
      </c>
      <c r="D836" s="35">
        <v>2016</v>
      </c>
      <c r="E836" s="35">
        <v>402</v>
      </c>
      <c r="F836" s="35">
        <v>291</v>
      </c>
      <c r="G836" s="35">
        <v>111</v>
      </c>
      <c r="H836" s="1" t="s">
        <v>2</v>
      </c>
      <c r="I836" s="1"/>
      <c r="J836" s="1"/>
      <c r="K836" s="1"/>
      <c r="AA836" s="1"/>
    </row>
    <row r="837" spans="1:27" x14ac:dyDescent="0.25">
      <c r="A837" t="s">
        <v>81</v>
      </c>
      <c r="B837" t="str">
        <f t="shared" si="14"/>
        <v>15</v>
      </c>
      <c r="C837" s="35">
        <v>2017</v>
      </c>
      <c r="D837" s="1" t="s">
        <v>4</v>
      </c>
      <c r="E837" s="35">
        <v>485</v>
      </c>
      <c r="F837" s="35">
        <v>350</v>
      </c>
      <c r="G837" s="35">
        <v>135</v>
      </c>
      <c r="H837" s="1" t="s">
        <v>2</v>
      </c>
      <c r="I837" s="1"/>
      <c r="J837" s="1"/>
      <c r="K837" s="1"/>
      <c r="AA837" s="1"/>
    </row>
    <row r="838" spans="1:27" x14ac:dyDescent="0.25">
      <c r="A838" t="s">
        <v>81</v>
      </c>
      <c r="B838" t="str">
        <f t="shared" si="14"/>
        <v>15</v>
      </c>
      <c r="C838" s="35">
        <v>2017</v>
      </c>
      <c r="D838" s="35">
        <v>2016</v>
      </c>
      <c r="E838" s="35">
        <v>1</v>
      </c>
      <c r="F838" s="35">
        <v>1</v>
      </c>
      <c r="G838" s="1" t="s">
        <v>2</v>
      </c>
      <c r="H838" s="1" t="s">
        <v>2</v>
      </c>
      <c r="I838" s="1"/>
      <c r="J838" s="1"/>
      <c r="K838" s="1"/>
      <c r="AA838" s="1"/>
    </row>
    <row r="839" spans="1:27" x14ac:dyDescent="0.25">
      <c r="A839" t="s">
        <v>81</v>
      </c>
      <c r="B839" t="str">
        <f t="shared" ref="B839:B902" si="15">IF(A839="Menores de 1 año",0,LEFT(A839,2))</f>
        <v>15</v>
      </c>
      <c r="C839" s="35">
        <v>2017</v>
      </c>
      <c r="D839" s="35">
        <v>2017</v>
      </c>
      <c r="E839" s="35">
        <v>484</v>
      </c>
      <c r="F839" s="35">
        <v>349</v>
      </c>
      <c r="G839" s="35">
        <v>135</v>
      </c>
      <c r="H839" s="1" t="s">
        <v>2</v>
      </c>
      <c r="I839" s="1"/>
      <c r="J839" s="1"/>
      <c r="K839" s="1"/>
      <c r="AA839" s="1"/>
    </row>
    <row r="840" spans="1:27" x14ac:dyDescent="0.25">
      <c r="A840" t="s">
        <v>81</v>
      </c>
      <c r="B840" t="str">
        <f t="shared" si="15"/>
        <v>15</v>
      </c>
      <c r="C840" s="35">
        <v>2018</v>
      </c>
      <c r="D840" s="1" t="s">
        <v>4</v>
      </c>
      <c r="E840" s="35">
        <v>431</v>
      </c>
      <c r="F840" s="35">
        <v>297</v>
      </c>
      <c r="G840" s="35">
        <v>134</v>
      </c>
      <c r="H840" s="1" t="s">
        <v>2</v>
      </c>
      <c r="I840" s="1"/>
      <c r="J840" s="1"/>
      <c r="K840" s="1"/>
      <c r="AA840" s="1"/>
    </row>
    <row r="841" spans="1:27" x14ac:dyDescent="0.25">
      <c r="A841" t="s">
        <v>81</v>
      </c>
      <c r="B841" t="str">
        <f t="shared" si="15"/>
        <v>15</v>
      </c>
      <c r="C841" s="35">
        <v>2018</v>
      </c>
      <c r="D841" s="35">
        <v>2018</v>
      </c>
      <c r="E841" s="35">
        <v>431</v>
      </c>
      <c r="F841" s="35">
        <v>297</v>
      </c>
      <c r="G841" s="35">
        <v>134</v>
      </c>
      <c r="H841" s="1" t="s">
        <v>2</v>
      </c>
      <c r="I841" s="1"/>
      <c r="J841" s="1"/>
      <c r="K841" s="1"/>
      <c r="AA841" s="1"/>
    </row>
    <row r="842" spans="1:27" x14ac:dyDescent="0.25">
      <c r="A842" t="s">
        <v>81</v>
      </c>
      <c r="B842" t="str">
        <f t="shared" si="15"/>
        <v>15</v>
      </c>
      <c r="C842" s="35">
        <v>2019</v>
      </c>
      <c r="D842" s="1" t="s">
        <v>4</v>
      </c>
      <c r="E842" s="35">
        <v>404</v>
      </c>
      <c r="F842" s="35">
        <v>292</v>
      </c>
      <c r="G842" s="35">
        <v>112</v>
      </c>
      <c r="H842" s="1" t="s">
        <v>2</v>
      </c>
      <c r="I842" s="1"/>
      <c r="J842" s="1"/>
      <c r="K842" s="1"/>
      <c r="AA842" s="1"/>
    </row>
    <row r="843" spans="1:27" x14ac:dyDescent="0.25">
      <c r="A843" t="s">
        <v>81</v>
      </c>
      <c r="B843" t="str">
        <f t="shared" si="15"/>
        <v>15</v>
      </c>
      <c r="C843" s="35">
        <v>2019</v>
      </c>
      <c r="D843" s="35">
        <v>2018</v>
      </c>
      <c r="E843" s="35">
        <v>2</v>
      </c>
      <c r="F843" s="35">
        <v>2</v>
      </c>
      <c r="G843" s="1" t="s">
        <v>2</v>
      </c>
      <c r="H843" s="1" t="s">
        <v>2</v>
      </c>
      <c r="I843" s="1"/>
      <c r="J843" s="1"/>
      <c r="K843" s="1"/>
      <c r="AA843" s="1"/>
    </row>
    <row r="844" spans="1:27" x14ac:dyDescent="0.25">
      <c r="A844" t="s">
        <v>81</v>
      </c>
      <c r="B844" t="str">
        <f t="shared" si="15"/>
        <v>15</v>
      </c>
      <c r="C844" s="35">
        <v>2019</v>
      </c>
      <c r="D844" s="35">
        <v>2019</v>
      </c>
      <c r="E844" s="35">
        <v>402</v>
      </c>
      <c r="F844" s="35">
        <v>290</v>
      </c>
      <c r="G844" s="35">
        <v>112</v>
      </c>
      <c r="H844" s="1" t="s">
        <v>2</v>
      </c>
      <c r="I844" s="1"/>
      <c r="J844" s="1"/>
      <c r="K844" s="1"/>
      <c r="AA844" s="1"/>
    </row>
    <row r="845" spans="1:27" x14ac:dyDescent="0.25">
      <c r="A845" t="s">
        <v>81</v>
      </c>
      <c r="B845" t="str">
        <f t="shared" si="15"/>
        <v>15</v>
      </c>
      <c r="C845" s="35">
        <v>2020</v>
      </c>
      <c r="D845" s="1" t="s">
        <v>4</v>
      </c>
      <c r="E845" s="35">
        <v>410</v>
      </c>
      <c r="F845" s="35">
        <v>284</v>
      </c>
      <c r="G845" s="35">
        <v>126</v>
      </c>
      <c r="H845" s="1" t="s">
        <v>2</v>
      </c>
      <c r="I845" s="1"/>
      <c r="J845" s="1"/>
      <c r="K845" s="1"/>
      <c r="AA845" s="1"/>
    </row>
    <row r="846" spans="1:27" x14ac:dyDescent="0.25">
      <c r="A846" t="s">
        <v>81</v>
      </c>
      <c r="B846" t="str">
        <f t="shared" si="15"/>
        <v>15</v>
      </c>
      <c r="C846" s="35">
        <v>2020</v>
      </c>
      <c r="D846" s="35">
        <v>2020</v>
      </c>
      <c r="E846" s="35">
        <v>410</v>
      </c>
      <c r="F846" s="35">
        <v>284</v>
      </c>
      <c r="G846" s="35">
        <v>126</v>
      </c>
      <c r="H846" s="1" t="s">
        <v>2</v>
      </c>
      <c r="I846" s="1"/>
      <c r="J846" s="1"/>
      <c r="K846" s="1"/>
      <c r="AA846" s="1"/>
    </row>
    <row r="847" spans="1:27" x14ac:dyDescent="0.25">
      <c r="A847" t="s">
        <v>81</v>
      </c>
      <c r="B847" t="str">
        <f t="shared" si="15"/>
        <v>15</v>
      </c>
      <c r="C847" s="35">
        <v>2021</v>
      </c>
      <c r="D847" s="1" t="s">
        <v>4</v>
      </c>
      <c r="E847" s="35">
        <v>417</v>
      </c>
      <c r="F847" s="35">
        <v>289</v>
      </c>
      <c r="G847" s="35">
        <v>128</v>
      </c>
      <c r="H847" s="1" t="s">
        <v>2</v>
      </c>
      <c r="I847" s="1"/>
      <c r="J847" s="1"/>
      <c r="K847" s="1"/>
      <c r="AA847" s="1"/>
    </row>
    <row r="848" spans="1:27" x14ac:dyDescent="0.25">
      <c r="A848" t="s">
        <v>81</v>
      </c>
      <c r="B848" t="str">
        <f t="shared" si="15"/>
        <v>15</v>
      </c>
      <c r="C848" s="35">
        <v>2021</v>
      </c>
      <c r="D848" s="35">
        <v>2021</v>
      </c>
      <c r="E848" s="35">
        <v>417</v>
      </c>
      <c r="F848" s="35">
        <v>289</v>
      </c>
      <c r="G848" s="35">
        <v>128</v>
      </c>
      <c r="H848" s="1" t="s">
        <v>2</v>
      </c>
      <c r="I848" s="1"/>
      <c r="J848" s="1"/>
      <c r="K848" s="1"/>
      <c r="AA848" s="1"/>
    </row>
    <row r="849" spans="1:27" x14ac:dyDescent="0.25">
      <c r="A849" t="s">
        <v>81</v>
      </c>
      <c r="B849" t="str">
        <f t="shared" si="15"/>
        <v>15</v>
      </c>
      <c r="C849" s="35">
        <v>2022</v>
      </c>
      <c r="D849" s="1" t="s">
        <v>4</v>
      </c>
      <c r="E849" s="35">
        <v>414</v>
      </c>
      <c r="F849" s="35">
        <v>273</v>
      </c>
      <c r="G849" s="35">
        <v>141</v>
      </c>
      <c r="H849" s="1" t="s">
        <v>2</v>
      </c>
      <c r="I849" s="1"/>
      <c r="J849" s="1"/>
      <c r="K849" s="1"/>
      <c r="AA849" s="1"/>
    </row>
    <row r="850" spans="1:27" x14ac:dyDescent="0.25">
      <c r="A850" t="s">
        <v>81</v>
      </c>
      <c r="B850" t="str">
        <f t="shared" si="15"/>
        <v>15</v>
      </c>
      <c r="C850" s="35">
        <v>2022</v>
      </c>
      <c r="D850" s="35">
        <v>2021</v>
      </c>
      <c r="E850" s="35">
        <v>1</v>
      </c>
      <c r="F850" s="1" t="s">
        <v>2</v>
      </c>
      <c r="G850" s="35">
        <v>1</v>
      </c>
      <c r="H850" s="1" t="s">
        <v>2</v>
      </c>
      <c r="I850" s="1"/>
      <c r="J850" s="1"/>
      <c r="K850" s="1"/>
      <c r="AA850" s="1"/>
    </row>
    <row r="851" spans="1:27" x14ac:dyDescent="0.25">
      <c r="A851" t="s">
        <v>81</v>
      </c>
      <c r="B851" t="str">
        <f t="shared" si="15"/>
        <v>15</v>
      </c>
      <c r="C851" s="35">
        <v>2022</v>
      </c>
      <c r="D851" s="35">
        <v>2022</v>
      </c>
      <c r="E851" s="35">
        <v>413</v>
      </c>
      <c r="F851" s="35">
        <v>273</v>
      </c>
      <c r="G851" s="35">
        <v>140</v>
      </c>
      <c r="H851" s="1" t="s">
        <v>2</v>
      </c>
      <c r="I851" s="1"/>
      <c r="J851" s="1"/>
      <c r="K851" s="1"/>
      <c r="AA851" s="1"/>
    </row>
    <row r="852" spans="1:27" x14ac:dyDescent="0.25">
      <c r="A852" t="s">
        <v>81</v>
      </c>
      <c r="B852" t="str">
        <f t="shared" si="15"/>
        <v>15</v>
      </c>
      <c r="C852" s="35">
        <v>2023</v>
      </c>
      <c r="D852" s="1" t="s">
        <v>4</v>
      </c>
      <c r="E852" s="35">
        <v>406</v>
      </c>
      <c r="F852" s="35">
        <v>278</v>
      </c>
      <c r="G852" s="35">
        <v>128</v>
      </c>
      <c r="H852" s="1" t="s">
        <v>2</v>
      </c>
      <c r="I852" s="1"/>
      <c r="J852" s="1"/>
      <c r="K852" s="1"/>
      <c r="AA852" s="1"/>
    </row>
    <row r="853" spans="1:27" x14ac:dyDescent="0.25">
      <c r="A853" t="s">
        <v>81</v>
      </c>
      <c r="B853" t="str">
        <f t="shared" si="15"/>
        <v>15</v>
      </c>
      <c r="C853" s="35">
        <v>2023</v>
      </c>
      <c r="D853" s="35">
        <v>2022</v>
      </c>
      <c r="E853" s="35">
        <v>1</v>
      </c>
      <c r="F853" s="35">
        <v>1</v>
      </c>
      <c r="G853" s="1" t="s">
        <v>2</v>
      </c>
      <c r="H853" s="1" t="s">
        <v>2</v>
      </c>
      <c r="I853" s="1"/>
      <c r="J853" s="1"/>
      <c r="K853" s="1"/>
      <c r="AA853" s="1"/>
    </row>
    <row r="854" spans="1:27" x14ac:dyDescent="0.25">
      <c r="A854" t="s">
        <v>81</v>
      </c>
      <c r="B854" t="str">
        <f t="shared" si="15"/>
        <v>15</v>
      </c>
      <c r="C854" s="35">
        <v>2023</v>
      </c>
      <c r="D854" s="35">
        <v>2023</v>
      </c>
      <c r="E854" s="35">
        <v>405</v>
      </c>
      <c r="F854" s="35">
        <v>277</v>
      </c>
      <c r="G854" s="35">
        <v>128</v>
      </c>
      <c r="H854" s="1" t="s">
        <v>2</v>
      </c>
      <c r="I854" s="1"/>
      <c r="J854" s="1"/>
      <c r="K854" s="1"/>
      <c r="AA854" s="1"/>
    </row>
    <row r="855" spans="1:27" x14ac:dyDescent="0.25">
      <c r="A855" t="s">
        <v>81</v>
      </c>
      <c r="B855" t="str">
        <f t="shared" si="15"/>
        <v>15</v>
      </c>
      <c r="C855" s="35">
        <v>2024</v>
      </c>
      <c r="D855" s="1" t="s">
        <v>4</v>
      </c>
      <c r="E855" s="35">
        <v>462</v>
      </c>
      <c r="F855" s="35">
        <v>322</v>
      </c>
      <c r="G855" s="35">
        <v>140</v>
      </c>
      <c r="H855" s="1" t="s">
        <v>2</v>
      </c>
      <c r="I855" s="1"/>
      <c r="J855" s="1"/>
      <c r="K855" s="1"/>
      <c r="AA855" s="1"/>
    </row>
    <row r="856" spans="1:27" x14ac:dyDescent="0.25">
      <c r="A856" t="s">
        <v>81</v>
      </c>
      <c r="B856" t="str">
        <f t="shared" si="15"/>
        <v>15</v>
      </c>
      <c r="C856" s="35">
        <v>2024</v>
      </c>
      <c r="D856" s="35">
        <v>2023</v>
      </c>
      <c r="E856" s="35">
        <v>4</v>
      </c>
      <c r="F856" s="35">
        <v>3</v>
      </c>
      <c r="G856" s="35">
        <v>1</v>
      </c>
      <c r="H856" s="1" t="s">
        <v>2</v>
      </c>
      <c r="I856" s="1"/>
      <c r="J856" s="1"/>
      <c r="K856" s="1"/>
      <c r="AA856" s="1"/>
    </row>
    <row r="857" spans="1:27" x14ac:dyDescent="0.25">
      <c r="A857" t="s">
        <v>81</v>
      </c>
      <c r="B857" t="str">
        <f t="shared" si="15"/>
        <v>15</v>
      </c>
      <c r="C857" s="35">
        <v>2024</v>
      </c>
      <c r="D857" s="35">
        <v>2024</v>
      </c>
      <c r="E857" s="35">
        <v>458</v>
      </c>
      <c r="F857" s="35">
        <v>319</v>
      </c>
      <c r="G857" s="35">
        <v>139</v>
      </c>
      <c r="H857" s="1" t="s">
        <v>2</v>
      </c>
      <c r="I857" s="1"/>
      <c r="J857" s="1"/>
      <c r="K857" s="1"/>
      <c r="AA857" s="1"/>
    </row>
    <row r="858" spans="1:27" x14ac:dyDescent="0.25">
      <c r="A858" t="s">
        <v>82</v>
      </c>
      <c r="B858" t="str">
        <f t="shared" si="15"/>
        <v>20</v>
      </c>
      <c r="C858" s="35">
        <v>1990</v>
      </c>
      <c r="D858" s="1" t="s">
        <v>4</v>
      </c>
      <c r="E858" s="35">
        <v>947</v>
      </c>
      <c r="F858" s="35">
        <v>706</v>
      </c>
      <c r="G858" s="35">
        <v>240</v>
      </c>
      <c r="H858" s="35">
        <v>1</v>
      </c>
      <c r="I858" s="1"/>
      <c r="J858" s="1"/>
      <c r="K858" s="1"/>
      <c r="AA858" s="1"/>
    </row>
    <row r="859" spans="1:27" x14ac:dyDescent="0.25">
      <c r="A859" t="s">
        <v>82</v>
      </c>
      <c r="B859" t="str">
        <f t="shared" si="15"/>
        <v>20</v>
      </c>
      <c r="C859" s="35">
        <v>1990</v>
      </c>
      <c r="D859" s="35">
        <v>1990</v>
      </c>
      <c r="E859" s="35">
        <v>930</v>
      </c>
      <c r="F859" s="35">
        <v>693</v>
      </c>
      <c r="G859" s="35">
        <v>237</v>
      </c>
      <c r="H859" s="1" t="s">
        <v>2</v>
      </c>
      <c r="I859" s="1"/>
      <c r="J859" s="1"/>
      <c r="K859" s="1"/>
      <c r="AA859" s="1"/>
    </row>
    <row r="860" spans="1:27" x14ac:dyDescent="0.25">
      <c r="A860" t="s">
        <v>82</v>
      </c>
      <c r="B860" t="str">
        <f t="shared" si="15"/>
        <v>20</v>
      </c>
      <c r="C860" s="35">
        <v>1990</v>
      </c>
      <c r="D860" s="1" t="s">
        <v>24</v>
      </c>
      <c r="E860" s="35">
        <v>17</v>
      </c>
      <c r="F860" s="35">
        <v>13</v>
      </c>
      <c r="G860" s="35">
        <v>3</v>
      </c>
      <c r="H860" s="35">
        <v>1</v>
      </c>
      <c r="I860" s="1"/>
      <c r="J860" s="1"/>
      <c r="K860" s="1"/>
      <c r="AA860" s="1"/>
    </row>
    <row r="861" spans="1:27" x14ac:dyDescent="0.25">
      <c r="A861" t="s">
        <v>82</v>
      </c>
      <c r="B861" t="str">
        <f t="shared" si="15"/>
        <v>20</v>
      </c>
      <c r="C861" s="35">
        <v>1991</v>
      </c>
      <c r="D861" s="1" t="s">
        <v>4</v>
      </c>
      <c r="E861" s="36">
        <v>1011</v>
      </c>
      <c r="F861" s="35">
        <v>746</v>
      </c>
      <c r="G861" s="35">
        <v>265</v>
      </c>
      <c r="H861" s="1" t="s">
        <v>2</v>
      </c>
      <c r="I861" s="1"/>
      <c r="J861" s="1"/>
      <c r="K861" s="1"/>
      <c r="AA861" s="1"/>
    </row>
    <row r="862" spans="1:27" x14ac:dyDescent="0.25">
      <c r="A862" t="s">
        <v>82</v>
      </c>
      <c r="B862" t="str">
        <f t="shared" si="15"/>
        <v>20</v>
      </c>
      <c r="C862" s="35">
        <v>1991</v>
      </c>
      <c r="D862" s="35">
        <v>1991</v>
      </c>
      <c r="E862" s="35">
        <v>990</v>
      </c>
      <c r="F862" s="35">
        <v>726</v>
      </c>
      <c r="G862" s="35">
        <v>264</v>
      </c>
      <c r="H862" s="1" t="s">
        <v>2</v>
      </c>
      <c r="I862" s="1"/>
      <c r="J862" s="1"/>
      <c r="K862" s="1"/>
      <c r="AA862" s="1"/>
    </row>
    <row r="863" spans="1:27" x14ac:dyDescent="0.25">
      <c r="A863" t="s">
        <v>82</v>
      </c>
      <c r="B863" t="str">
        <f t="shared" si="15"/>
        <v>20</v>
      </c>
      <c r="C863" s="35">
        <v>1991</v>
      </c>
      <c r="D863" s="1" t="s">
        <v>24</v>
      </c>
      <c r="E863" s="35">
        <v>21</v>
      </c>
      <c r="F863" s="35">
        <v>20</v>
      </c>
      <c r="G863" s="35">
        <v>1</v>
      </c>
      <c r="H863" s="1" t="s">
        <v>2</v>
      </c>
      <c r="I863" s="1"/>
      <c r="J863" s="1"/>
      <c r="K863" s="1"/>
      <c r="AA863" s="1"/>
    </row>
    <row r="864" spans="1:27" x14ac:dyDescent="0.25">
      <c r="A864" t="s">
        <v>82</v>
      </c>
      <c r="B864" t="str">
        <f t="shared" si="15"/>
        <v>20</v>
      </c>
      <c r="C864" s="35">
        <v>1992</v>
      </c>
      <c r="D864" s="1" t="s">
        <v>4</v>
      </c>
      <c r="E864" s="36">
        <v>1072</v>
      </c>
      <c r="F864" s="35">
        <v>812</v>
      </c>
      <c r="G864" s="35">
        <v>260</v>
      </c>
      <c r="H864" s="1" t="s">
        <v>2</v>
      </c>
      <c r="I864" s="1"/>
      <c r="J864" s="1"/>
      <c r="K864" s="1"/>
      <c r="AA864" s="1"/>
    </row>
    <row r="865" spans="1:27" x14ac:dyDescent="0.25">
      <c r="A865" t="s">
        <v>82</v>
      </c>
      <c r="B865" t="str">
        <f t="shared" si="15"/>
        <v>20</v>
      </c>
      <c r="C865" s="35">
        <v>1992</v>
      </c>
      <c r="D865" s="35">
        <v>1992</v>
      </c>
      <c r="E865" s="36">
        <v>1059</v>
      </c>
      <c r="F865" s="35">
        <v>802</v>
      </c>
      <c r="G865" s="35">
        <v>257</v>
      </c>
      <c r="H865" s="1" t="s">
        <v>2</v>
      </c>
      <c r="I865" s="1"/>
      <c r="J865" s="1"/>
      <c r="K865" s="1"/>
      <c r="AA865" s="1"/>
    </row>
    <row r="866" spans="1:27" x14ac:dyDescent="0.25">
      <c r="A866" t="s">
        <v>82</v>
      </c>
      <c r="B866" t="str">
        <f t="shared" si="15"/>
        <v>20</v>
      </c>
      <c r="C866" s="35">
        <v>1992</v>
      </c>
      <c r="D866" s="1" t="s">
        <v>24</v>
      </c>
      <c r="E866" s="35">
        <v>13</v>
      </c>
      <c r="F866" s="35">
        <v>10</v>
      </c>
      <c r="G866" s="35">
        <v>3</v>
      </c>
      <c r="H866" s="1" t="s">
        <v>2</v>
      </c>
      <c r="I866" s="1"/>
      <c r="J866" s="1"/>
      <c r="K866" s="1"/>
      <c r="AA866" s="1"/>
    </row>
    <row r="867" spans="1:27" x14ac:dyDescent="0.25">
      <c r="A867" t="s">
        <v>82</v>
      </c>
      <c r="B867" t="str">
        <f t="shared" si="15"/>
        <v>20</v>
      </c>
      <c r="C867" s="35">
        <v>1993</v>
      </c>
      <c r="D867" s="1" t="s">
        <v>4</v>
      </c>
      <c r="E867" s="36">
        <v>1026</v>
      </c>
      <c r="F867" s="35">
        <v>750</v>
      </c>
      <c r="G867" s="35">
        <v>276</v>
      </c>
      <c r="H867" s="1" t="s">
        <v>2</v>
      </c>
      <c r="I867" s="1"/>
      <c r="J867" s="1"/>
      <c r="K867" s="1"/>
      <c r="AA867" s="1"/>
    </row>
    <row r="868" spans="1:27" x14ac:dyDescent="0.25">
      <c r="A868" t="s">
        <v>82</v>
      </c>
      <c r="B868" t="str">
        <f t="shared" si="15"/>
        <v>20</v>
      </c>
      <c r="C868" s="35">
        <v>1993</v>
      </c>
      <c r="D868" s="35">
        <v>1909</v>
      </c>
      <c r="E868" s="35">
        <v>1</v>
      </c>
      <c r="F868" s="1" t="s">
        <v>2</v>
      </c>
      <c r="G868" s="35">
        <v>1</v>
      </c>
      <c r="H868" s="1" t="s">
        <v>2</v>
      </c>
      <c r="I868" s="1"/>
      <c r="J868" s="1"/>
      <c r="K868" s="1"/>
      <c r="AA868" s="1"/>
    </row>
    <row r="869" spans="1:27" x14ac:dyDescent="0.25">
      <c r="A869" t="s">
        <v>82</v>
      </c>
      <c r="B869" t="str">
        <f t="shared" si="15"/>
        <v>20</v>
      </c>
      <c r="C869" s="35">
        <v>1993</v>
      </c>
      <c r="D869" s="35">
        <v>1930</v>
      </c>
      <c r="E869" s="35">
        <v>1</v>
      </c>
      <c r="F869" s="35">
        <v>1</v>
      </c>
      <c r="G869" s="1" t="s">
        <v>2</v>
      </c>
      <c r="H869" s="1" t="s">
        <v>2</v>
      </c>
      <c r="I869" s="1"/>
      <c r="J869" s="1"/>
      <c r="K869" s="1"/>
      <c r="AA869" s="1"/>
    </row>
    <row r="870" spans="1:27" x14ac:dyDescent="0.25">
      <c r="A870" t="s">
        <v>82</v>
      </c>
      <c r="B870" t="str">
        <f t="shared" si="15"/>
        <v>20</v>
      </c>
      <c r="C870" s="35">
        <v>1993</v>
      </c>
      <c r="D870" s="35">
        <v>1992</v>
      </c>
      <c r="E870" s="35">
        <v>8</v>
      </c>
      <c r="F870" s="35">
        <v>7</v>
      </c>
      <c r="G870" s="35">
        <v>1</v>
      </c>
      <c r="H870" s="1" t="s">
        <v>2</v>
      </c>
      <c r="I870" s="1"/>
      <c r="J870" s="1"/>
      <c r="K870" s="1"/>
      <c r="AA870" s="1"/>
    </row>
    <row r="871" spans="1:27" x14ac:dyDescent="0.25">
      <c r="A871" t="s">
        <v>82</v>
      </c>
      <c r="B871" t="str">
        <f t="shared" si="15"/>
        <v>20</v>
      </c>
      <c r="C871" s="35">
        <v>1993</v>
      </c>
      <c r="D871" s="35">
        <v>1993</v>
      </c>
      <c r="E871" s="35">
        <v>998</v>
      </c>
      <c r="F871" s="35">
        <v>727</v>
      </c>
      <c r="G871" s="35">
        <v>271</v>
      </c>
      <c r="H871" s="1" t="s">
        <v>2</v>
      </c>
      <c r="I871" s="1"/>
      <c r="J871" s="1"/>
      <c r="K871" s="1"/>
      <c r="AA871" s="1"/>
    </row>
    <row r="872" spans="1:27" x14ac:dyDescent="0.25">
      <c r="A872" t="s">
        <v>82</v>
      </c>
      <c r="B872" t="str">
        <f t="shared" si="15"/>
        <v>20</v>
      </c>
      <c r="C872" s="35">
        <v>1993</v>
      </c>
      <c r="D872" s="1" t="s">
        <v>24</v>
      </c>
      <c r="E872" s="35">
        <v>18</v>
      </c>
      <c r="F872" s="35">
        <v>15</v>
      </c>
      <c r="G872" s="35">
        <v>3</v>
      </c>
      <c r="H872" s="1" t="s">
        <v>2</v>
      </c>
      <c r="I872" s="1"/>
      <c r="J872" s="1"/>
      <c r="K872" s="1"/>
      <c r="AA872" s="1"/>
    </row>
    <row r="873" spans="1:27" x14ac:dyDescent="0.25">
      <c r="A873" t="s">
        <v>82</v>
      </c>
      <c r="B873" t="str">
        <f t="shared" si="15"/>
        <v>20</v>
      </c>
      <c r="C873" s="35">
        <v>1994</v>
      </c>
      <c r="D873" s="1" t="s">
        <v>4</v>
      </c>
      <c r="E873" s="36">
        <v>1038</v>
      </c>
      <c r="F873" s="35">
        <v>785</v>
      </c>
      <c r="G873" s="35">
        <v>253</v>
      </c>
      <c r="H873" s="1" t="s">
        <v>2</v>
      </c>
      <c r="I873" s="1"/>
      <c r="J873" s="1"/>
      <c r="K873" s="1"/>
      <c r="AA873" s="1"/>
    </row>
    <row r="874" spans="1:27" x14ac:dyDescent="0.25">
      <c r="A874" t="s">
        <v>82</v>
      </c>
      <c r="B874" t="str">
        <f t="shared" si="15"/>
        <v>20</v>
      </c>
      <c r="C874" s="35">
        <v>1994</v>
      </c>
      <c r="D874" s="35">
        <v>1944</v>
      </c>
      <c r="E874" s="35">
        <v>1</v>
      </c>
      <c r="F874" s="35">
        <v>1</v>
      </c>
      <c r="G874" s="1" t="s">
        <v>2</v>
      </c>
      <c r="H874" s="1" t="s">
        <v>2</v>
      </c>
      <c r="I874" s="1"/>
      <c r="J874" s="1"/>
      <c r="K874" s="1"/>
      <c r="AA874" s="1"/>
    </row>
    <row r="875" spans="1:27" x14ac:dyDescent="0.25">
      <c r="A875" t="s">
        <v>82</v>
      </c>
      <c r="B875" t="str">
        <f t="shared" si="15"/>
        <v>20</v>
      </c>
      <c r="C875" s="35">
        <v>1994</v>
      </c>
      <c r="D875" s="35">
        <v>1993</v>
      </c>
      <c r="E875" s="35">
        <v>4</v>
      </c>
      <c r="F875" s="35">
        <v>2</v>
      </c>
      <c r="G875" s="35">
        <v>2</v>
      </c>
      <c r="H875" s="1" t="s">
        <v>2</v>
      </c>
      <c r="I875" s="1"/>
      <c r="J875" s="1"/>
      <c r="K875" s="1"/>
      <c r="AA875" s="1"/>
    </row>
    <row r="876" spans="1:27" x14ac:dyDescent="0.25">
      <c r="A876" t="s">
        <v>82</v>
      </c>
      <c r="B876" t="str">
        <f t="shared" si="15"/>
        <v>20</v>
      </c>
      <c r="C876" s="35">
        <v>1994</v>
      </c>
      <c r="D876" s="35">
        <v>1994</v>
      </c>
      <c r="E876" s="36">
        <v>1033</v>
      </c>
      <c r="F876" s="35">
        <v>782</v>
      </c>
      <c r="G876" s="35">
        <v>251</v>
      </c>
      <c r="H876" s="1" t="s">
        <v>2</v>
      </c>
      <c r="I876" s="1"/>
      <c r="J876" s="1"/>
      <c r="K876" s="1"/>
      <c r="AA876" s="1"/>
    </row>
    <row r="877" spans="1:27" x14ac:dyDescent="0.25">
      <c r="A877" t="s">
        <v>82</v>
      </c>
      <c r="B877" t="str">
        <f t="shared" si="15"/>
        <v>20</v>
      </c>
      <c r="C877" s="35">
        <v>1995</v>
      </c>
      <c r="D877" s="1" t="s">
        <v>4</v>
      </c>
      <c r="E877" s="36">
        <v>1081</v>
      </c>
      <c r="F877" s="35">
        <v>828</v>
      </c>
      <c r="G877" s="35">
        <v>253</v>
      </c>
      <c r="H877" s="1" t="s">
        <v>2</v>
      </c>
      <c r="I877" s="1"/>
      <c r="J877" s="1"/>
      <c r="K877" s="1"/>
      <c r="AA877" s="1"/>
    </row>
    <row r="878" spans="1:27" x14ac:dyDescent="0.25">
      <c r="A878" t="s">
        <v>82</v>
      </c>
      <c r="B878" t="str">
        <f t="shared" si="15"/>
        <v>20</v>
      </c>
      <c r="C878" s="35">
        <v>1995</v>
      </c>
      <c r="D878" s="35">
        <v>1905</v>
      </c>
      <c r="E878" s="35">
        <v>1</v>
      </c>
      <c r="F878" s="35">
        <v>1</v>
      </c>
      <c r="G878" s="1" t="s">
        <v>2</v>
      </c>
      <c r="H878" s="1" t="s">
        <v>2</v>
      </c>
      <c r="I878" s="1"/>
      <c r="J878" s="1"/>
      <c r="K878" s="1"/>
      <c r="AA878" s="1"/>
    </row>
    <row r="879" spans="1:27" x14ac:dyDescent="0.25">
      <c r="A879" t="s">
        <v>82</v>
      </c>
      <c r="B879" t="str">
        <f t="shared" si="15"/>
        <v>20</v>
      </c>
      <c r="C879" s="35">
        <v>1995</v>
      </c>
      <c r="D879" s="35">
        <v>1951</v>
      </c>
      <c r="E879" s="35">
        <v>1</v>
      </c>
      <c r="F879" s="35">
        <v>1</v>
      </c>
      <c r="G879" s="1" t="s">
        <v>2</v>
      </c>
      <c r="H879" s="1" t="s">
        <v>2</v>
      </c>
      <c r="I879" s="1"/>
      <c r="J879" s="1"/>
      <c r="K879" s="1"/>
      <c r="AA879" s="1"/>
    </row>
    <row r="880" spans="1:27" x14ac:dyDescent="0.25">
      <c r="A880" t="s">
        <v>82</v>
      </c>
      <c r="B880" t="str">
        <f t="shared" si="15"/>
        <v>20</v>
      </c>
      <c r="C880" s="35">
        <v>1995</v>
      </c>
      <c r="D880" s="35">
        <v>1973</v>
      </c>
      <c r="E880" s="35">
        <v>1</v>
      </c>
      <c r="F880" s="35">
        <v>1</v>
      </c>
      <c r="G880" s="1" t="s">
        <v>2</v>
      </c>
      <c r="H880" s="1" t="s">
        <v>2</v>
      </c>
      <c r="I880" s="1"/>
      <c r="J880" s="1"/>
      <c r="K880" s="1"/>
      <c r="AA880" s="1"/>
    </row>
    <row r="881" spans="1:27" x14ac:dyDescent="0.25">
      <c r="A881" t="s">
        <v>82</v>
      </c>
      <c r="B881" t="str">
        <f t="shared" si="15"/>
        <v>20</v>
      </c>
      <c r="C881" s="35">
        <v>1995</v>
      </c>
      <c r="D881" s="35">
        <v>1975</v>
      </c>
      <c r="E881" s="35">
        <v>1</v>
      </c>
      <c r="F881" s="1" t="s">
        <v>2</v>
      </c>
      <c r="G881" s="35">
        <v>1</v>
      </c>
      <c r="H881" s="1" t="s">
        <v>2</v>
      </c>
      <c r="I881" s="1"/>
      <c r="J881" s="1"/>
      <c r="K881" s="1"/>
      <c r="AA881" s="1"/>
    </row>
    <row r="882" spans="1:27" x14ac:dyDescent="0.25">
      <c r="A882" t="s">
        <v>82</v>
      </c>
      <c r="B882" t="str">
        <f t="shared" si="15"/>
        <v>20</v>
      </c>
      <c r="C882" s="35">
        <v>1995</v>
      </c>
      <c r="D882" s="35">
        <v>1991</v>
      </c>
      <c r="E882" s="35">
        <v>1</v>
      </c>
      <c r="F882" s="35">
        <v>1</v>
      </c>
      <c r="G882" s="1" t="s">
        <v>2</v>
      </c>
      <c r="H882" s="1" t="s">
        <v>2</v>
      </c>
      <c r="I882" s="1"/>
      <c r="J882" s="1"/>
      <c r="K882" s="1"/>
      <c r="AA882" s="1"/>
    </row>
    <row r="883" spans="1:27" x14ac:dyDescent="0.25">
      <c r="A883" t="s">
        <v>82</v>
      </c>
      <c r="B883" t="str">
        <f t="shared" si="15"/>
        <v>20</v>
      </c>
      <c r="C883" s="35">
        <v>1995</v>
      </c>
      <c r="D883" s="35">
        <v>1994</v>
      </c>
      <c r="E883" s="35">
        <v>14</v>
      </c>
      <c r="F883" s="35">
        <v>8</v>
      </c>
      <c r="G883" s="35">
        <v>6</v>
      </c>
      <c r="H883" s="1" t="s">
        <v>2</v>
      </c>
      <c r="I883" s="1"/>
      <c r="J883" s="1"/>
      <c r="K883" s="1"/>
      <c r="AA883" s="1"/>
    </row>
    <row r="884" spans="1:27" x14ac:dyDescent="0.25">
      <c r="A884" t="s">
        <v>82</v>
      </c>
      <c r="B884" t="str">
        <f t="shared" si="15"/>
        <v>20</v>
      </c>
      <c r="C884" s="35">
        <v>1995</v>
      </c>
      <c r="D884" s="35">
        <v>1995</v>
      </c>
      <c r="E884" s="36">
        <v>1062</v>
      </c>
      <c r="F884" s="35">
        <v>816</v>
      </c>
      <c r="G884" s="35">
        <v>246</v>
      </c>
      <c r="H884" s="1" t="s">
        <v>2</v>
      </c>
      <c r="I884" s="1"/>
      <c r="J884" s="1"/>
      <c r="K884" s="1"/>
      <c r="AA884" s="1"/>
    </row>
    <row r="885" spans="1:27" x14ac:dyDescent="0.25">
      <c r="A885" t="s">
        <v>82</v>
      </c>
      <c r="B885" t="str">
        <f t="shared" si="15"/>
        <v>20</v>
      </c>
      <c r="C885" s="35">
        <v>1996</v>
      </c>
      <c r="D885" s="1" t="s">
        <v>4</v>
      </c>
      <c r="E885" s="36">
        <v>1027</v>
      </c>
      <c r="F885" s="35">
        <v>795</v>
      </c>
      <c r="G885" s="35">
        <v>232</v>
      </c>
      <c r="H885" s="1" t="s">
        <v>2</v>
      </c>
      <c r="I885" s="1"/>
      <c r="J885" s="1"/>
      <c r="K885" s="1"/>
      <c r="AA885" s="1"/>
    </row>
    <row r="886" spans="1:27" x14ac:dyDescent="0.25">
      <c r="A886" t="s">
        <v>82</v>
      </c>
      <c r="B886" t="str">
        <f t="shared" si="15"/>
        <v>20</v>
      </c>
      <c r="C886" s="35">
        <v>1996</v>
      </c>
      <c r="D886" s="35">
        <v>1995</v>
      </c>
      <c r="E886" s="35">
        <v>7</v>
      </c>
      <c r="F886" s="35">
        <v>5</v>
      </c>
      <c r="G886" s="35">
        <v>2</v>
      </c>
      <c r="H886" s="1" t="s">
        <v>2</v>
      </c>
      <c r="I886" s="1"/>
      <c r="J886" s="1"/>
      <c r="K886" s="1"/>
      <c r="AA886" s="1"/>
    </row>
    <row r="887" spans="1:27" x14ac:dyDescent="0.25">
      <c r="A887" t="s">
        <v>82</v>
      </c>
      <c r="B887" t="str">
        <f t="shared" si="15"/>
        <v>20</v>
      </c>
      <c r="C887" s="35">
        <v>1996</v>
      </c>
      <c r="D887" s="35">
        <v>1996</v>
      </c>
      <c r="E887" s="36">
        <v>1020</v>
      </c>
      <c r="F887" s="35">
        <v>790</v>
      </c>
      <c r="G887" s="35">
        <v>230</v>
      </c>
      <c r="H887" s="1" t="s">
        <v>2</v>
      </c>
      <c r="I887" s="1"/>
      <c r="J887" s="1"/>
      <c r="K887" s="1"/>
      <c r="AA887" s="1"/>
    </row>
    <row r="888" spans="1:27" x14ac:dyDescent="0.25">
      <c r="A888" t="s">
        <v>82</v>
      </c>
      <c r="B888" t="str">
        <f t="shared" si="15"/>
        <v>20</v>
      </c>
      <c r="C888" s="35">
        <v>1997</v>
      </c>
      <c r="D888" s="1" t="s">
        <v>4</v>
      </c>
      <c r="E888" s="35">
        <v>965</v>
      </c>
      <c r="F888" s="35">
        <v>748</v>
      </c>
      <c r="G888" s="35">
        <v>217</v>
      </c>
      <c r="H888" s="1" t="s">
        <v>2</v>
      </c>
      <c r="I888" s="1"/>
      <c r="J888" s="1"/>
      <c r="K888" s="1"/>
      <c r="AA888" s="1"/>
    </row>
    <row r="889" spans="1:27" x14ac:dyDescent="0.25">
      <c r="A889" t="s">
        <v>82</v>
      </c>
      <c r="B889" t="str">
        <f t="shared" si="15"/>
        <v>20</v>
      </c>
      <c r="C889" s="35">
        <v>1997</v>
      </c>
      <c r="D889" s="35">
        <v>1991</v>
      </c>
      <c r="E889" s="35">
        <v>1</v>
      </c>
      <c r="F889" s="35">
        <v>1</v>
      </c>
      <c r="G889" s="1" t="s">
        <v>2</v>
      </c>
      <c r="H889" s="1" t="s">
        <v>2</v>
      </c>
      <c r="I889" s="1"/>
      <c r="J889" s="1"/>
      <c r="K889" s="1"/>
      <c r="AA889" s="1"/>
    </row>
    <row r="890" spans="1:27" x14ac:dyDescent="0.25">
      <c r="A890" t="s">
        <v>82</v>
      </c>
      <c r="B890" t="str">
        <f t="shared" si="15"/>
        <v>20</v>
      </c>
      <c r="C890" s="35">
        <v>1997</v>
      </c>
      <c r="D890" s="35">
        <v>1996</v>
      </c>
      <c r="E890" s="35">
        <v>8</v>
      </c>
      <c r="F890" s="35">
        <v>7</v>
      </c>
      <c r="G890" s="35">
        <v>1</v>
      </c>
      <c r="H890" s="1" t="s">
        <v>2</v>
      </c>
      <c r="I890" s="1"/>
      <c r="J890" s="1"/>
      <c r="K890" s="1"/>
      <c r="AA890" s="1"/>
    </row>
    <row r="891" spans="1:27" x14ac:dyDescent="0.25">
      <c r="A891" t="s">
        <v>82</v>
      </c>
      <c r="B891" t="str">
        <f t="shared" si="15"/>
        <v>20</v>
      </c>
      <c r="C891" s="35">
        <v>1997</v>
      </c>
      <c r="D891" s="35">
        <v>1997</v>
      </c>
      <c r="E891" s="35">
        <v>955</v>
      </c>
      <c r="F891" s="35">
        <v>739</v>
      </c>
      <c r="G891" s="35">
        <v>216</v>
      </c>
      <c r="H891" s="1" t="s">
        <v>2</v>
      </c>
      <c r="I891" s="1"/>
      <c r="J891" s="1"/>
      <c r="K891" s="1"/>
      <c r="AA891" s="1"/>
    </row>
    <row r="892" spans="1:27" x14ac:dyDescent="0.25">
      <c r="A892" t="s">
        <v>82</v>
      </c>
      <c r="B892" t="str">
        <f t="shared" si="15"/>
        <v>20</v>
      </c>
      <c r="C892" s="35">
        <v>1997</v>
      </c>
      <c r="D892" s="1" t="s">
        <v>24</v>
      </c>
      <c r="E892" s="35">
        <v>1</v>
      </c>
      <c r="F892" s="35">
        <v>1</v>
      </c>
      <c r="G892" s="1" t="s">
        <v>2</v>
      </c>
      <c r="H892" s="1" t="s">
        <v>2</v>
      </c>
      <c r="I892" s="1"/>
      <c r="J892" s="1"/>
      <c r="K892" s="1"/>
      <c r="AA892" s="1"/>
    </row>
    <row r="893" spans="1:27" x14ac:dyDescent="0.25">
      <c r="A893" t="s">
        <v>82</v>
      </c>
      <c r="B893" t="str">
        <f t="shared" si="15"/>
        <v>20</v>
      </c>
      <c r="C893" s="35">
        <v>1998</v>
      </c>
      <c r="D893" s="1" t="s">
        <v>4</v>
      </c>
      <c r="E893" s="35">
        <v>946</v>
      </c>
      <c r="F893" s="35">
        <v>695</v>
      </c>
      <c r="G893" s="35">
        <v>251</v>
      </c>
      <c r="H893" s="1" t="s">
        <v>2</v>
      </c>
      <c r="I893" s="1"/>
      <c r="J893" s="1"/>
      <c r="K893" s="1"/>
      <c r="AA893" s="1"/>
    </row>
    <row r="894" spans="1:27" x14ac:dyDescent="0.25">
      <c r="A894" t="s">
        <v>82</v>
      </c>
      <c r="B894" t="str">
        <f t="shared" si="15"/>
        <v>20</v>
      </c>
      <c r="C894" s="35">
        <v>1998</v>
      </c>
      <c r="D894" s="35">
        <v>1900</v>
      </c>
      <c r="E894" s="35">
        <v>1</v>
      </c>
      <c r="F894" s="35">
        <v>1</v>
      </c>
      <c r="G894" s="1" t="s">
        <v>2</v>
      </c>
      <c r="H894" s="1" t="s">
        <v>2</v>
      </c>
      <c r="I894" s="1"/>
      <c r="J894" s="1"/>
      <c r="K894" s="1"/>
      <c r="AA894" s="1"/>
    </row>
    <row r="895" spans="1:27" x14ac:dyDescent="0.25">
      <c r="A895" t="s">
        <v>82</v>
      </c>
      <c r="B895" t="str">
        <f t="shared" si="15"/>
        <v>20</v>
      </c>
      <c r="C895" s="35">
        <v>1998</v>
      </c>
      <c r="D895" s="35">
        <v>1997</v>
      </c>
      <c r="E895" s="35">
        <v>4</v>
      </c>
      <c r="F895" s="35">
        <v>2</v>
      </c>
      <c r="G895" s="35">
        <v>2</v>
      </c>
      <c r="H895" s="1" t="s">
        <v>2</v>
      </c>
      <c r="I895" s="1"/>
      <c r="J895" s="1"/>
      <c r="K895" s="1"/>
      <c r="AA895" s="1"/>
    </row>
    <row r="896" spans="1:27" x14ac:dyDescent="0.25">
      <c r="A896" t="s">
        <v>82</v>
      </c>
      <c r="B896" t="str">
        <f t="shared" si="15"/>
        <v>20</v>
      </c>
      <c r="C896" s="35">
        <v>1998</v>
      </c>
      <c r="D896" s="35">
        <v>1998</v>
      </c>
      <c r="E896" s="35">
        <v>941</v>
      </c>
      <c r="F896" s="35">
        <v>692</v>
      </c>
      <c r="G896" s="35">
        <v>249</v>
      </c>
      <c r="H896" s="1" t="s">
        <v>2</v>
      </c>
      <c r="I896" s="1"/>
      <c r="J896" s="1"/>
      <c r="K896" s="1"/>
      <c r="AA896" s="1"/>
    </row>
    <row r="897" spans="1:27" x14ac:dyDescent="0.25">
      <c r="A897" t="s">
        <v>82</v>
      </c>
      <c r="B897" t="str">
        <f t="shared" si="15"/>
        <v>20</v>
      </c>
      <c r="C897" s="35">
        <v>1999</v>
      </c>
      <c r="D897" s="1" t="s">
        <v>4</v>
      </c>
      <c r="E897" s="35">
        <v>808</v>
      </c>
      <c r="F897" s="35">
        <v>601</v>
      </c>
      <c r="G897" s="35">
        <v>207</v>
      </c>
      <c r="H897" s="1" t="s">
        <v>2</v>
      </c>
      <c r="I897" s="1"/>
      <c r="J897" s="1"/>
      <c r="K897" s="1"/>
      <c r="AA897" s="1"/>
    </row>
    <row r="898" spans="1:27" x14ac:dyDescent="0.25">
      <c r="A898" t="s">
        <v>82</v>
      </c>
      <c r="B898" t="str">
        <f t="shared" si="15"/>
        <v>20</v>
      </c>
      <c r="C898" s="35">
        <v>1999</v>
      </c>
      <c r="D898" s="35">
        <v>1998</v>
      </c>
      <c r="E898" s="35">
        <v>2</v>
      </c>
      <c r="F898" s="35">
        <v>1</v>
      </c>
      <c r="G898" s="35">
        <v>1</v>
      </c>
      <c r="H898" s="1" t="s">
        <v>2</v>
      </c>
      <c r="I898" s="1"/>
      <c r="J898" s="1"/>
      <c r="K898" s="1"/>
      <c r="AA898" s="1"/>
    </row>
    <row r="899" spans="1:27" x14ac:dyDescent="0.25">
      <c r="A899" t="s">
        <v>82</v>
      </c>
      <c r="B899" t="str">
        <f t="shared" si="15"/>
        <v>20</v>
      </c>
      <c r="C899" s="35">
        <v>1999</v>
      </c>
      <c r="D899" s="35">
        <v>1999</v>
      </c>
      <c r="E899" s="35">
        <v>806</v>
      </c>
      <c r="F899" s="35">
        <v>600</v>
      </c>
      <c r="G899" s="35">
        <v>206</v>
      </c>
      <c r="H899" s="1" t="s">
        <v>2</v>
      </c>
      <c r="I899" s="1"/>
      <c r="J899" s="1"/>
      <c r="K899" s="1"/>
      <c r="AA899" s="1"/>
    </row>
    <row r="900" spans="1:27" x14ac:dyDescent="0.25">
      <c r="A900" t="s">
        <v>82</v>
      </c>
      <c r="B900" t="str">
        <f t="shared" si="15"/>
        <v>20</v>
      </c>
      <c r="C900" s="35">
        <v>2000</v>
      </c>
      <c r="D900" s="1" t="s">
        <v>4</v>
      </c>
      <c r="E900" s="35">
        <v>754</v>
      </c>
      <c r="F900" s="35">
        <v>544</v>
      </c>
      <c r="G900" s="35">
        <v>210</v>
      </c>
      <c r="H900" s="1" t="s">
        <v>2</v>
      </c>
      <c r="I900" s="1"/>
      <c r="J900" s="1"/>
      <c r="K900" s="1"/>
      <c r="AA900" s="1"/>
    </row>
    <row r="901" spans="1:27" x14ac:dyDescent="0.25">
      <c r="A901" t="s">
        <v>82</v>
      </c>
      <c r="B901" t="str">
        <f t="shared" si="15"/>
        <v>20</v>
      </c>
      <c r="C901" s="35">
        <v>2000</v>
      </c>
      <c r="D901" s="35">
        <v>1999</v>
      </c>
      <c r="E901" s="35">
        <v>7</v>
      </c>
      <c r="F901" s="35">
        <v>4</v>
      </c>
      <c r="G901" s="35">
        <v>3</v>
      </c>
      <c r="H901" s="1" t="s">
        <v>2</v>
      </c>
      <c r="I901" s="1"/>
      <c r="J901" s="1"/>
      <c r="K901" s="1"/>
      <c r="AA901" s="1"/>
    </row>
    <row r="902" spans="1:27" x14ac:dyDescent="0.25">
      <c r="A902" t="s">
        <v>82</v>
      </c>
      <c r="B902" t="str">
        <f t="shared" si="15"/>
        <v>20</v>
      </c>
      <c r="C902" s="35">
        <v>2000</v>
      </c>
      <c r="D902" s="35">
        <v>2000</v>
      </c>
      <c r="E902" s="35">
        <v>747</v>
      </c>
      <c r="F902" s="35">
        <v>540</v>
      </c>
      <c r="G902" s="35">
        <v>207</v>
      </c>
      <c r="H902" s="1" t="s">
        <v>2</v>
      </c>
      <c r="I902" s="1"/>
      <c r="J902" s="1"/>
      <c r="K902" s="1"/>
      <c r="AA902" s="1"/>
    </row>
    <row r="903" spans="1:27" x14ac:dyDescent="0.25">
      <c r="A903" t="s">
        <v>82</v>
      </c>
      <c r="B903" t="str">
        <f t="shared" ref="B903:B966" si="16">IF(A903="Menores de 1 año",0,LEFT(A903,2))</f>
        <v>20</v>
      </c>
      <c r="C903" s="35">
        <v>2001</v>
      </c>
      <c r="D903" s="1" t="s">
        <v>4</v>
      </c>
      <c r="E903" s="35">
        <v>845</v>
      </c>
      <c r="F903" s="35">
        <v>588</v>
      </c>
      <c r="G903" s="35">
        <v>257</v>
      </c>
      <c r="H903" s="1" t="s">
        <v>2</v>
      </c>
      <c r="I903" s="1"/>
      <c r="J903" s="1"/>
      <c r="K903" s="1"/>
      <c r="AA903" s="1"/>
    </row>
    <row r="904" spans="1:27" x14ac:dyDescent="0.25">
      <c r="A904" t="s">
        <v>82</v>
      </c>
      <c r="B904" t="str">
        <f t="shared" si="16"/>
        <v>20</v>
      </c>
      <c r="C904" s="35">
        <v>2001</v>
      </c>
      <c r="D904" s="35">
        <v>2000</v>
      </c>
      <c r="E904" s="35">
        <v>3</v>
      </c>
      <c r="F904" s="35">
        <v>3</v>
      </c>
      <c r="G904" s="1" t="s">
        <v>2</v>
      </c>
      <c r="H904" s="1" t="s">
        <v>2</v>
      </c>
      <c r="I904" s="1"/>
      <c r="J904" s="1"/>
      <c r="K904" s="1"/>
      <c r="AA904" s="1"/>
    </row>
    <row r="905" spans="1:27" x14ac:dyDescent="0.25">
      <c r="A905" t="s">
        <v>82</v>
      </c>
      <c r="B905" t="str">
        <f t="shared" si="16"/>
        <v>20</v>
      </c>
      <c r="C905" s="35">
        <v>2001</v>
      </c>
      <c r="D905" s="35">
        <v>2001</v>
      </c>
      <c r="E905" s="35">
        <v>842</v>
      </c>
      <c r="F905" s="35">
        <v>585</v>
      </c>
      <c r="G905" s="35">
        <v>257</v>
      </c>
      <c r="H905" s="1" t="s">
        <v>2</v>
      </c>
      <c r="I905" s="1"/>
      <c r="J905" s="1"/>
      <c r="K905" s="1"/>
      <c r="AA905" s="1"/>
    </row>
    <row r="906" spans="1:27" x14ac:dyDescent="0.25">
      <c r="A906" t="s">
        <v>82</v>
      </c>
      <c r="B906" t="str">
        <f t="shared" si="16"/>
        <v>20</v>
      </c>
      <c r="C906" s="35">
        <v>2002</v>
      </c>
      <c r="D906" s="1" t="s">
        <v>4</v>
      </c>
      <c r="E906" s="35">
        <v>750</v>
      </c>
      <c r="F906" s="35">
        <v>556</v>
      </c>
      <c r="G906" s="35">
        <v>194</v>
      </c>
      <c r="H906" s="1" t="s">
        <v>2</v>
      </c>
      <c r="I906" s="1"/>
      <c r="J906" s="1"/>
      <c r="K906" s="1"/>
      <c r="AA906" s="1"/>
    </row>
    <row r="907" spans="1:27" x14ac:dyDescent="0.25">
      <c r="A907" t="s">
        <v>82</v>
      </c>
      <c r="B907" t="str">
        <f t="shared" si="16"/>
        <v>20</v>
      </c>
      <c r="C907" s="35">
        <v>2002</v>
      </c>
      <c r="D907" s="35">
        <v>1992</v>
      </c>
      <c r="E907" s="35">
        <v>1</v>
      </c>
      <c r="F907" s="35">
        <v>1</v>
      </c>
      <c r="G907" s="1" t="s">
        <v>2</v>
      </c>
      <c r="H907" s="1" t="s">
        <v>2</v>
      </c>
      <c r="I907" s="1"/>
      <c r="J907" s="1"/>
      <c r="K907" s="1"/>
      <c r="AA907" s="1"/>
    </row>
    <row r="908" spans="1:27" x14ac:dyDescent="0.25">
      <c r="A908" t="s">
        <v>82</v>
      </c>
      <c r="B908" t="str">
        <f t="shared" si="16"/>
        <v>20</v>
      </c>
      <c r="C908" s="35">
        <v>2002</v>
      </c>
      <c r="D908" s="35">
        <v>2001</v>
      </c>
      <c r="E908" s="35">
        <v>4</v>
      </c>
      <c r="F908" s="35">
        <v>2</v>
      </c>
      <c r="G908" s="35">
        <v>2</v>
      </c>
      <c r="H908" s="1" t="s">
        <v>2</v>
      </c>
      <c r="I908" s="1"/>
      <c r="J908" s="1"/>
      <c r="K908" s="1"/>
      <c r="AA908" s="1"/>
    </row>
    <row r="909" spans="1:27" x14ac:dyDescent="0.25">
      <c r="A909" t="s">
        <v>82</v>
      </c>
      <c r="B909" t="str">
        <f t="shared" si="16"/>
        <v>20</v>
      </c>
      <c r="C909" s="35">
        <v>2002</v>
      </c>
      <c r="D909" s="35">
        <v>2002</v>
      </c>
      <c r="E909" s="35">
        <v>745</v>
      </c>
      <c r="F909" s="35">
        <v>553</v>
      </c>
      <c r="G909" s="35">
        <v>192</v>
      </c>
      <c r="H909" s="1" t="s">
        <v>2</v>
      </c>
      <c r="I909" s="1"/>
      <c r="J909" s="1"/>
      <c r="K909" s="1"/>
      <c r="AA909" s="1"/>
    </row>
    <row r="910" spans="1:27" x14ac:dyDescent="0.25">
      <c r="A910" t="s">
        <v>82</v>
      </c>
      <c r="B910" t="str">
        <f t="shared" si="16"/>
        <v>20</v>
      </c>
      <c r="C910" s="35">
        <v>2003</v>
      </c>
      <c r="D910" s="1" t="s">
        <v>4</v>
      </c>
      <c r="E910" s="35">
        <v>732</v>
      </c>
      <c r="F910" s="35">
        <v>538</v>
      </c>
      <c r="G910" s="35">
        <v>194</v>
      </c>
      <c r="H910" s="1" t="s">
        <v>2</v>
      </c>
      <c r="I910" s="1"/>
      <c r="J910" s="1"/>
      <c r="K910" s="1"/>
      <c r="AA910" s="1"/>
    </row>
    <row r="911" spans="1:27" x14ac:dyDescent="0.25">
      <c r="A911" t="s">
        <v>82</v>
      </c>
      <c r="B911" t="str">
        <f t="shared" si="16"/>
        <v>20</v>
      </c>
      <c r="C911" s="35">
        <v>2003</v>
      </c>
      <c r="D911" s="35">
        <v>2001</v>
      </c>
      <c r="E911" s="35">
        <v>2</v>
      </c>
      <c r="F911" s="35">
        <v>1</v>
      </c>
      <c r="G911" s="35">
        <v>1</v>
      </c>
      <c r="H911" s="1" t="s">
        <v>2</v>
      </c>
      <c r="I911" s="1"/>
      <c r="J911" s="1"/>
      <c r="K911" s="1"/>
      <c r="AA911" s="1"/>
    </row>
    <row r="912" spans="1:27" x14ac:dyDescent="0.25">
      <c r="A912" t="s">
        <v>82</v>
      </c>
      <c r="B912" t="str">
        <f t="shared" si="16"/>
        <v>20</v>
      </c>
      <c r="C912" s="35">
        <v>2003</v>
      </c>
      <c r="D912" s="35">
        <v>2002</v>
      </c>
      <c r="E912" s="35">
        <v>7</v>
      </c>
      <c r="F912" s="35">
        <v>4</v>
      </c>
      <c r="G912" s="35">
        <v>3</v>
      </c>
      <c r="H912" s="1" t="s">
        <v>2</v>
      </c>
      <c r="I912" s="1"/>
      <c r="J912" s="1"/>
      <c r="K912" s="1"/>
      <c r="AA912" s="1"/>
    </row>
    <row r="913" spans="1:27" x14ac:dyDescent="0.25">
      <c r="A913" t="s">
        <v>82</v>
      </c>
      <c r="B913" t="str">
        <f t="shared" si="16"/>
        <v>20</v>
      </c>
      <c r="C913" s="35">
        <v>2003</v>
      </c>
      <c r="D913" s="35">
        <v>2003</v>
      </c>
      <c r="E913" s="35">
        <v>723</v>
      </c>
      <c r="F913" s="35">
        <v>533</v>
      </c>
      <c r="G913" s="35">
        <v>190</v>
      </c>
      <c r="H913" s="1" t="s">
        <v>2</v>
      </c>
      <c r="I913" s="1"/>
      <c r="J913" s="1"/>
      <c r="K913" s="1"/>
      <c r="AA913" s="1"/>
    </row>
    <row r="914" spans="1:27" x14ac:dyDescent="0.25">
      <c r="A914" t="s">
        <v>82</v>
      </c>
      <c r="B914" t="str">
        <f t="shared" si="16"/>
        <v>20</v>
      </c>
      <c r="C914" s="35">
        <v>2004</v>
      </c>
      <c r="D914" s="1" t="s">
        <v>4</v>
      </c>
      <c r="E914" s="35">
        <v>714</v>
      </c>
      <c r="F914" s="35">
        <v>505</v>
      </c>
      <c r="G914" s="35">
        <v>209</v>
      </c>
      <c r="H914" s="1" t="s">
        <v>2</v>
      </c>
      <c r="I914" s="1"/>
      <c r="J914" s="1"/>
      <c r="K914" s="1"/>
      <c r="AA914" s="1"/>
    </row>
    <row r="915" spans="1:27" x14ac:dyDescent="0.25">
      <c r="A915" t="s">
        <v>82</v>
      </c>
      <c r="B915" t="str">
        <f t="shared" si="16"/>
        <v>20</v>
      </c>
      <c r="C915" s="35">
        <v>2004</v>
      </c>
      <c r="D915" s="35">
        <v>2001</v>
      </c>
      <c r="E915" s="35">
        <v>1</v>
      </c>
      <c r="F915" s="35">
        <v>1</v>
      </c>
      <c r="G915" s="1" t="s">
        <v>2</v>
      </c>
      <c r="H915" s="1" t="s">
        <v>2</v>
      </c>
      <c r="I915" s="1"/>
      <c r="J915" s="1"/>
      <c r="K915" s="1"/>
      <c r="AA915" s="1"/>
    </row>
    <row r="916" spans="1:27" x14ac:dyDescent="0.25">
      <c r="A916" t="s">
        <v>82</v>
      </c>
      <c r="B916" t="str">
        <f t="shared" si="16"/>
        <v>20</v>
      </c>
      <c r="C916" s="35">
        <v>2004</v>
      </c>
      <c r="D916" s="35">
        <v>2003</v>
      </c>
      <c r="E916" s="35">
        <v>6</v>
      </c>
      <c r="F916" s="35">
        <v>5</v>
      </c>
      <c r="G916" s="35">
        <v>1</v>
      </c>
      <c r="H916" s="1" t="s">
        <v>2</v>
      </c>
      <c r="I916" s="1"/>
      <c r="J916" s="1"/>
      <c r="K916" s="1"/>
      <c r="AA916" s="1"/>
    </row>
    <row r="917" spans="1:27" x14ac:dyDescent="0.25">
      <c r="A917" t="s">
        <v>82</v>
      </c>
      <c r="B917" t="str">
        <f t="shared" si="16"/>
        <v>20</v>
      </c>
      <c r="C917" s="35">
        <v>2004</v>
      </c>
      <c r="D917" s="35">
        <v>2004</v>
      </c>
      <c r="E917" s="35">
        <v>707</v>
      </c>
      <c r="F917" s="35">
        <v>499</v>
      </c>
      <c r="G917" s="35">
        <v>208</v>
      </c>
      <c r="H917" s="1" t="s">
        <v>2</v>
      </c>
      <c r="I917" s="1"/>
      <c r="J917" s="1"/>
      <c r="K917" s="1"/>
      <c r="AA917" s="1"/>
    </row>
    <row r="918" spans="1:27" x14ac:dyDescent="0.25">
      <c r="A918" t="s">
        <v>82</v>
      </c>
      <c r="B918" t="str">
        <f t="shared" si="16"/>
        <v>20</v>
      </c>
      <c r="C918" s="35">
        <v>2005</v>
      </c>
      <c r="D918" s="1" t="s">
        <v>4</v>
      </c>
      <c r="E918" s="35">
        <v>699</v>
      </c>
      <c r="F918" s="35">
        <v>516</v>
      </c>
      <c r="G918" s="35">
        <v>183</v>
      </c>
      <c r="H918" s="1" t="s">
        <v>2</v>
      </c>
      <c r="I918" s="1"/>
      <c r="J918" s="1"/>
      <c r="K918" s="1"/>
      <c r="AA918" s="1"/>
    </row>
    <row r="919" spans="1:27" x14ac:dyDescent="0.25">
      <c r="A919" t="s">
        <v>82</v>
      </c>
      <c r="B919" t="str">
        <f t="shared" si="16"/>
        <v>20</v>
      </c>
      <c r="C919" s="35">
        <v>2005</v>
      </c>
      <c r="D919" s="35">
        <v>2004</v>
      </c>
      <c r="E919" s="35">
        <v>1</v>
      </c>
      <c r="F919" s="35">
        <v>1</v>
      </c>
      <c r="G919" s="1" t="s">
        <v>2</v>
      </c>
      <c r="H919" s="1" t="s">
        <v>2</v>
      </c>
      <c r="I919" s="1"/>
      <c r="J919" s="1"/>
      <c r="K919" s="1"/>
      <c r="AA919" s="1"/>
    </row>
    <row r="920" spans="1:27" x14ac:dyDescent="0.25">
      <c r="A920" t="s">
        <v>82</v>
      </c>
      <c r="B920" t="str">
        <f t="shared" si="16"/>
        <v>20</v>
      </c>
      <c r="C920" s="35">
        <v>2005</v>
      </c>
      <c r="D920" s="35">
        <v>2005</v>
      </c>
      <c r="E920" s="35">
        <v>698</v>
      </c>
      <c r="F920" s="35">
        <v>515</v>
      </c>
      <c r="G920" s="35">
        <v>183</v>
      </c>
      <c r="H920" s="1" t="s">
        <v>2</v>
      </c>
      <c r="I920" s="1"/>
      <c r="J920" s="1"/>
      <c r="K920" s="1"/>
      <c r="AA920" s="1"/>
    </row>
    <row r="921" spans="1:27" x14ac:dyDescent="0.25">
      <c r="A921" t="s">
        <v>82</v>
      </c>
      <c r="B921" t="str">
        <f t="shared" si="16"/>
        <v>20</v>
      </c>
      <c r="C921" s="35">
        <v>2006</v>
      </c>
      <c r="D921" s="1" t="s">
        <v>4</v>
      </c>
      <c r="E921" s="35">
        <v>696</v>
      </c>
      <c r="F921" s="35">
        <v>481</v>
      </c>
      <c r="G921" s="35">
        <v>215</v>
      </c>
      <c r="H921" s="1" t="s">
        <v>2</v>
      </c>
      <c r="I921" s="1"/>
      <c r="J921" s="1"/>
      <c r="K921" s="1"/>
      <c r="AA921" s="1"/>
    </row>
    <row r="922" spans="1:27" x14ac:dyDescent="0.25">
      <c r="A922" t="s">
        <v>82</v>
      </c>
      <c r="B922" t="str">
        <f t="shared" si="16"/>
        <v>20</v>
      </c>
      <c r="C922" s="35">
        <v>2006</v>
      </c>
      <c r="D922" s="35">
        <v>2005</v>
      </c>
      <c r="E922" s="35">
        <v>8</v>
      </c>
      <c r="F922" s="35">
        <v>7</v>
      </c>
      <c r="G922" s="35">
        <v>1</v>
      </c>
      <c r="H922" s="1" t="s">
        <v>2</v>
      </c>
      <c r="I922" s="1"/>
      <c r="J922" s="1"/>
      <c r="K922" s="1"/>
      <c r="AA922" s="1"/>
    </row>
    <row r="923" spans="1:27" x14ac:dyDescent="0.25">
      <c r="A923" t="s">
        <v>82</v>
      </c>
      <c r="B923" t="str">
        <f t="shared" si="16"/>
        <v>20</v>
      </c>
      <c r="C923" s="35">
        <v>2006</v>
      </c>
      <c r="D923" s="35">
        <v>2006</v>
      </c>
      <c r="E923" s="35">
        <v>688</v>
      </c>
      <c r="F923" s="35">
        <v>474</v>
      </c>
      <c r="G923" s="35">
        <v>214</v>
      </c>
      <c r="H923" s="1" t="s">
        <v>2</v>
      </c>
      <c r="I923" s="1"/>
      <c r="J923" s="1"/>
      <c r="K923" s="1"/>
      <c r="AA923" s="1"/>
    </row>
    <row r="924" spans="1:27" x14ac:dyDescent="0.25">
      <c r="A924" t="s">
        <v>82</v>
      </c>
      <c r="B924" t="str">
        <f t="shared" si="16"/>
        <v>20</v>
      </c>
      <c r="C924" s="35">
        <v>2007</v>
      </c>
      <c r="D924" s="1" t="s">
        <v>4</v>
      </c>
      <c r="E924" s="35">
        <v>711</v>
      </c>
      <c r="F924" s="35">
        <v>522</v>
      </c>
      <c r="G924" s="35">
        <v>189</v>
      </c>
      <c r="H924" s="1" t="s">
        <v>2</v>
      </c>
      <c r="I924" s="1"/>
      <c r="J924" s="1"/>
      <c r="K924" s="1"/>
      <c r="AA924" s="1"/>
    </row>
    <row r="925" spans="1:27" x14ac:dyDescent="0.25">
      <c r="A925" t="s">
        <v>82</v>
      </c>
      <c r="B925" t="str">
        <f t="shared" si="16"/>
        <v>20</v>
      </c>
      <c r="C925" s="35">
        <v>2007</v>
      </c>
      <c r="D925" s="35">
        <v>2006</v>
      </c>
      <c r="E925" s="35">
        <v>17</v>
      </c>
      <c r="F925" s="35">
        <v>14</v>
      </c>
      <c r="G925" s="35">
        <v>3</v>
      </c>
      <c r="H925" s="1" t="s">
        <v>2</v>
      </c>
      <c r="I925" s="1"/>
      <c r="J925" s="1"/>
      <c r="K925" s="1"/>
      <c r="AA925" s="1"/>
    </row>
    <row r="926" spans="1:27" x14ac:dyDescent="0.25">
      <c r="A926" t="s">
        <v>82</v>
      </c>
      <c r="B926" t="str">
        <f t="shared" si="16"/>
        <v>20</v>
      </c>
      <c r="C926" s="35">
        <v>2007</v>
      </c>
      <c r="D926" s="35">
        <v>2007</v>
      </c>
      <c r="E926" s="35">
        <v>694</v>
      </c>
      <c r="F926" s="35">
        <v>508</v>
      </c>
      <c r="G926" s="35">
        <v>186</v>
      </c>
      <c r="H926" s="1" t="s">
        <v>2</v>
      </c>
      <c r="I926" s="1"/>
      <c r="J926" s="1"/>
      <c r="K926" s="1"/>
      <c r="AA926" s="1"/>
    </row>
    <row r="927" spans="1:27" x14ac:dyDescent="0.25">
      <c r="A927" t="s">
        <v>82</v>
      </c>
      <c r="B927" t="str">
        <f t="shared" si="16"/>
        <v>20</v>
      </c>
      <c r="C927" s="35">
        <v>2008</v>
      </c>
      <c r="D927" s="1" t="s">
        <v>4</v>
      </c>
      <c r="E927" s="35">
        <v>698</v>
      </c>
      <c r="F927" s="35">
        <v>527</v>
      </c>
      <c r="G927" s="35">
        <v>171</v>
      </c>
      <c r="H927" s="1" t="s">
        <v>2</v>
      </c>
      <c r="I927" s="1"/>
      <c r="J927" s="1"/>
      <c r="K927" s="1"/>
      <c r="AA927" s="1"/>
    </row>
    <row r="928" spans="1:27" x14ac:dyDescent="0.25">
      <c r="A928" t="s">
        <v>82</v>
      </c>
      <c r="B928" t="str">
        <f t="shared" si="16"/>
        <v>20</v>
      </c>
      <c r="C928" s="35">
        <v>2008</v>
      </c>
      <c r="D928" s="35">
        <v>2004</v>
      </c>
      <c r="E928" s="35">
        <v>1</v>
      </c>
      <c r="F928" s="35">
        <v>1</v>
      </c>
      <c r="G928" s="1" t="s">
        <v>2</v>
      </c>
      <c r="H928" s="1" t="s">
        <v>2</v>
      </c>
      <c r="I928" s="1"/>
      <c r="J928" s="1"/>
      <c r="K928" s="1"/>
      <c r="AA928" s="1"/>
    </row>
    <row r="929" spans="1:27" x14ac:dyDescent="0.25">
      <c r="A929" t="s">
        <v>82</v>
      </c>
      <c r="B929" t="str">
        <f t="shared" si="16"/>
        <v>20</v>
      </c>
      <c r="C929" s="35">
        <v>2008</v>
      </c>
      <c r="D929" s="35">
        <v>2005</v>
      </c>
      <c r="E929" s="35">
        <v>2</v>
      </c>
      <c r="F929" s="1" t="s">
        <v>2</v>
      </c>
      <c r="G929" s="35">
        <v>2</v>
      </c>
      <c r="H929" s="1" t="s">
        <v>2</v>
      </c>
      <c r="I929" s="1"/>
      <c r="J929" s="1"/>
      <c r="K929" s="1"/>
      <c r="AA929" s="1"/>
    </row>
    <row r="930" spans="1:27" x14ac:dyDescent="0.25">
      <c r="A930" t="s">
        <v>82</v>
      </c>
      <c r="B930" t="str">
        <f t="shared" si="16"/>
        <v>20</v>
      </c>
      <c r="C930" s="35">
        <v>2008</v>
      </c>
      <c r="D930" s="35">
        <v>2007</v>
      </c>
      <c r="E930" s="35">
        <v>6</v>
      </c>
      <c r="F930" s="35">
        <v>5</v>
      </c>
      <c r="G930" s="35">
        <v>1</v>
      </c>
      <c r="H930" s="1" t="s">
        <v>2</v>
      </c>
      <c r="I930" s="1"/>
      <c r="J930" s="1"/>
      <c r="K930" s="1"/>
      <c r="AA930" s="1"/>
    </row>
    <row r="931" spans="1:27" x14ac:dyDescent="0.25">
      <c r="A931" t="s">
        <v>82</v>
      </c>
      <c r="B931" t="str">
        <f t="shared" si="16"/>
        <v>20</v>
      </c>
      <c r="C931" s="35">
        <v>2008</v>
      </c>
      <c r="D931" s="35">
        <v>2008</v>
      </c>
      <c r="E931" s="35">
        <v>689</v>
      </c>
      <c r="F931" s="35">
        <v>521</v>
      </c>
      <c r="G931" s="35">
        <v>168</v>
      </c>
      <c r="H931" s="1" t="s">
        <v>2</v>
      </c>
      <c r="I931" s="1"/>
      <c r="J931" s="1"/>
      <c r="K931" s="1"/>
      <c r="AA931" s="1"/>
    </row>
    <row r="932" spans="1:27" x14ac:dyDescent="0.25">
      <c r="A932" t="s">
        <v>82</v>
      </c>
      <c r="B932" t="str">
        <f t="shared" si="16"/>
        <v>20</v>
      </c>
      <c r="C932" s="35">
        <v>2009</v>
      </c>
      <c r="D932" s="1" t="s">
        <v>4</v>
      </c>
      <c r="E932" s="35">
        <v>766</v>
      </c>
      <c r="F932" s="35">
        <v>564</v>
      </c>
      <c r="G932" s="35">
        <v>202</v>
      </c>
      <c r="H932" s="1" t="s">
        <v>2</v>
      </c>
      <c r="I932" s="1"/>
      <c r="J932" s="1"/>
      <c r="K932" s="1"/>
      <c r="AA932" s="1"/>
    </row>
    <row r="933" spans="1:27" x14ac:dyDescent="0.25">
      <c r="A933" t="s">
        <v>82</v>
      </c>
      <c r="B933" t="str">
        <f t="shared" si="16"/>
        <v>20</v>
      </c>
      <c r="C933" s="35">
        <v>2009</v>
      </c>
      <c r="D933" s="35">
        <v>2008</v>
      </c>
      <c r="E933" s="35">
        <v>13</v>
      </c>
      <c r="F933" s="35">
        <v>8</v>
      </c>
      <c r="G933" s="35">
        <v>5</v>
      </c>
      <c r="H933" s="1" t="s">
        <v>2</v>
      </c>
      <c r="I933" s="1"/>
      <c r="J933" s="1"/>
      <c r="K933" s="1"/>
      <c r="AA933" s="1"/>
    </row>
    <row r="934" spans="1:27" x14ac:dyDescent="0.25">
      <c r="A934" t="s">
        <v>82</v>
      </c>
      <c r="B934" t="str">
        <f t="shared" si="16"/>
        <v>20</v>
      </c>
      <c r="C934" s="35">
        <v>2009</v>
      </c>
      <c r="D934" s="35">
        <v>2009</v>
      </c>
      <c r="E934" s="35">
        <v>753</v>
      </c>
      <c r="F934" s="35">
        <v>556</v>
      </c>
      <c r="G934" s="35">
        <v>197</v>
      </c>
      <c r="H934" s="1" t="s">
        <v>2</v>
      </c>
      <c r="I934" s="1"/>
      <c r="J934" s="1"/>
      <c r="K934" s="1"/>
      <c r="AA934" s="1"/>
    </row>
    <row r="935" spans="1:27" x14ac:dyDescent="0.25">
      <c r="A935" t="s">
        <v>82</v>
      </c>
      <c r="B935" t="str">
        <f t="shared" si="16"/>
        <v>20</v>
      </c>
      <c r="C935" s="35">
        <v>2010</v>
      </c>
      <c r="D935" s="1" t="s">
        <v>4</v>
      </c>
      <c r="E935" s="35">
        <v>725</v>
      </c>
      <c r="F935" s="35">
        <v>542</v>
      </c>
      <c r="G935" s="35">
        <v>183</v>
      </c>
      <c r="H935" s="1" t="s">
        <v>2</v>
      </c>
      <c r="I935" s="1"/>
      <c r="J935" s="1"/>
      <c r="K935" s="1"/>
      <c r="AA935" s="1"/>
    </row>
    <row r="936" spans="1:27" x14ac:dyDescent="0.25">
      <c r="A936" t="s">
        <v>82</v>
      </c>
      <c r="B936" t="str">
        <f t="shared" si="16"/>
        <v>20</v>
      </c>
      <c r="C936" s="35">
        <v>2010</v>
      </c>
      <c r="D936" s="35">
        <v>2006</v>
      </c>
      <c r="E936" s="35">
        <v>1</v>
      </c>
      <c r="F936" s="35">
        <v>1</v>
      </c>
      <c r="G936" s="1" t="s">
        <v>2</v>
      </c>
      <c r="H936" s="1" t="s">
        <v>2</v>
      </c>
      <c r="I936" s="1"/>
      <c r="J936" s="1"/>
      <c r="K936" s="1"/>
      <c r="AA936" s="1"/>
    </row>
    <row r="937" spans="1:27" x14ac:dyDescent="0.25">
      <c r="A937" t="s">
        <v>82</v>
      </c>
      <c r="B937" t="str">
        <f t="shared" si="16"/>
        <v>20</v>
      </c>
      <c r="C937" s="35">
        <v>2010</v>
      </c>
      <c r="D937" s="35">
        <v>2009</v>
      </c>
      <c r="E937" s="35">
        <v>7</v>
      </c>
      <c r="F937" s="35">
        <v>5</v>
      </c>
      <c r="G937" s="35">
        <v>2</v>
      </c>
      <c r="H937" s="1" t="s">
        <v>2</v>
      </c>
      <c r="I937" s="1"/>
      <c r="J937" s="1"/>
      <c r="K937" s="1"/>
      <c r="AA937" s="1"/>
    </row>
    <row r="938" spans="1:27" x14ac:dyDescent="0.25">
      <c r="A938" t="s">
        <v>82</v>
      </c>
      <c r="B938" t="str">
        <f t="shared" si="16"/>
        <v>20</v>
      </c>
      <c r="C938" s="35">
        <v>2010</v>
      </c>
      <c r="D938" s="35">
        <v>2010</v>
      </c>
      <c r="E938" s="35">
        <v>717</v>
      </c>
      <c r="F938" s="35">
        <v>536</v>
      </c>
      <c r="G938" s="35">
        <v>181</v>
      </c>
      <c r="H938" s="1" t="s">
        <v>2</v>
      </c>
      <c r="I938" s="1"/>
      <c r="J938" s="1"/>
      <c r="K938" s="1"/>
      <c r="AA938" s="1"/>
    </row>
    <row r="939" spans="1:27" x14ac:dyDescent="0.25">
      <c r="A939" t="s">
        <v>82</v>
      </c>
      <c r="B939" t="str">
        <f t="shared" si="16"/>
        <v>20</v>
      </c>
      <c r="C939" s="35">
        <v>2011</v>
      </c>
      <c r="D939" s="1" t="s">
        <v>4</v>
      </c>
      <c r="E939" s="35">
        <v>727</v>
      </c>
      <c r="F939" s="35">
        <v>536</v>
      </c>
      <c r="G939" s="35">
        <v>190</v>
      </c>
      <c r="H939" s="35">
        <v>1</v>
      </c>
      <c r="I939" s="1"/>
      <c r="J939" s="1"/>
      <c r="K939" s="1"/>
      <c r="AA939" s="1"/>
    </row>
    <row r="940" spans="1:27" x14ac:dyDescent="0.25">
      <c r="A940" t="s">
        <v>82</v>
      </c>
      <c r="B940" t="str">
        <f t="shared" si="16"/>
        <v>20</v>
      </c>
      <c r="C940" s="35">
        <v>2011</v>
      </c>
      <c r="D940" s="35">
        <v>2010</v>
      </c>
      <c r="E940" s="35">
        <v>12</v>
      </c>
      <c r="F940" s="35">
        <v>10</v>
      </c>
      <c r="G940" s="35">
        <v>2</v>
      </c>
      <c r="H940" s="1" t="s">
        <v>2</v>
      </c>
      <c r="I940" s="1"/>
      <c r="J940" s="1"/>
      <c r="K940" s="1"/>
      <c r="AA940" s="1"/>
    </row>
    <row r="941" spans="1:27" x14ac:dyDescent="0.25">
      <c r="A941" t="s">
        <v>82</v>
      </c>
      <c r="B941" t="str">
        <f t="shared" si="16"/>
        <v>20</v>
      </c>
      <c r="C941" s="35">
        <v>2011</v>
      </c>
      <c r="D941" s="35">
        <v>2011</v>
      </c>
      <c r="E941" s="35">
        <v>715</v>
      </c>
      <c r="F941" s="35">
        <v>526</v>
      </c>
      <c r="G941" s="35">
        <v>188</v>
      </c>
      <c r="H941" s="35">
        <v>1</v>
      </c>
      <c r="I941" s="1"/>
      <c r="J941" s="1"/>
      <c r="K941" s="1"/>
      <c r="AA941" s="1"/>
    </row>
    <row r="942" spans="1:27" x14ac:dyDescent="0.25">
      <c r="A942" t="s">
        <v>82</v>
      </c>
      <c r="B942" t="str">
        <f t="shared" si="16"/>
        <v>20</v>
      </c>
      <c r="C942" s="35">
        <v>2012</v>
      </c>
      <c r="D942" s="1" t="s">
        <v>4</v>
      </c>
      <c r="E942" s="35">
        <v>802</v>
      </c>
      <c r="F942" s="35">
        <v>595</v>
      </c>
      <c r="G942" s="35">
        <v>207</v>
      </c>
      <c r="H942" s="1" t="s">
        <v>2</v>
      </c>
      <c r="I942" s="1"/>
      <c r="J942" s="1"/>
      <c r="K942" s="1"/>
      <c r="AA942" s="1"/>
    </row>
    <row r="943" spans="1:27" x14ac:dyDescent="0.25">
      <c r="A943" t="s">
        <v>82</v>
      </c>
      <c r="B943" t="str">
        <f t="shared" si="16"/>
        <v>20</v>
      </c>
      <c r="C943" s="35">
        <v>2012</v>
      </c>
      <c r="D943" s="35">
        <v>2011</v>
      </c>
      <c r="E943" s="35">
        <v>18</v>
      </c>
      <c r="F943" s="35">
        <v>15</v>
      </c>
      <c r="G943" s="35">
        <v>3</v>
      </c>
      <c r="H943" s="1" t="s">
        <v>2</v>
      </c>
      <c r="I943" s="1"/>
      <c r="J943" s="1"/>
      <c r="K943" s="1"/>
      <c r="AA943" s="1"/>
    </row>
    <row r="944" spans="1:27" x14ac:dyDescent="0.25">
      <c r="A944" t="s">
        <v>82</v>
      </c>
      <c r="B944" t="str">
        <f t="shared" si="16"/>
        <v>20</v>
      </c>
      <c r="C944" s="35">
        <v>2012</v>
      </c>
      <c r="D944" s="35">
        <v>2012</v>
      </c>
      <c r="E944" s="35">
        <v>784</v>
      </c>
      <c r="F944" s="35">
        <v>580</v>
      </c>
      <c r="G944" s="35">
        <v>204</v>
      </c>
      <c r="H944" s="1" t="s">
        <v>2</v>
      </c>
      <c r="I944" s="1"/>
      <c r="J944" s="1"/>
      <c r="K944" s="1"/>
      <c r="AA944" s="1"/>
    </row>
    <row r="945" spans="1:27" x14ac:dyDescent="0.25">
      <c r="A945" t="s">
        <v>82</v>
      </c>
      <c r="B945" t="str">
        <f t="shared" si="16"/>
        <v>20</v>
      </c>
      <c r="C945" s="35">
        <v>2013</v>
      </c>
      <c r="D945" s="1" t="s">
        <v>4</v>
      </c>
      <c r="E945" s="35">
        <v>775</v>
      </c>
      <c r="F945" s="35">
        <v>593</v>
      </c>
      <c r="G945" s="35">
        <v>182</v>
      </c>
      <c r="H945" s="1" t="s">
        <v>2</v>
      </c>
      <c r="I945" s="1"/>
      <c r="J945" s="1"/>
      <c r="K945" s="1"/>
      <c r="AA945" s="1"/>
    </row>
    <row r="946" spans="1:27" x14ac:dyDescent="0.25">
      <c r="A946" t="s">
        <v>82</v>
      </c>
      <c r="B946" t="str">
        <f t="shared" si="16"/>
        <v>20</v>
      </c>
      <c r="C946" s="35">
        <v>2013</v>
      </c>
      <c r="D946" s="35">
        <v>2012</v>
      </c>
      <c r="E946" s="35">
        <v>11</v>
      </c>
      <c r="F946" s="35">
        <v>8</v>
      </c>
      <c r="G946" s="35">
        <v>3</v>
      </c>
      <c r="H946" s="1" t="s">
        <v>2</v>
      </c>
      <c r="I946" s="1"/>
      <c r="J946" s="1"/>
      <c r="K946" s="1"/>
      <c r="AA946" s="1"/>
    </row>
    <row r="947" spans="1:27" x14ac:dyDescent="0.25">
      <c r="A947" t="s">
        <v>82</v>
      </c>
      <c r="B947" t="str">
        <f t="shared" si="16"/>
        <v>20</v>
      </c>
      <c r="C947" s="35">
        <v>2013</v>
      </c>
      <c r="D947" s="35">
        <v>2013</v>
      </c>
      <c r="E947" s="35">
        <v>764</v>
      </c>
      <c r="F947" s="35">
        <v>585</v>
      </c>
      <c r="G947" s="35">
        <v>179</v>
      </c>
      <c r="H947" s="1" t="s">
        <v>2</v>
      </c>
      <c r="I947" s="1"/>
      <c r="J947" s="1"/>
      <c r="K947" s="1"/>
      <c r="AA947" s="1"/>
    </row>
    <row r="948" spans="1:27" x14ac:dyDescent="0.25">
      <c r="A948" t="s">
        <v>82</v>
      </c>
      <c r="B948" t="str">
        <f t="shared" si="16"/>
        <v>20</v>
      </c>
      <c r="C948" s="35">
        <v>2014</v>
      </c>
      <c r="D948" s="1" t="s">
        <v>4</v>
      </c>
      <c r="E948" s="35">
        <v>743</v>
      </c>
      <c r="F948" s="35">
        <v>555</v>
      </c>
      <c r="G948" s="35">
        <v>187</v>
      </c>
      <c r="H948" s="35">
        <v>1</v>
      </c>
      <c r="I948" s="1"/>
      <c r="J948" s="1"/>
      <c r="K948" s="1"/>
      <c r="AA948" s="1"/>
    </row>
    <row r="949" spans="1:27" x14ac:dyDescent="0.25">
      <c r="A949" t="s">
        <v>82</v>
      </c>
      <c r="B949" t="str">
        <f t="shared" si="16"/>
        <v>20</v>
      </c>
      <c r="C949" s="35">
        <v>2014</v>
      </c>
      <c r="D949" s="35">
        <v>2013</v>
      </c>
      <c r="E949" s="35">
        <v>6</v>
      </c>
      <c r="F949" s="35">
        <v>3</v>
      </c>
      <c r="G949" s="35">
        <v>3</v>
      </c>
      <c r="H949" s="1" t="s">
        <v>2</v>
      </c>
      <c r="I949" s="1"/>
      <c r="J949" s="1"/>
      <c r="K949" s="1"/>
      <c r="AA949" s="1"/>
    </row>
    <row r="950" spans="1:27" x14ac:dyDescent="0.25">
      <c r="A950" t="s">
        <v>82</v>
      </c>
      <c r="B950" t="str">
        <f t="shared" si="16"/>
        <v>20</v>
      </c>
      <c r="C950" s="35">
        <v>2014</v>
      </c>
      <c r="D950" s="35">
        <v>2014</v>
      </c>
      <c r="E950" s="35">
        <v>737</v>
      </c>
      <c r="F950" s="35">
        <v>552</v>
      </c>
      <c r="G950" s="35">
        <v>184</v>
      </c>
      <c r="H950" s="35">
        <v>1</v>
      </c>
      <c r="I950" s="1"/>
      <c r="J950" s="1"/>
      <c r="K950" s="1"/>
      <c r="AA950" s="1"/>
    </row>
    <row r="951" spans="1:27" x14ac:dyDescent="0.25">
      <c r="A951" t="s">
        <v>82</v>
      </c>
      <c r="B951" t="str">
        <f t="shared" si="16"/>
        <v>20</v>
      </c>
      <c r="C951" s="35">
        <v>2015</v>
      </c>
      <c r="D951" s="1" t="s">
        <v>4</v>
      </c>
      <c r="E951" s="35">
        <v>732</v>
      </c>
      <c r="F951" s="35">
        <v>540</v>
      </c>
      <c r="G951" s="35">
        <v>192</v>
      </c>
      <c r="H951" s="1" t="s">
        <v>2</v>
      </c>
      <c r="I951" s="1"/>
      <c r="J951" s="1"/>
      <c r="K951" s="1"/>
      <c r="AA951" s="1"/>
    </row>
    <row r="952" spans="1:27" x14ac:dyDescent="0.25">
      <c r="A952" t="s">
        <v>82</v>
      </c>
      <c r="B952" t="str">
        <f t="shared" si="16"/>
        <v>20</v>
      </c>
      <c r="C952" s="35">
        <v>2015</v>
      </c>
      <c r="D952" s="35">
        <v>2014</v>
      </c>
      <c r="E952" s="35">
        <v>8</v>
      </c>
      <c r="F952" s="35">
        <v>6</v>
      </c>
      <c r="G952" s="35">
        <v>2</v>
      </c>
      <c r="H952" s="1" t="s">
        <v>2</v>
      </c>
      <c r="I952" s="1"/>
      <c r="J952" s="1"/>
      <c r="K952" s="1"/>
      <c r="AA952" s="1"/>
    </row>
    <row r="953" spans="1:27" x14ac:dyDescent="0.25">
      <c r="A953" t="s">
        <v>82</v>
      </c>
      <c r="B953" t="str">
        <f t="shared" si="16"/>
        <v>20</v>
      </c>
      <c r="C953" s="35">
        <v>2015</v>
      </c>
      <c r="D953" s="35">
        <v>2015</v>
      </c>
      <c r="E953" s="35">
        <v>724</v>
      </c>
      <c r="F953" s="35">
        <v>534</v>
      </c>
      <c r="G953" s="35">
        <v>190</v>
      </c>
      <c r="H953" s="1" t="s">
        <v>2</v>
      </c>
      <c r="I953" s="1"/>
      <c r="J953" s="1"/>
      <c r="K953" s="1"/>
      <c r="AA953" s="1"/>
    </row>
    <row r="954" spans="1:27" x14ac:dyDescent="0.25">
      <c r="A954" t="s">
        <v>82</v>
      </c>
      <c r="B954" t="str">
        <f t="shared" si="16"/>
        <v>20</v>
      </c>
      <c r="C954" s="35">
        <v>2016</v>
      </c>
      <c r="D954" s="1" t="s">
        <v>4</v>
      </c>
      <c r="E954" s="35">
        <v>803</v>
      </c>
      <c r="F954" s="35">
        <v>602</v>
      </c>
      <c r="G954" s="35">
        <v>201</v>
      </c>
      <c r="H954" s="1" t="s">
        <v>2</v>
      </c>
      <c r="I954" s="1"/>
      <c r="J954" s="1"/>
      <c r="K954" s="1"/>
      <c r="AA954" s="1"/>
    </row>
    <row r="955" spans="1:27" x14ac:dyDescent="0.25">
      <c r="A955" t="s">
        <v>82</v>
      </c>
      <c r="B955" t="str">
        <f t="shared" si="16"/>
        <v>20</v>
      </c>
      <c r="C955" s="35">
        <v>2016</v>
      </c>
      <c r="D955" s="35">
        <v>2015</v>
      </c>
      <c r="E955" s="35">
        <v>7</v>
      </c>
      <c r="F955" s="35">
        <v>6</v>
      </c>
      <c r="G955" s="35">
        <v>1</v>
      </c>
      <c r="H955" s="1" t="s">
        <v>2</v>
      </c>
      <c r="I955" s="1"/>
      <c r="J955" s="1"/>
      <c r="K955" s="1"/>
      <c r="AA955" s="1"/>
    </row>
    <row r="956" spans="1:27" x14ac:dyDescent="0.25">
      <c r="A956" t="s">
        <v>82</v>
      </c>
      <c r="B956" t="str">
        <f t="shared" si="16"/>
        <v>20</v>
      </c>
      <c r="C956" s="35">
        <v>2016</v>
      </c>
      <c r="D956" s="35">
        <v>2016</v>
      </c>
      <c r="E956" s="35">
        <v>796</v>
      </c>
      <c r="F956" s="35">
        <v>596</v>
      </c>
      <c r="G956" s="35">
        <v>200</v>
      </c>
      <c r="H956" s="1" t="s">
        <v>2</v>
      </c>
      <c r="I956" s="1"/>
      <c r="J956" s="1"/>
      <c r="K956" s="1"/>
      <c r="AA956" s="1"/>
    </row>
    <row r="957" spans="1:27" x14ac:dyDescent="0.25">
      <c r="A957" t="s">
        <v>82</v>
      </c>
      <c r="B957" t="str">
        <f t="shared" si="16"/>
        <v>20</v>
      </c>
      <c r="C957" s="35">
        <v>2017</v>
      </c>
      <c r="D957" s="1" t="s">
        <v>4</v>
      </c>
      <c r="E957" s="35">
        <v>815</v>
      </c>
      <c r="F957" s="35">
        <v>615</v>
      </c>
      <c r="G957" s="35">
        <v>200</v>
      </c>
      <c r="H957" s="1" t="s">
        <v>2</v>
      </c>
      <c r="I957" s="1"/>
      <c r="J957" s="1"/>
      <c r="K957" s="1"/>
      <c r="AA957" s="1"/>
    </row>
    <row r="958" spans="1:27" x14ac:dyDescent="0.25">
      <c r="A958" t="s">
        <v>82</v>
      </c>
      <c r="B958" t="str">
        <f t="shared" si="16"/>
        <v>20</v>
      </c>
      <c r="C958" s="35">
        <v>2017</v>
      </c>
      <c r="D958" s="35">
        <v>2015</v>
      </c>
      <c r="E958" s="35">
        <v>1</v>
      </c>
      <c r="F958" s="1" t="s">
        <v>2</v>
      </c>
      <c r="G958" s="35">
        <v>1</v>
      </c>
      <c r="H958" s="1" t="s">
        <v>2</v>
      </c>
      <c r="I958" s="1"/>
      <c r="J958" s="1"/>
      <c r="K958" s="1"/>
      <c r="AA958" s="1"/>
    </row>
    <row r="959" spans="1:27" x14ac:dyDescent="0.25">
      <c r="A959" t="s">
        <v>82</v>
      </c>
      <c r="B959" t="str">
        <f t="shared" si="16"/>
        <v>20</v>
      </c>
      <c r="C959" s="35">
        <v>2017</v>
      </c>
      <c r="D959" s="35">
        <v>2017</v>
      </c>
      <c r="E959" s="35">
        <v>814</v>
      </c>
      <c r="F959" s="35">
        <v>615</v>
      </c>
      <c r="G959" s="35">
        <v>199</v>
      </c>
      <c r="H959" s="1" t="s">
        <v>2</v>
      </c>
      <c r="I959" s="1"/>
      <c r="J959" s="1"/>
      <c r="K959" s="1"/>
      <c r="AA959" s="1"/>
    </row>
    <row r="960" spans="1:27" x14ac:dyDescent="0.25">
      <c r="A960" t="s">
        <v>82</v>
      </c>
      <c r="B960" t="str">
        <f t="shared" si="16"/>
        <v>20</v>
      </c>
      <c r="C960" s="35">
        <v>2018</v>
      </c>
      <c r="D960" s="1" t="s">
        <v>4</v>
      </c>
      <c r="E960" s="35">
        <v>801</v>
      </c>
      <c r="F960" s="35">
        <v>608</v>
      </c>
      <c r="G960" s="35">
        <v>193</v>
      </c>
      <c r="H960" s="1" t="s">
        <v>2</v>
      </c>
      <c r="I960" s="1"/>
      <c r="J960" s="1"/>
      <c r="K960" s="1"/>
      <c r="AA960" s="1"/>
    </row>
    <row r="961" spans="1:27" x14ac:dyDescent="0.25">
      <c r="A961" t="s">
        <v>82</v>
      </c>
      <c r="B961" t="str">
        <f t="shared" si="16"/>
        <v>20</v>
      </c>
      <c r="C961" s="35">
        <v>2018</v>
      </c>
      <c r="D961" s="35">
        <v>2010</v>
      </c>
      <c r="E961" s="35">
        <v>1</v>
      </c>
      <c r="F961" s="1" t="s">
        <v>2</v>
      </c>
      <c r="G961" s="35">
        <v>1</v>
      </c>
      <c r="H961" s="1" t="s">
        <v>2</v>
      </c>
      <c r="I961" s="1"/>
      <c r="J961" s="1"/>
      <c r="K961" s="1"/>
      <c r="AA961" s="1"/>
    </row>
    <row r="962" spans="1:27" x14ac:dyDescent="0.25">
      <c r="A962" t="s">
        <v>82</v>
      </c>
      <c r="B962" t="str">
        <f t="shared" si="16"/>
        <v>20</v>
      </c>
      <c r="C962" s="35">
        <v>2018</v>
      </c>
      <c r="D962" s="35">
        <v>2017</v>
      </c>
      <c r="E962" s="35">
        <v>4</v>
      </c>
      <c r="F962" s="35">
        <v>3</v>
      </c>
      <c r="G962" s="35">
        <v>1</v>
      </c>
      <c r="H962" s="1" t="s">
        <v>2</v>
      </c>
      <c r="I962" s="1"/>
      <c r="J962" s="1"/>
      <c r="K962" s="1"/>
      <c r="AA962" s="1"/>
    </row>
    <row r="963" spans="1:27" x14ac:dyDescent="0.25">
      <c r="A963" t="s">
        <v>82</v>
      </c>
      <c r="B963" t="str">
        <f t="shared" si="16"/>
        <v>20</v>
      </c>
      <c r="C963" s="35">
        <v>2018</v>
      </c>
      <c r="D963" s="35">
        <v>2018</v>
      </c>
      <c r="E963" s="35">
        <v>796</v>
      </c>
      <c r="F963" s="35">
        <v>605</v>
      </c>
      <c r="G963" s="35">
        <v>191</v>
      </c>
      <c r="H963" s="1" t="s">
        <v>2</v>
      </c>
      <c r="I963" s="1"/>
      <c r="J963" s="1"/>
      <c r="K963" s="1"/>
      <c r="AA963" s="1"/>
    </row>
    <row r="964" spans="1:27" x14ac:dyDescent="0.25">
      <c r="A964" t="s">
        <v>82</v>
      </c>
      <c r="B964" t="str">
        <f t="shared" si="16"/>
        <v>20</v>
      </c>
      <c r="C964" s="35">
        <v>2019</v>
      </c>
      <c r="D964" s="1" t="s">
        <v>4</v>
      </c>
      <c r="E964" s="35">
        <v>763</v>
      </c>
      <c r="F964" s="35">
        <v>563</v>
      </c>
      <c r="G964" s="35">
        <v>200</v>
      </c>
      <c r="H964" s="1" t="s">
        <v>2</v>
      </c>
      <c r="I964" s="1"/>
      <c r="J964" s="1"/>
      <c r="K964" s="1"/>
      <c r="AA964" s="1"/>
    </row>
    <row r="965" spans="1:27" x14ac:dyDescent="0.25">
      <c r="A965" t="s">
        <v>82</v>
      </c>
      <c r="B965" t="str">
        <f t="shared" si="16"/>
        <v>20</v>
      </c>
      <c r="C965" s="35">
        <v>2019</v>
      </c>
      <c r="D965" s="35">
        <v>2018</v>
      </c>
      <c r="E965" s="35">
        <v>2</v>
      </c>
      <c r="F965" s="35">
        <v>2</v>
      </c>
      <c r="G965" s="1" t="s">
        <v>2</v>
      </c>
      <c r="H965" s="1" t="s">
        <v>2</v>
      </c>
      <c r="I965" s="1"/>
      <c r="J965" s="1"/>
      <c r="K965" s="1"/>
      <c r="AA965" s="1"/>
    </row>
    <row r="966" spans="1:27" x14ac:dyDescent="0.25">
      <c r="A966" t="s">
        <v>82</v>
      </c>
      <c r="B966" t="str">
        <f t="shared" si="16"/>
        <v>20</v>
      </c>
      <c r="C966" s="35">
        <v>2019</v>
      </c>
      <c r="D966" s="35">
        <v>2019</v>
      </c>
      <c r="E966" s="35">
        <v>761</v>
      </c>
      <c r="F966" s="35">
        <v>561</v>
      </c>
      <c r="G966" s="35">
        <v>200</v>
      </c>
      <c r="H966" s="1" t="s">
        <v>2</v>
      </c>
      <c r="I966" s="1"/>
      <c r="J966" s="1"/>
      <c r="K966" s="1"/>
      <c r="AA966" s="1"/>
    </row>
    <row r="967" spans="1:27" x14ac:dyDescent="0.25">
      <c r="A967" t="s">
        <v>82</v>
      </c>
      <c r="B967" t="str">
        <f t="shared" ref="B967:B1030" si="17">IF(A967="Menores de 1 año",0,LEFT(A967,2))</f>
        <v>20</v>
      </c>
      <c r="C967" s="35">
        <v>2020</v>
      </c>
      <c r="D967" s="1" t="s">
        <v>4</v>
      </c>
      <c r="E967" s="35">
        <v>819</v>
      </c>
      <c r="F967" s="35">
        <v>592</v>
      </c>
      <c r="G967" s="35">
        <v>227</v>
      </c>
      <c r="H967" s="1" t="s">
        <v>2</v>
      </c>
      <c r="I967" s="1"/>
      <c r="J967" s="1"/>
      <c r="K967" s="1"/>
      <c r="AA967" s="1"/>
    </row>
    <row r="968" spans="1:27" x14ac:dyDescent="0.25">
      <c r="A968" t="s">
        <v>82</v>
      </c>
      <c r="B968" t="str">
        <f t="shared" si="17"/>
        <v>20</v>
      </c>
      <c r="C968" s="35">
        <v>2020</v>
      </c>
      <c r="D968" s="35">
        <v>2019</v>
      </c>
      <c r="E968" s="35">
        <v>1</v>
      </c>
      <c r="F968" s="35">
        <v>1</v>
      </c>
      <c r="G968" s="1" t="s">
        <v>2</v>
      </c>
      <c r="H968" s="1" t="s">
        <v>2</v>
      </c>
      <c r="I968" s="1"/>
      <c r="J968" s="1"/>
      <c r="K968" s="1"/>
      <c r="AA968" s="1"/>
    </row>
    <row r="969" spans="1:27" x14ac:dyDescent="0.25">
      <c r="A969" t="s">
        <v>82</v>
      </c>
      <c r="B969" t="str">
        <f t="shared" si="17"/>
        <v>20</v>
      </c>
      <c r="C969" s="35">
        <v>2020</v>
      </c>
      <c r="D969" s="35">
        <v>2020</v>
      </c>
      <c r="E969" s="35">
        <v>818</v>
      </c>
      <c r="F969" s="35">
        <v>591</v>
      </c>
      <c r="G969" s="35">
        <v>227</v>
      </c>
      <c r="H969" s="1" t="s">
        <v>2</v>
      </c>
      <c r="I969" s="1"/>
      <c r="J969" s="1"/>
      <c r="K969" s="1"/>
      <c r="AA969" s="1"/>
    </row>
    <row r="970" spans="1:27" x14ac:dyDescent="0.25">
      <c r="A970" t="s">
        <v>82</v>
      </c>
      <c r="B970" t="str">
        <f t="shared" si="17"/>
        <v>20</v>
      </c>
      <c r="C970" s="35">
        <v>2021</v>
      </c>
      <c r="D970" s="1" t="s">
        <v>4</v>
      </c>
      <c r="E970" s="35">
        <v>763</v>
      </c>
      <c r="F970" s="35">
        <v>560</v>
      </c>
      <c r="G970" s="35">
        <v>203</v>
      </c>
      <c r="H970" s="1" t="s">
        <v>2</v>
      </c>
      <c r="I970" s="1"/>
      <c r="J970" s="1"/>
      <c r="K970" s="1"/>
      <c r="AA970" s="1"/>
    </row>
    <row r="971" spans="1:27" x14ac:dyDescent="0.25">
      <c r="A971" t="s">
        <v>82</v>
      </c>
      <c r="B971" t="str">
        <f t="shared" si="17"/>
        <v>20</v>
      </c>
      <c r="C971" s="35">
        <v>2021</v>
      </c>
      <c r="D971" s="35">
        <v>2020</v>
      </c>
      <c r="E971" s="35">
        <v>1</v>
      </c>
      <c r="F971" s="35">
        <v>1</v>
      </c>
      <c r="G971" s="1" t="s">
        <v>2</v>
      </c>
      <c r="H971" s="1" t="s">
        <v>2</v>
      </c>
      <c r="I971" s="1"/>
      <c r="J971" s="1"/>
      <c r="K971" s="1"/>
      <c r="AA971" s="1"/>
    </row>
    <row r="972" spans="1:27" x14ac:dyDescent="0.25">
      <c r="A972" t="s">
        <v>82</v>
      </c>
      <c r="B972" t="str">
        <f t="shared" si="17"/>
        <v>20</v>
      </c>
      <c r="C972" s="35">
        <v>2021</v>
      </c>
      <c r="D972" s="35">
        <v>2021</v>
      </c>
      <c r="E972" s="35">
        <v>762</v>
      </c>
      <c r="F972" s="35">
        <v>559</v>
      </c>
      <c r="G972" s="35">
        <v>203</v>
      </c>
      <c r="H972" s="1" t="s">
        <v>2</v>
      </c>
      <c r="I972" s="1"/>
      <c r="J972" s="1"/>
      <c r="K972" s="1"/>
      <c r="AA972" s="1"/>
    </row>
    <row r="973" spans="1:27" x14ac:dyDescent="0.25">
      <c r="A973" t="s">
        <v>82</v>
      </c>
      <c r="B973" t="str">
        <f t="shared" si="17"/>
        <v>20</v>
      </c>
      <c r="C973" s="35">
        <v>2022</v>
      </c>
      <c r="D973" s="1" t="s">
        <v>4</v>
      </c>
      <c r="E973" s="35">
        <v>618</v>
      </c>
      <c r="F973" s="35">
        <v>451</v>
      </c>
      <c r="G973" s="35">
        <v>167</v>
      </c>
      <c r="H973" s="1" t="s">
        <v>2</v>
      </c>
      <c r="I973" s="1"/>
      <c r="J973" s="1"/>
      <c r="K973" s="1"/>
      <c r="AA973" s="1"/>
    </row>
    <row r="974" spans="1:27" x14ac:dyDescent="0.25">
      <c r="A974" t="s">
        <v>82</v>
      </c>
      <c r="B974" t="str">
        <f t="shared" si="17"/>
        <v>20</v>
      </c>
      <c r="C974" s="35">
        <v>2022</v>
      </c>
      <c r="D974" s="35">
        <v>2010</v>
      </c>
      <c r="E974" s="35">
        <v>1</v>
      </c>
      <c r="F974" s="35">
        <v>1</v>
      </c>
      <c r="G974" s="1" t="s">
        <v>2</v>
      </c>
      <c r="H974" s="1" t="s">
        <v>2</v>
      </c>
      <c r="I974" s="1"/>
      <c r="J974" s="1"/>
      <c r="K974" s="1"/>
      <c r="AA974" s="1"/>
    </row>
    <row r="975" spans="1:27" x14ac:dyDescent="0.25">
      <c r="A975" t="s">
        <v>82</v>
      </c>
      <c r="B975" t="str">
        <f t="shared" si="17"/>
        <v>20</v>
      </c>
      <c r="C975" s="35">
        <v>2022</v>
      </c>
      <c r="D975" s="35">
        <v>2021</v>
      </c>
      <c r="E975" s="35">
        <v>3</v>
      </c>
      <c r="F975" s="35">
        <v>3</v>
      </c>
      <c r="G975" s="1" t="s">
        <v>2</v>
      </c>
      <c r="H975" s="1" t="s">
        <v>2</v>
      </c>
      <c r="I975" s="1"/>
      <c r="J975" s="1"/>
      <c r="K975" s="1"/>
      <c r="AA975" s="1"/>
    </row>
    <row r="976" spans="1:27" x14ac:dyDescent="0.25">
      <c r="A976" t="s">
        <v>82</v>
      </c>
      <c r="B976" t="str">
        <f t="shared" si="17"/>
        <v>20</v>
      </c>
      <c r="C976" s="35">
        <v>2022</v>
      </c>
      <c r="D976" s="35">
        <v>2022</v>
      </c>
      <c r="E976" s="35">
        <v>614</v>
      </c>
      <c r="F976" s="35">
        <v>447</v>
      </c>
      <c r="G976" s="35">
        <v>167</v>
      </c>
      <c r="H976" s="1" t="s">
        <v>2</v>
      </c>
      <c r="I976" s="1"/>
      <c r="J976" s="1"/>
      <c r="K976" s="1"/>
      <c r="AA976" s="1"/>
    </row>
    <row r="977" spans="1:27" x14ac:dyDescent="0.25">
      <c r="A977" t="s">
        <v>82</v>
      </c>
      <c r="B977" t="str">
        <f t="shared" si="17"/>
        <v>20</v>
      </c>
      <c r="C977" s="35">
        <v>2023</v>
      </c>
      <c r="D977" s="1" t="s">
        <v>4</v>
      </c>
      <c r="E977" s="35">
        <v>666</v>
      </c>
      <c r="F977" s="35">
        <v>507</v>
      </c>
      <c r="G977" s="35">
        <v>159</v>
      </c>
      <c r="H977" s="1" t="s">
        <v>2</v>
      </c>
      <c r="I977" s="1"/>
      <c r="J977" s="1"/>
      <c r="K977" s="1"/>
      <c r="AA977" s="1"/>
    </row>
    <row r="978" spans="1:27" x14ac:dyDescent="0.25">
      <c r="A978" t="s">
        <v>82</v>
      </c>
      <c r="B978" t="str">
        <f t="shared" si="17"/>
        <v>20</v>
      </c>
      <c r="C978" s="35">
        <v>2023</v>
      </c>
      <c r="D978" s="35">
        <v>2018</v>
      </c>
      <c r="E978" s="35">
        <v>1</v>
      </c>
      <c r="F978" s="35">
        <v>1</v>
      </c>
      <c r="G978" s="1" t="s">
        <v>2</v>
      </c>
      <c r="H978" s="1" t="s">
        <v>2</v>
      </c>
      <c r="I978" s="1"/>
      <c r="J978" s="1"/>
      <c r="K978" s="1"/>
      <c r="AA978" s="1"/>
    </row>
    <row r="979" spans="1:27" x14ac:dyDescent="0.25">
      <c r="A979" t="s">
        <v>82</v>
      </c>
      <c r="B979" t="str">
        <f t="shared" si="17"/>
        <v>20</v>
      </c>
      <c r="C979" s="35">
        <v>2023</v>
      </c>
      <c r="D979" s="35">
        <v>2022</v>
      </c>
      <c r="E979" s="35">
        <v>3</v>
      </c>
      <c r="F979" s="35">
        <v>3</v>
      </c>
      <c r="G979" s="1" t="s">
        <v>2</v>
      </c>
      <c r="H979" s="1" t="s">
        <v>2</v>
      </c>
      <c r="I979" s="1"/>
      <c r="J979" s="1"/>
      <c r="K979" s="1"/>
      <c r="AA979" s="1"/>
    </row>
    <row r="980" spans="1:27" x14ac:dyDescent="0.25">
      <c r="A980" t="s">
        <v>82</v>
      </c>
      <c r="B980" t="str">
        <f t="shared" si="17"/>
        <v>20</v>
      </c>
      <c r="C980" s="35">
        <v>2023</v>
      </c>
      <c r="D980" s="35">
        <v>2023</v>
      </c>
      <c r="E980" s="35">
        <v>662</v>
      </c>
      <c r="F980" s="35">
        <v>503</v>
      </c>
      <c r="G980" s="35">
        <v>159</v>
      </c>
      <c r="H980" s="1" t="s">
        <v>2</v>
      </c>
      <c r="I980" s="1"/>
      <c r="J980" s="1"/>
      <c r="K980" s="1"/>
      <c r="AA980" s="1"/>
    </row>
    <row r="981" spans="1:27" x14ac:dyDescent="0.25">
      <c r="A981" t="s">
        <v>82</v>
      </c>
      <c r="B981" t="str">
        <f t="shared" si="17"/>
        <v>20</v>
      </c>
      <c r="C981" s="35">
        <v>2024</v>
      </c>
      <c r="D981" s="1" t="s">
        <v>4</v>
      </c>
      <c r="E981" s="35">
        <v>682</v>
      </c>
      <c r="F981" s="35">
        <v>509</v>
      </c>
      <c r="G981" s="35">
        <v>173</v>
      </c>
      <c r="H981" s="1" t="s">
        <v>2</v>
      </c>
      <c r="I981" s="1"/>
      <c r="J981" s="1"/>
      <c r="K981" s="1"/>
      <c r="AA981" s="1"/>
    </row>
    <row r="982" spans="1:27" x14ac:dyDescent="0.25">
      <c r="A982" t="s">
        <v>82</v>
      </c>
      <c r="B982" t="str">
        <f t="shared" si="17"/>
        <v>20</v>
      </c>
      <c r="C982" s="35">
        <v>2024</v>
      </c>
      <c r="D982" s="35">
        <v>2020</v>
      </c>
      <c r="E982" s="35">
        <v>1</v>
      </c>
      <c r="F982" s="1" t="s">
        <v>2</v>
      </c>
      <c r="G982" s="35">
        <v>1</v>
      </c>
      <c r="H982" s="1" t="s">
        <v>2</v>
      </c>
      <c r="I982" s="1"/>
      <c r="J982" s="1"/>
      <c r="K982" s="1"/>
      <c r="AA982" s="1"/>
    </row>
    <row r="983" spans="1:27" x14ac:dyDescent="0.25">
      <c r="A983" t="s">
        <v>82</v>
      </c>
      <c r="B983" t="str">
        <f t="shared" si="17"/>
        <v>20</v>
      </c>
      <c r="C983" s="35">
        <v>2024</v>
      </c>
      <c r="D983" s="35">
        <v>2022</v>
      </c>
      <c r="E983" s="35">
        <v>1</v>
      </c>
      <c r="F983" s="35">
        <v>1</v>
      </c>
      <c r="G983" s="1" t="s">
        <v>2</v>
      </c>
      <c r="H983" s="1" t="s">
        <v>2</v>
      </c>
      <c r="I983" s="1"/>
      <c r="J983" s="1"/>
      <c r="K983" s="1"/>
      <c r="AA983" s="1"/>
    </row>
    <row r="984" spans="1:27" x14ac:dyDescent="0.25">
      <c r="A984" t="s">
        <v>82</v>
      </c>
      <c r="B984" t="str">
        <f t="shared" si="17"/>
        <v>20</v>
      </c>
      <c r="C984" s="35">
        <v>2024</v>
      </c>
      <c r="D984" s="35">
        <v>2023</v>
      </c>
      <c r="E984" s="35">
        <v>1</v>
      </c>
      <c r="F984" s="1" t="s">
        <v>2</v>
      </c>
      <c r="G984" s="35">
        <v>1</v>
      </c>
      <c r="H984" s="1" t="s">
        <v>2</v>
      </c>
      <c r="I984" s="1"/>
      <c r="J984" s="1"/>
      <c r="K984" s="1"/>
      <c r="AA984" s="1"/>
    </row>
    <row r="985" spans="1:27" x14ac:dyDescent="0.25">
      <c r="A985" t="s">
        <v>82</v>
      </c>
      <c r="B985" t="str">
        <f t="shared" si="17"/>
        <v>20</v>
      </c>
      <c r="C985" s="35">
        <v>2024</v>
      </c>
      <c r="D985" s="35">
        <v>2024</v>
      </c>
      <c r="E985" s="35">
        <v>679</v>
      </c>
      <c r="F985" s="35">
        <v>508</v>
      </c>
      <c r="G985" s="35">
        <v>171</v>
      </c>
      <c r="H985" s="1" t="s">
        <v>2</v>
      </c>
      <c r="I985" s="1"/>
      <c r="J985" s="1"/>
      <c r="K985" s="1"/>
      <c r="AA985" s="1"/>
    </row>
    <row r="986" spans="1:27" x14ac:dyDescent="0.25">
      <c r="A986" t="s">
        <v>83</v>
      </c>
      <c r="B986" t="str">
        <f t="shared" si="17"/>
        <v>25</v>
      </c>
      <c r="C986" s="35">
        <v>1990</v>
      </c>
      <c r="D986" s="1" t="s">
        <v>4</v>
      </c>
      <c r="E986" s="36">
        <v>1179</v>
      </c>
      <c r="F986" s="35">
        <v>886</v>
      </c>
      <c r="G986" s="35">
        <v>293</v>
      </c>
      <c r="H986" s="1" t="s">
        <v>2</v>
      </c>
      <c r="I986" s="1"/>
      <c r="J986" s="1"/>
      <c r="K986" s="1"/>
      <c r="AA986" s="1"/>
    </row>
    <row r="987" spans="1:27" x14ac:dyDescent="0.25">
      <c r="A987" t="s">
        <v>83</v>
      </c>
      <c r="B987" t="str">
        <f t="shared" si="17"/>
        <v>25</v>
      </c>
      <c r="C987" s="35">
        <v>1990</v>
      </c>
      <c r="D987" s="35">
        <v>1990</v>
      </c>
      <c r="E987" s="36">
        <v>1147</v>
      </c>
      <c r="F987" s="35">
        <v>862</v>
      </c>
      <c r="G987" s="35">
        <v>285</v>
      </c>
      <c r="H987" s="1" t="s">
        <v>2</v>
      </c>
      <c r="I987" s="1"/>
      <c r="J987" s="1"/>
      <c r="K987" s="1"/>
      <c r="AA987" s="1"/>
    </row>
    <row r="988" spans="1:27" x14ac:dyDescent="0.25">
      <c r="A988" t="s">
        <v>83</v>
      </c>
      <c r="B988" t="str">
        <f t="shared" si="17"/>
        <v>25</v>
      </c>
      <c r="C988" s="35">
        <v>1990</v>
      </c>
      <c r="D988" s="1" t="s">
        <v>24</v>
      </c>
      <c r="E988" s="35">
        <v>32</v>
      </c>
      <c r="F988" s="35">
        <v>24</v>
      </c>
      <c r="G988" s="35">
        <v>8</v>
      </c>
      <c r="H988" s="1" t="s">
        <v>2</v>
      </c>
      <c r="I988" s="1"/>
      <c r="J988" s="1"/>
      <c r="K988" s="1"/>
      <c r="AA988" s="1"/>
    </row>
    <row r="989" spans="1:27" x14ac:dyDescent="0.25">
      <c r="A989" t="s">
        <v>83</v>
      </c>
      <c r="B989" t="str">
        <f t="shared" si="17"/>
        <v>25</v>
      </c>
      <c r="C989" s="35">
        <v>1991</v>
      </c>
      <c r="D989" s="1" t="s">
        <v>4</v>
      </c>
      <c r="E989" s="36">
        <v>1214</v>
      </c>
      <c r="F989" s="35">
        <v>911</v>
      </c>
      <c r="G989" s="35">
        <v>303</v>
      </c>
      <c r="H989" s="1" t="s">
        <v>2</v>
      </c>
      <c r="I989" s="1"/>
      <c r="J989" s="1"/>
      <c r="K989" s="1"/>
      <c r="AA989" s="1"/>
    </row>
    <row r="990" spans="1:27" x14ac:dyDescent="0.25">
      <c r="A990" t="s">
        <v>83</v>
      </c>
      <c r="B990" t="str">
        <f t="shared" si="17"/>
        <v>25</v>
      </c>
      <c r="C990" s="35">
        <v>1991</v>
      </c>
      <c r="D990" s="35">
        <v>1991</v>
      </c>
      <c r="E990" s="36">
        <v>1193</v>
      </c>
      <c r="F990" s="35">
        <v>892</v>
      </c>
      <c r="G990" s="35">
        <v>301</v>
      </c>
      <c r="H990" s="1" t="s">
        <v>2</v>
      </c>
      <c r="I990" s="1"/>
      <c r="J990" s="1"/>
      <c r="K990" s="1"/>
      <c r="AA990" s="1"/>
    </row>
    <row r="991" spans="1:27" x14ac:dyDescent="0.25">
      <c r="A991" t="s">
        <v>83</v>
      </c>
      <c r="B991" t="str">
        <f t="shared" si="17"/>
        <v>25</v>
      </c>
      <c r="C991" s="35">
        <v>1991</v>
      </c>
      <c r="D991" s="1" t="s">
        <v>24</v>
      </c>
      <c r="E991" s="35">
        <v>21</v>
      </c>
      <c r="F991" s="35">
        <v>19</v>
      </c>
      <c r="G991" s="35">
        <v>2</v>
      </c>
      <c r="H991" s="1" t="s">
        <v>2</v>
      </c>
      <c r="I991" s="1"/>
      <c r="J991" s="1"/>
      <c r="K991" s="1"/>
      <c r="AA991" s="1"/>
    </row>
    <row r="992" spans="1:27" x14ac:dyDescent="0.25">
      <c r="A992" t="s">
        <v>83</v>
      </c>
      <c r="B992" t="str">
        <f t="shared" si="17"/>
        <v>25</v>
      </c>
      <c r="C992" s="35">
        <v>1992</v>
      </c>
      <c r="D992" s="1" t="s">
        <v>4</v>
      </c>
      <c r="E992" s="36">
        <v>1190</v>
      </c>
      <c r="F992" s="35">
        <v>929</v>
      </c>
      <c r="G992" s="35">
        <v>261</v>
      </c>
      <c r="H992" s="1" t="s">
        <v>2</v>
      </c>
      <c r="I992" s="1"/>
      <c r="J992" s="1"/>
      <c r="K992" s="1"/>
      <c r="AA992" s="1"/>
    </row>
    <row r="993" spans="1:27" x14ac:dyDescent="0.25">
      <c r="A993" t="s">
        <v>83</v>
      </c>
      <c r="B993" t="str">
        <f t="shared" si="17"/>
        <v>25</v>
      </c>
      <c r="C993" s="35">
        <v>1992</v>
      </c>
      <c r="D993" s="35">
        <v>1992</v>
      </c>
      <c r="E993" s="36">
        <v>1174</v>
      </c>
      <c r="F993" s="35">
        <v>918</v>
      </c>
      <c r="G993" s="35">
        <v>256</v>
      </c>
      <c r="H993" s="1" t="s">
        <v>2</v>
      </c>
      <c r="I993" s="1"/>
      <c r="J993" s="1"/>
      <c r="K993" s="1"/>
      <c r="AA993" s="1"/>
    </row>
    <row r="994" spans="1:27" x14ac:dyDescent="0.25">
      <c r="A994" t="s">
        <v>83</v>
      </c>
      <c r="B994" t="str">
        <f t="shared" si="17"/>
        <v>25</v>
      </c>
      <c r="C994" s="35">
        <v>1992</v>
      </c>
      <c r="D994" s="1" t="s">
        <v>24</v>
      </c>
      <c r="E994" s="35">
        <v>16</v>
      </c>
      <c r="F994" s="35">
        <v>11</v>
      </c>
      <c r="G994" s="35">
        <v>5</v>
      </c>
      <c r="H994" s="1" t="s">
        <v>2</v>
      </c>
      <c r="I994" s="1"/>
      <c r="J994" s="1"/>
      <c r="K994" s="1"/>
      <c r="AA994" s="1"/>
    </row>
    <row r="995" spans="1:27" x14ac:dyDescent="0.25">
      <c r="A995" t="s">
        <v>83</v>
      </c>
      <c r="B995" t="str">
        <f t="shared" si="17"/>
        <v>25</v>
      </c>
      <c r="C995" s="35">
        <v>1993</v>
      </c>
      <c r="D995" s="1" t="s">
        <v>4</v>
      </c>
      <c r="E995" s="36">
        <v>1164</v>
      </c>
      <c r="F995" s="35">
        <v>881</v>
      </c>
      <c r="G995" s="35">
        <v>283</v>
      </c>
      <c r="H995" s="1" t="s">
        <v>2</v>
      </c>
      <c r="I995" s="1"/>
      <c r="J995" s="1"/>
      <c r="K995" s="1"/>
      <c r="AA995" s="1"/>
    </row>
    <row r="996" spans="1:27" x14ac:dyDescent="0.25">
      <c r="A996" t="s">
        <v>83</v>
      </c>
      <c r="B996" t="str">
        <f t="shared" si="17"/>
        <v>25</v>
      </c>
      <c r="C996" s="35">
        <v>1993</v>
      </c>
      <c r="D996" s="35">
        <v>1991</v>
      </c>
      <c r="E996" s="35">
        <v>1</v>
      </c>
      <c r="F996" s="35">
        <v>1</v>
      </c>
      <c r="G996" s="1" t="s">
        <v>2</v>
      </c>
      <c r="H996" s="1" t="s">
        <v>2</v>
      </c>
      <c r="I996" s="1"/>
      <c r="J996" s="1"/>
      <c r="K996" s="1"/>
      <c r="AA996" s="1"/>
    </row>
    <row r="997" spans="1:27" x14ac:dyDescent="0.25">
      <c r="A997" t="s">
        <v>83</v>
      </c>
      <c r="B997" t="str">
        <f t="shared" si="17"/>
        <v>25</v>
      </c>
      <c r="C997" s="35">
        <v>1993</v>
      </c>
      <c r="D997" s="35">
        <v>1992</v>
      </c>
      <c r="E997" s="35">
        <v>6</v>
      </c>
      <c r="F997" s="35">
        <v>5</v>
      </c>
      <c r="G997" s="35">
        <v>1</v>
      </c>
      <c r="H997" s="1" t="s">
        <v>2</v>
      </c>
      <c r="I997" s="1"/>
      <c r="J997" s="1"/>
      <c r="K997" s="1"/>
      <c r="AA997" s="1"/>
    </row>
    <row r="998" spans="1:27" x14ac:dyDescent="0.25">
      <c r="A998" t="s">
        <v>83</v>
      </c>
      <c r="B998" t="str">
        <f t="shared" si="17"/>
        <v>25</v>
      </c>
      <c r="C998" s="35">
        <v>1993</v>
      </c>
      <c r="D998" s="35">
        <v>1993</v>
      </c>
      <c r="E998" s="36">
        <v>1143</v>
      </c>
      <c r="F998" s="35">
        <v>864</v>
      </c>
      <c r="G998" s="35">
        <v>279</v>
      </c>
      <c r="H998" s="1" t="s">
        <v>2</v>
      </c>
      <c r="I998" s="1"/>
      <c r="J998" s="1"/>
      <c r="K998" s="1"/>
      <c r="AA998" s="1"/>
    </row>
    <row r="999" spans="1:27" x14ac:dyDescent="0.25">
      <c r="A999" t="s">
        <v>83</v>
      </c>
      <c r="B999" t="str">
        <f t="shared" si="17"/>
        <v>25</v>
      </c>
      <c r="C999" s="35">
        <v>1993</v>
      </c>
      <c r="D999" s="1" t="s">
        <v>24</v>
      </c>
      <c r="E999" s="35">
        <v>14</v>
      </c>
      <c r="F999" s="35">
        <v>11</v>
      </c>
      <c r="G999" s="35">
        <v>3</v>
      </c>
      <c r="H999" s="1" t="s">
        <v>2</v>
      </c>
      <c r="I999" s="1"/>
      <c r="J999" s="1"/>
      <c r="K999" s="1"/>
      <c r="AA999" s="1"/>
    </row>
    <row r="1000" spans="1:27" x14ac:dyDescent="0.25">
      <c r="A1000" t="s">
        <v>83</v>
      </c>
      <c r="B1000" t="str">
        <f t="shared" si="17"/>
        <v>25</v>
      </c>
      <c r="C1000" s="35">
        <v>1994</v>
      </c>
      <c r="D1000" s="1" t="s">
        <v>4</v>
      </c>
      <c r="E1000" s="36">
        <v>1178</v>
      </c>
      <c r="F1000" s="35">
        <v>891</v>
      </c>
      <c r="G1000" s="35">
        <v>286</v>
      </c>
      <c r="H1000" s="35">
        <v>1</v>
      </c>
      <c r="I1000" s="1"/>
      <c r="J1000" s="1"/>
      <c r="K1000" s="1"/>
      <c r="AA1000" s="1"/>
    </row>
    <row r="1001" spans="1:27" x14ac:dyDescent="0.25">
      <c r="A1001" t="s">
        <v>83</v>
      </c>
      <c r="B1001" t="str">
        <f t="shared" si="17"/>
        <v>25</v>
      </c>
      <c r="C1001" s="35">
        <v>1994</v>
      </c>
      <c r="D1001" s="35">
        <v>1993</v>
      </c>
      <c r="E1001" s="35">
        <v>9</v>
      </c>
      <c r="F1001" s="35">
        <v>7</v>
      </c>
      <c r="G1001" s="35">
        <v>2</v>
      </c>
      <c r="H1001" s="1" t="s">
        <v>2</v>
      </c>
      <c r="I1001" s="1"/>
      <c r="J1001" s="1"/>
      <c r="K1001" s="1"/>
      <c r="AA1001" s="1"/>
    </row>
    <row r="1002" spans="1:27" x14ac:dyDescent="0.25">
      <c r="A1002" t="s">
        <v>83</v>
      </c>
      <c r="B1002" t="str">
        <f t="shared" si="17"/>
        <v>25</v>
      </c>
      <c r="C1002" s="35">
        <v>1994</v>
      </c>
      <c r="D1002" s="35">
        <v>1994</v>
      </c>
      <c r="E1002" s="36">
        <v>1169</v>
      </c>
      <c r="F1002" s="35">
        <v>884</v>
      </c>
      <c r="G1002" s="35">
        <v>284</v>
      </c>
      <c r="H1002" s="35">
        <v>1</v>
      </c>
      <c r="I1002" s="1"/>
      <c r="J1002" s="1"/>
      <c r="K1002" s="1"/>
      <c r="AA1002" s="1"/>
    </row>
    <row r="1003" spans="1:27" x14ac:dyDescent="0.25">
      <c r="A1003" t="s">
        <v>83</v>
      </c>
      <c r="B1003" t="str">
        <f t="shared" si="17"/>
        <v>25</v>
      </c>
      <c r="C1003" s="35">
        <v>1995</v>
      </c>
      <c r="D1003" s="1" t="s">
        <v>4</v>
      </c>
      <c r="E1003" s="36">
        <v>1251</v>
      </c>
      <c r="F1003" s="35">
        <v>987</v>
      </c>
      <c r="G1003" s="35">
        <v>264</v>
      </c>
      <c r="H1003" s="1" t="s">
        <v>2</v>
      </c>
      <c r="I1003" s="1"/>
      <c r="J1003" s="1"/>
      <c r="K1003" s="1"/>
      <c r="AA1003" s="1"/>
    </row>
    <row r="1004" spans="1:27" x14ac:dyDescent="0.25">
      <c r="A1004" t="s">
        <v>83</v>
      </c>
      <c r="B1004" t="str">
        <f t="shared" si="17"/>
        <v>25</v>
      </c>
      <c r="C1004" s="35">
        <v>1995</v>
      </c>
      <c r="D1004" s="35">
        <v>1994</v>
      </c>
      <c r="E1004" s="35">
        <v>12</v>
      </c>
      <c r="F1004" s="35">
        <v>11</v>
      </c>
      <c r="G1004" s="35">
        <v>1</v>
      </c>
      <c r="H1004" s="1" t="s">
        <v>2</v>
      </c>
      <c r="I1004" s="1"/>
      <c r="J1004" s="1"/>
      <c r="K1004" s="1"/>
      <c r="AA1004" s="1"/>
    </row>
    <row r="1005" spans="1:27" x14ac:dyDescent="0.25">
      <c r="A1005" t="s">
        <v>83</v>
      </c>
      <c r="B1005" t="str">
        <f t="shared" si="17"/>
        <v>25</v>
      </c>
      <c r="C1005" s="35">
        <v>1995</v>
      </c>
      <c r="D1005" s="35">
        <v>1995</v>
      </c>
      <c r="E1005" s="36">
        <v>1239</v>
      </c>
      <c r="F1005" s="35">
        <v>976</v>
      </c>
      <c r="G1005" s="35">
        <v>263</v>
      </c>
      <c r="H1005" s="1" t="s">
        <v>2</v>
      </c>
      <c r="I1005" s="1"/>
      <c r="J1005" s="1"/>
      <c r="K1005" s="1"/>
      <c r="AA1005" s="1"/>
    </row>
    <row r="1006" spans="1:27" x14ac:dyDescent="0.25">
      <c r="A1006" t="s">
        <v>83</v>
      </c>
      <c r="B1006" t="str">
        <f t="shared" si="17"/>
        <v>25</v>
      </c>
      <c r="C1006" s="35">
        <v>1996</v>
      </c>
      <c r="D1006" s="1" t="s">
        <v>4</v>
      </c>
      <c r="E1006" s="36">
        <v>1150</v>
      </c>
      <c r="F1006" s="35">
        <v>888</v>
      </c>
      <c r="G1006" s="35">
        <v>262</v>
      </c>
      <c r="H1006" s="1" t="s">
        <v>2</v>
      </c>
      <c r="I1006" s="1"/>
      <c r="J1006" s="1"/>
      <c r="K1006" s="1"/>
      <c r="AA1006" s="1"/>
    </row>
    <row r="1007" spans="1:27" x14ac:dyDescent="0.25">
      <c r="A1007" t="s">
        <v>83</v>
      </c>
      <c r="B1007" t="str">
        <f t="shared" si="17"/>
        <v>25</v>
      </c>
      <c r="C1007" s="35">
        <v>1996</v>
      </c>
      <c r="D1007" s="35">
        <v>1946</v>
      </c>
      <c r="E1007" s="35">
        <v>1</v>
      </c>
      <c r="F1007" s="35">
        <v>1</v>
      </c>
      <c r="G1007" s="1" t="s">
        <v>2</v>
      </c>
      <c r="H1007" s="1" t="s">
        <v>2</v>
      </c>
      <c r="I1007" s="1"/>
      <c r="J1007" s="1"/>
      <c r="K1007" s="1"/>
      <c r="AA1007" s="1"/>
    </row>
    <row r="1008" spans="1:27" x14ac:dyDescent="0.25">
      <c r="A1008" t="s">
        <v>83</v>
      </c>
      <c r="B1008" t="str">
        <f t="shared" si="17"/>
        <v>25</v>
      </c>
      <c r="C1008" s="35">
        <v>1996</v>
      </c>
      <c r="D1008" s="35">
        <v>1995</v>
      </c>
      <c r="E1008" s="35">
        <v>10</v>
      </c>
      <c r="F1008" s="35">
        <v>9</v>
      </c>
      <c r="G1008" s="35">
        <v>1</v>
      </c>
      <c r="H1008" s="1" t="s">
        <v>2</v>
      </c>
      <c r="I1008" s="1"/>
      <c r="J1008" s="1"/>
      <c r="K1008" s="1"/>
      <c r="AA1008" s="1"/>
    </row>
    <row r="1009" spans="1:27" x14ac:dyDescent="0.25">
      <c r="A1009" t="s">
        <v>83</v>
      </c>
      <c r="B1009" t="str">
        <f t="shared" si="17"/>
        <v>25</v>
      </c>
      <c r="C1009" s="35">
        <v>1996</v>
      </c>
      <c r="D1009" s="35">
        <v>1996</v>
      </c>
      <c r="E1009" s="36">
        <v>1139</v>
      </c>
      <c r="F1009" s="35">
        <v>878</v>
      </c>
      <c r="G1009" s="35">
        <v>261</v>
      </c>
      <c r="H1009" s="1" t="s">
        <v>2</v>
      </c>
      <c r="I1009" s="1"/>
      <c r="J1009" s="1"/>
      <c r="K1009" s="1"/>
      <c r="AA1009" s="1"/>
    </row>
    <row r="1010" spans="1:27" x14ac:dyDescent="0.25">
      <c r="A1010" t="s">
        <v>83</v>
      </c>
      <c r="B1010" t="str">
        <f t="shared" si="17"/>
        <v>25</v>
      </c>
      <c r="C1010" s="35">
        <v>1997</v>
      </c>
      <c r="D1010" s="1" t="s">
        <v>4</v>
      </c>
      <c r="E1010" s="36">
        <v>1199</v>
      </c>
      <c r="F1010" s="35">
        <v>904</v>
      </c>
      <c r="G1010" s="35">
        <v>295</v>
      </c>
      <c r="H1010" s="1" t="s">
        <v>2</v>
      </c>
      <c r="I1010" s="1"/>
      <c r="J1010" s="1"/>
      <c r="K1010" s="1"/>
      <c r="AA1010" s="1"/>
    </row>
    <row r="1011" spans="1:27" x14ac:dyDescent="0.25">
      <c r="A1011" t="s">
        <v>83</v>
      </c>
      <c r="B1011" t="str">
        <f t="shared" si="17"/>
        <v>25</v>
      </c>
      <c r="C1011" s="35">
        <v>1997</v>
      </c>
      <c r="D1011" s="35">
        <v>1992</v>
      </c>
      <c r="E1011" s="35">
        <v>1</v>
      </c>
      <c r="F1011" s="35">
        <v>1</v>
      </c>
      <c r="G1011" s="1" t="s">
        <v>2</v>
      </c>
      <c r="H1011" s="1" t="s">
        <v>2</v>
      </c>
      <c r="I1011" s="1"/>
      <c r="J1011" s="1"/>
      <c r="K1011" s="1"/>
      <c r="AA1011" s="1"/>
    </row>
    <row r="1012" spans="1:27" x14ac:dyDescent="0.25">
      <c r="A1012" t="s">
        <v>83</v>
      </c>
      <c r="B1012" t="str">
        <f t="shared" si="17"/>
        <v>25</v>
      </c>
      <c r="C1012" s="35">
        <v>1997</v>
      </c>
      <c r="D1012" s="35">
        <v>1995</v>
      </c>
      <c r="E1012" s="35">
        <v>1</v>
      </c>
      <c r="F1012" s="35">
        <v>1</v>
      </c>
      <c r="G1012" s="1" t="s">
        <v>2</v>
      </c>
      <c r="H1012" s="1" t="s">
        <v>2</v>
      </c>
      <c r="I1012" s="1"/>
      <c r="J1012" s="1"/>
      <c r="K1012" s="1"/>
      <c r="AA1012" s="1"/>
    </row>
    <row r="1013" spans="1:27" x14ac:dyDescent="0.25">
      <c r="A1013" t="s">
        <v>83</v>
      </c>
      <c r="B1013" t="str">
        <f t="shared" si="17"/>
        <v>25</v>
      </c>
      <c r="C1013" s="35">
        <v>1997</v>
      </c>
      <c r="D1013" s="35">
        <v>1996</v>
      </c>
      <c r="E1013" s="35">
        <v>9</v>
      </c>
      <c r="F1013" s="35">
        <v>7</v>
      </c>
      <c r="G1013" s="35">
        <v>2</v>
      </c>
      <c r="H1013" s="1" t="s">
        <v>2</v>
      </c>
      <c r="I1013" s="1"/>
      <c r="J1013" s="1"/>
      <c r="K1013" s="1"/>
      <c r="AA1013" s="1"/>
    </row>
    <row r="1014" spans="1:27" x14ac:dyDescent="0.25">
      <c r="A1014" t="s">
        <v>83</v>
      </c>
      <c r="B1014" t="str">
        <f t="shared" si="17"/>
        <v>25</v>
      </c>
      <c r="C1014" s="35">
        <v>1997</v>
      </c>
      <c r="D1014" s="35">
        <v>1997</v>
      </c>
      <c r="E1014" s="36">
        <v>1188</v>
      </c>
      <c r="F1014" s="35">
        <v>895</v>
      </c>
      <c r="G1014" s="35">
        <v>293</v>
      </c>
      <c r="H1014" s="1" t="s">
        <v>2</v>
      </c>
      <c r="I1014" s="1"/>
      <c r="J1014" s="1"/>
      <c r="K1014" s="1"/>
      <c r="AA1014" s="1"/>
    </row>
    <row r="1015" spans="1:27" x14ac:dyDescent="0.25">
      <c r="A1015" t="s">
        <v>83</v>
      </c>
      <c r="B1015" t="str">
        <f t="shared" si="17"/>
        <v>25</v>
      </c>
      <c r="C1015" s="35">
        <v>1998</v>
      </c>
      <c r="D1015" s="1" t="s">
        <v>4</v>
      </c>
      <c r="E1015" s="36">
        <v>1131</v>
      </c>
      <c r="F1015" s="35">
        <v>838</v>
      </c>
      <c r="G1015" s="35">
        <v>293</v>
      </c>
      <c r="H1015" s="1" t="s">
        <v>2</v>
      </c>
      <c r="I1015" s="1"/>
      <c r="J1015" s="1"/>
      <c r="K1015" s="1"/>
      <c r="AA1015" s="1"/>
    </row>
    <row r="1016" spans="1:27" x14ac:dyDescent="0.25">
      <c r="A1016" t="s">
        <v>83</v>
      </c>
      <c r="B1016" t="str">
        <f t="shared" si="17"/>
        <v>25</v>
      </c>
      <c r="C1016" s="35">
        <v>1998</v>
      </c>
      <c r="D1016" s="35">
        <v>1961</v>
      </c>
      <c r="E1016" s="35">
        <v>1</v>
      </c>
      <c r="F1016" s="1" t="s">
        <v>2</v>
      </c>
      <c r="G1016" s="35">
        <v>1</v>
      </c>
      <c r="H1016" s="1" t="s">
        <v>2</v>
      </c>
      <c r="I1016" s="1"/>
      <c r="J1016" s="1"/>
      <c r="K1016" s="1"/>
      <c r="AA1016" s="1"/>
    </row>
    <row r="1017" spans="1:27" x14ac:dyDescent="0.25">
      <c r="A1017" t="s">
        <v>83</v>
      </c>
      <c r="B1017" t="str">
        <f t="shared" si="17"/>
        <v>25</v>
      </c>
      <c r="C1017" s="35">
        <v>1998</v>
      </c>
      <c r="D1017" s="35">
        <v>1990</v>
      </c>
      <c r="E1017" s="35">
        <v>1</v>
      </c>
      <c r="F1017" s="35">
        <v>1</v>
      </c>
      <c r="G1017" s="1" t="s">
        <v>2</v>
      </c>
      <c r="H1017" s="1" t="s">
        <v>2</v>
      </c>
      <c r="I1017" s="1"/>
      <c r="J1017" s="1"/>
      <c r="K1017" s="1"/>
      <c r="AA1017" s="1"/>
    </row>
    <row r="1018" spans="1:27" x14ac:dyDescent="0.25">
      <c r="A1018" t="s">
        <v>83</v>
      </c>
      <c r="B1018" t="str">
        <f t="shared" si="17"/>
        <v>25</v>
      </c>
      <c r="C1018" s="35">
        <v>1998</v>
      </c>
      <c r="D1018" s="35">
        <v>1993</v>
      </c>
      <c r="E1018" s="35">
        <v>1</v>
      </c>
      <c r="F1018" s="35">
        <v>1</v>
      </c>
      <c r="G1018" s="1" t="s">
        <v>2</v>
      </c>
      <c r="H1018" s="1" t="s">
        <v>2</v>
      </c>
      <c r="I1018" s="1"/>
      <c r="J1018" s="1"/>
      <c r="K1018" s="1"/>
      <c r="AA1018" s="1"/>
    </row>
    <row r="1019" spans="1:27" x14ac:dyDescent="0.25">
      <c r="A1019" t="s">
        <v>83</v>
      </c>
      <c r="B1019" t="str">
        <f t="shared" si="17"/>
        <v>25</v>
      </c>
      <c r="C1019" s="35">
        <v>1998</v>
      </c>
      <c r="D1019" s="35">
        <v>1997</v>
      </c>
      <c r="E1019" s="35">
        <v>11</v>
      </c>
      <c r="F1019" s="35">
        <v>9</v>
      </c>
      <c r="G1019" s="35">
        <v>2</v>
      </c>
      <c r="H1019" s="1" t="s">
        <v>2</v>
      </c>
      <c r="I1019" s="1"/>
      <c r="J1019" s="1"/>
      <c r="K1019" s="1"/>
      <c r="AA1019" s="1"/>
    </row>
    <row r="1020" spans="1:27" x14ac:dyDescent="0.25">
      <c r="A1020" t="s">
        <v>83</v>
      </c>
      <c r="B1020" t="str">
        <f t="shared" si="17"/>
        <v>25</v>
      </c>
      <c r="C1020" s="35">
        <v>1998</v>
      </c>
      <c r="D1020" s="35">
        <v>1998</v>
      </c>
      <c r="E1020" s="36">
        <v>1117</v>
      </c>
      <c r="F1020" s="35">
        <v>827</v>
      </c>
      <c r="G1020" s="35">
        <v>290</v>
      </c>
      <c r="H1020" s="1" t="s">
        <v>2</v>
      </c>
      <c r="I1020" s="1"/>
      <c r="J1020" s="1"/>
      <c r="K1020" s="1"/>
      <c r="AA1020" s="1"/>
    </row>
    <row r="1021" spans="1:27" x14ac:dyDescent="0.25">
      <c r="A1021" t="s">
        <v>83</v>
      </c>
      <c r="B1021" t="str">
        <f t="shared" si="17"/>
        <v>25</v>
      </c>
      <c r="C1021" s="35">
        <v>1999</v>
      </c>
      <c r="D1021" s="1" t="s">
        <v>4</v>
      </c>
      <c r="E1021" s="36">
        <v>1001</v>
      </c>
      <c r="F1021" s="35">
        <v>759</v>
      </c>
      <c r="G1021" s="35">
        <v>241</v>
      </c>
      <c r="H1021" s="35">
        <v>1</v>
      </c>
      <c r="I1021" s="1"/>
      <c r="J1021" s="1"/>
      <c r="K1021" s="1"/>
      <c r="AA1021" s="1"/>
    </row>
    <row r="1022" spans="1:27" x14ac:dyDescent="0.25">
      <c r="A1022" t="s">
        <v>83</v>
      </c>
      <c r="B1022" t="str">
        <f t="shared" si="17"/>
        <v>25</v>
      </c>
      <c r="C1022" s="35">
        <v>1999</v>
      </c>
      <c r="D1022" s="35">
        <v>1998</v>
      </c>
      <c r="E1022" s="35">
        <v>11</v>
      </c>
      <c r="F1022" s="35">
        <v>10</v>
      </c>
      <c r="G1022" s="35">
        <v>1</v>
      </c>
      <c r="H1022" s="1" t="s">
        <v>2</v>
      </c>
      <c r="I1022" s="1"/>
      <c r="J1022" s="1"/>
      <c r="K1022" s="1"/>
      <c r="AA1022" s="1"/>
    </row>
    <row r="1023" spans="1:27" x14ac:dyDescent="0.25">
      <c r="A1023" t="s">
        <v>83</v>
      </c>
      <c r="B1023" t="str">
        <f t="shared" si="17"/>
        <v>25</v>
      </c>
      <c r="C1023" s="35">
        <v>1999</v>
      </c>
      <c r="D1023" s="35">
        <v>1999</v>
      </c>
      <c r="E1023" s="35">
        <v>990</v>
      </c>
      <c r="F1023" s="35">
        <v>749</v>
      </c>
      <c r="G1023" s="35">
        <v>240</v>
      </c>
      <c r="H1023" s="35">
        <v>1</v>
      </c>
      <c r="I1023" s="1"/>
      <c r="J1023" s="1"/>
      <c r="K1023" s="1"/>
      <c r="AA1023" s="1"/>
    </row>
    <row r="1024" spans="1:27" x14ac:dyDescent="0.25">
      <c r="A1024" t="s">
        <v>83</v>
      </c>
      <c r="B1024" t="str">
        <f t="shared" si="17"/>
        <v>25</v>
      </c>
      <c r="C1024" s="35">
        <v>2000</v>
      </c>
      <c r="D1024" s="1" t="s">
        <v>4</v>
      </c>
      <c r="E1024" s="36">
        <v>1039</v>
      </c>
      <c r="F1024" s="35">
        <v>780</v>
      </c>
      <c r="G1024" s="35">
        <v>259</v>
      </c>
      <c r="H1024" s="1" t="s">
        <v>2</v>
      </c>
      <c r="I1024" s="1"/>
      <c r="J1024" s="1"/>
      <c r="K1024" s="1"/>
      <c r="AA1024" s="1"/>
    </row>
    <row r="1025" spans="1:27" x14ac:dyDescent="0.25">
      <c r="A1025" t="s">
        <v>83</v>
      </c>
      <c r="B1025" t="str">
        <f t="shared" si="17"/>
        <v>25</v>
      </c>
      <c r="C1025" s="35">
        <v>2000</v>
      </c>
      <c r="D1025" s="35">
        <v>1999</v>
      </c>
      <c r="E1025" s="35">
        <v>8</v>
      </c>
      <c r="F1025" s="35">
        <v>8</v>
      </c>
      <c r="G1025" s="1" t="s">
        <v>2</v>
      </c>
      <c r="H1025" s="1" t="s">
        <v>2</v>
      </c>
      <c r="I1025" s="1"/>
      <c r="J1025" s="1"/>
      <c r="K1025" s="1"/>
      <c r="AA1025" s="1"/>
    </row>
    <row r="1026" spans="1:27" x14ac:dyDescent="0.25">
      <c r="A1026" t="s">
        <v>83</v>
      </c>
      <c r="B1026" t="str">
        <f t="shared" si="17"/>
        <v>25</v>
      </c>
      <c r="C1026" s="35">
        <v>2000</v>
      </c>
      <c r="D1026" s="35">
        <v>2000</v>
      </c>
      <c r="E1026" s="36">
        <v>1031</v>
      </c>
      <c r="F1026" s="35">
        <v>772</v>
      </c>
      <c r="G1026" s="35">
        <v>259</v>
      </c>
      <c r="H1026" s="1" t="s">
        <v>2</v>
      </c>
      <c r="I1026" s="1"/>
      <c r="J1026" s="1"/>
      <c r="K1026" s="1"/>
      <c r="AA1026" s="1"/>
    </row>
    <row r="1027" spans="1:27" x14ac:dyDescent="0.25">
      <c r="A1027" t="s">
        <v>83</v>
      </c>
      <c r="B1027" t="str">
        <f t="shared" si="17"/>
        <v>25</v>
      </c>
      <c r="C1027" s="35">
        <v>2001</v>
      </c>
      <c r="D1027" s="1" t="s">
        <v>4</v>
      </c>
      <c r="E1027" s="35">
        <v>965</v>
      </c>
      <c r="F1027" s="35">
        <v>731</v>
      </c>
      <c r="G1027" s="35">
        <v>234</v>
      </c>
      <c r="H1027" s="1" t="s">
        <v>2</v>
      </c>
      <c r="I1027" s="1"/>
      <c r="J1027" s="1"/>
      <c r="K1027" s="1"/>
      <c r="AA1027" s="1"/>
    </row>
    <row r="1028" spans="1:27" x14ac:dyDescent="0.25">
      <c r="A1028" t="s">
        <v>83</v>
      </c>
      <c r="B1028" t="str">
        <f t="shared" si="17"/>
        <v>25</v>
      </c>
      <c r="C1028" s="35">
        <v>2001</v>
      </c>
      <c r="D1028" s="35">
        <v>2000</v>
      </c>
      <c r="E1028" s="35">
        <v>7</v>
      </c>
      <c r="F1028" s="35">
        <v>6</v>
      </c>
      <c r="G1028" s="35">
        <v>1</v>
      </c>
      <c r="H1028" s="1" t="s">
        <v>2</v>
      </c>
      <c r="I1028" s="1"/>
      <c r="J1028" s="1"/>
      <c r="K1028" s="1"/>
      <c r="AA1028" s="1"/>
    </row>
    <row r="1029" spans="1:27" x14ac:dyDescent="0.25">
      <c r="A1029" t="s">
        <v>83</v>
      </c>
      <c r="B1029" t="str">
        <f t="shared" si="17"/>
        <v>25</v>
      </c>
      <c r="C1029" s="35">
        <v>2001</v>
      </c>
      <c r="D1029" s="35">
        <v>2001</v>
      </c>
      <c r="E1029" s="35">
        <v>958</v>
      </c>
      <c r="F1029" s="35">
        <v>725</v>
      </c>
      <c r="G1029" s="35">
        <v>233</v>
      </c>
      <c r="H1029" s="1" t="s">
        <v>2</v>
      </c>
      <c r="I1029" s="1"/>
      <c r="J1029" s="1"/>
      <c r="K1029" s="1"/>
      <c r="AA1029" s="1"/>
    </row>
    <row r="1030" spans="1:27" x14ac:dyDescent="0.25">
      <c r="A1030" t="s">
        <v>83</v>
      </c>
      <c r="B1030" t="str">
        <f t="shared" si="17"/>
        <v>25</v>
      </c>
      <c r="C1030" s="35">
        <v>2002</v>
      </c>
      <c r="D1030" s="1" t="s">
        <v>4</v>
      </c>
      <c r="E1030" s="35">
        <v>993</v>
      </c>
      <c r="F1030" s="35">
        <v>746</v>
      </c>
      <c r="G1030" s="35">
        <v>247</v>
      </c>
      <c r="H1030" s="1" t="s">
        <v>2</v>
      </c>
      <c r="I1030" s="1"/>
      <c r="J1030" s="1"/>
      <c r="K1030" s="1"/>
      <c r="AA1030" s="1"/>
    </row>
    <row r="1031" spans="1:27" x14ac:dyDescent="0.25">
      <c r="A1031" t="s">
        <v>83</v>
      </c>
      <c r="B1031" t="str">
        <f t="shared" ref="B1031:B1094" si="18">IF(A1031="Menores de 1 año",0,LEFT(A1031,2))</f>
        <v>25</v>
      </c>
      <c r="C1031" s="35">
        <v>2002</v>
      </c>
      <c r="D1031" s="35">
        <v>2001</v>
      </c>
      <c r="E1031" s="35">
        <v>9</v>
      </c>
      <c r="F1031" s="35">
        <v>8</v>
      </c>
      <c r="G1031" s="35">
        <v>1</v>
      </c>
      <c r="H1031" s="1" t="s">
        <v>2</v>
      </c>
      <c r="I1031" s="1"/>
      <c r="J1031" s="1"/>
      <c r="K1031" s="1"/>
      <c r="AA1031" s="1"/>
    </row>
    <row r="1032" spans="1:27" x14ac:dyDescent="0.25">
      <c r="A1032" t="s">
        <v>83</v>
      </c>
      <c r="B1032" t="str">
        <f t="shared" si="18"/>
        <v>25</v>
      </c>
      <c r="C1032" s="35">
        <v>2002</v>
      </c>
      <c r="D1032" s="35">
        <v>2002</v>
      </c>
      <c r="E1032" s="35">
        <v>984</v>
      </c>
      <c r="F1032" s="35">
        <v>738</v>
      </c>
      <c r="G1032" s="35">
        <v>246</v>
      </c>
      <c r="H1032" s="1" t="s">
        <v>2</v>
      </c>
      <c r="I1032" s="1"/>
      <c r="J1032" s="1"/>
      <c r="K1032" s="1"/>
      <c r="AA1032" s="1"/>
    </row>
    <row r="1033" spans="1:27" x14ac:dyDescent="0.25">
      <c r="A1033" t="s">
        <v>83</v>
      </c>
      <c r="B1033" t="str">
        <f t="shared" si="18"/>
        <v>25</v>
      </c>
      <c r="C1033" s="35">
        <v>2003</v>
      </c>
      <c r="D1033" s="1" t="s">
        <v>4</v>
      </c>
      <c r="E1033" s="35">
        <v>931</v>
      </c>
      <c r="F1033" s="35">
        <v>663</v>
      </c>
      <c r="G1033" s="35">
        <v>268</v>
      </c>
      <c r="H1033" s="1" t="s">
        <v>2</v>
      </c>
      <c r="I1033" s="1"/>
      <c r="J1033" s="1"/>
      <c r="K1033" s="1"/>
      <c r="AA1033" s="1"/>
    </row>
    <row r="1034" spans="1:27" x14ac:dyDescent="0.25">
      <c r="A1034" t="s">
        <v>83</v>
      </c>
      <c r="B1034" t="str">
        <f t="shared" si="18"/>
        <v>25</v>
      </c>
      <c r="C1034" s="35">
        <v>2003</v>
      </c>
      <c r="D1034" s="35">
        <v>1976</v>
      </c>
      <c r="E1034" s="35">
        <v>1</v>
      </c>
      <c r="F1034" s="1" t="s">
        <v>2</v>
      </c>
      <c r="G1034" s="35">
        <v>1</v>
      </c>
      <c r="H1034" s="1" t="s">
        <v>2</v>
      </c>
      <c r="I1034" s="1"/>
      <c r="J1034" s="1"/>
      <c r="K1034" s="1"/>
      <c r="AA1034" s="1"/>
    </row>
    <row r="1035" spans="1:27" x14ac:dyDescent="0.25">
      <c r="A1035" t="s">
        <v>83</v>
      </c>
      <c r="B1035" t="str">
        <f t="shared" si="18"/>
        <v>25</v>
      </c>
      <c r="C1035" s="35">
        <v>2003</v>
      </c>
      <c r="D1035" s="35">
        <v>2002</v>
      </c>
      <c r="E1035" s="35">
        <v>9</v>
      </c>
      <c r="F1035" s="35">
        <v>7</v>
      </c>
      <c r="G1035" s="35">
        <v>2</v>
      </c>
      <c r="H1035" s="1" t="s">
        <v>2</v>
      </c>
      <c r="I1035" s="1"/>
      <c r="J1035" s="1"/>
      <c r="K1035" s="1"/>
      <c r="AA1035" s="1"/>
    </row>
    <row r="1036" spans="1:27" x14ac:dyDescent="0.25">
      <c r="A1036" t="s">
        <v>83</v>
      </c>
      <c r="B1036" t="str">
        <f t="shared" si="18"/>
        <v>25</v>
      </c>
      <c r="C1036" s="35">
        <v>2003</v>
      </c>
      <c r="D1036" s="35">
        <v>2003</v>
      </c>
      <c r="E1036" s="35">
        <v>921</v>
      </c>
      <c r="F1036" s="35">
        <v>656</v>
      </c>
      <c r="G1036" s="35">
        <v>265</v>
      </c>
      <c r="H1036" s="1" t="s">
        <v>2</v>
      </c>
      <c r="I1036" s="1"/>
      <c r="J1036" s="1"/>
      <c r="K1036" s="1"/>
      <c r="AA1036" s="1"/>
    </row>
    <row r="1037" spans="1:27" x14ac:dyDescent="0.25">
      <c r="A1037" t="s">
        <v>83</v>
      </c>
      <c r="B1037" t="str">
        <f t="shared" si="18"/>
        <v>25</v>
      </c>
      <c r="C1037" s="35">
        <v>2004</v>
      </c>
      <c r="D1037" s="1" t="s">
        <v>4</v>
      </c>
      <c r="E1037" s="35">
        <v>821</v>
      </c>
      <c r="F1037" s="35">
        <v>620</v>
      </c>
      <c r="G1037" s="35">
        <v>201</v>
      </c>
      <c r="H1037" s="1" t="s">
        <v>2</v>
      </c>
      <c r="I1037" s="1"/>
      <c r="J1037" s="1"/>
      <c r="K1037" s="1"/>
      <c r="AA1037" s="1"/>
    </row>
    <row r="1038" spans="1:27" x14ac:dyDescent="0.25">
      <c r="A1038" t="s">
        <v>83</v>
      </c>
      <c r="B1038" t="str">
        <f t="shared" si="18"/>
        <v>25</v>
      </c>
      <c r="C1038" s="35">
        <v>2004</v>
      </c>
      <c r="D1038" s="35">
        <v>2003</v>
      </c>
      <c r="E1038" s="35">
        <v>14</v>
      </c>
      <c r="F1038" s="35">
        <v>14</v>
      </c>
      <c r="G1038" s="1" t="s">
        <v>2</v>
      </c>
      <c r="H1038" s="1" t="s">
        <v>2</v>
      </c>
      <c r="I1038" s="1"/>
      <c r="J1038" s="1"/>
      <c r="K1038" s="1"/>
      <c r="AA1038" s="1"/>
    </row>
    <row r="1039" spans="1:27" x14ac:dyDescent="0.25">
      <c r="A1039" t="s">
        <v>83</v>
      </c>
      <c r="B1039" t="str">
        <f t="shared" si="18"/>
        <v>25</v>
      </c>
      <c r="C1039" s="35">
        <v>2004</v>
      </c>
      <c r="D1039" s="35">
        <v>2004</v>
      </c>
      <c r="E1039" s="35">
        <v>807</v>
      </c>
      <c r="F1039" s="35">
        <v>606</v>
      </c>
      <c r="G1039" s="35">
        <v>201</v>
      </c>
      <c r="H1039" s="1" t="s">
        <v>2</v>
      </c>
      <c r="I1039" s="1"/>
      <c r="J1039" s="1"/>
      <c r="K1039" s="1"/>
      <c r="AA1039" s="1"/>
    </row>
    <row r="1040" spans="1:27" x14ac:dyDescent="0.25">
      <c r="A1040" t="s">
        <v>83</v>
      </c>
      <c r="B1040" t="str">
        <f t="shared" si="18"/>
        <v>25</v>
      </c>
      <c r="C1040" s="35">
        <v>2005</v>
      </c>
      <c r="D1040" s="1" t="s">
        <v>4</v>
      </c>
      <c r="E1040" s="35">
        <v>805</v>
      </c>
      <c r="F1040" s="35">
        <v>592</v>
      </c>
      <c r="G1040" s="35">
        <v>213</v>
      </c>
      <c r="H1040" s="1" t="s">
        <v>2</v>
      </c>
      <c r="I1040" s="1"/>
      <c r="J1040" s="1"/>
      <c r="K1040" s="1"/>
      <c r="AA1040" s="1"/>
    </row>
    <row r="1041" spans="1:27" x14ac:dyDescent="0.25">
      <c r="A1041" t="s">
        <v>83</v>
      </c>
      <c r="B1041" t="str">
        <f t="shared" si="18"/>
        <v>25</v>
      </c>
      <c r="C1041" s="35">
        <v>2005</v>
      </c>
      <c r="D1041" s="35">
        <v>2002</v>
      </c>
      <c r="E1041" s="35">
        <v>1</v>
      </c>
      <c r="F1041" s="35">
        <v>1</v>
      </c>
      <c r="G1041" s="1" t="s">
        <v>2</v>
      </c>
      <c r="H1041" s="1" t="s">
        <v>2</v>
      </c>
      <c r="I1041" s="1"/>
      <c r="J1041" s="1"/>
      <c r="K1041" s="1"/>
      <c r="AA1041" s="1"/>
    </row>
    <row r="1042" spans="1:27" x14ac:dyDescent="0.25">
      <c r="A1042" t="s">
        <v>83</v>
      </c>
      <c r="B1042" t="str">
        <f t="shared" si="18"/>
        <v>25</v>
      </c>
      <c r="C1042" s="35">
        <v>2005</v>
      </c>
      <c r="D1042" s="35">
        <v>2004</v>
      </c>
      <c r="E1042" s="35">
        <v>3</v>
      </c>
      <c r="F1042" s="35">
        <v>3</v>
      </c>
      <c r="G1042" s="1" t="s">
        <v>2</v>
      </c>
      <c r="H1042" s="1" t="s">
        <v>2</v>
      </c>
      <c r="I1042" s="1"/>
      <c r="J1042" s="1"/>
      <c r="K1042" s="1"/>
      <c r="AA1042" s="1"/>
    </row>
    <row r="1043" spans="1:27" x14ac:dyDescent="0.25">
      <c r="A1043" t="s">
        <v>83</v>
      </c>
      <c r="B1043" t="str">
        <f t="shared" si="18"/>
        <v>25</v>
      </c>
      <c r="C1043" s="35">
        <v>2005</v>
      </c>
      <c r="D1043" s="35">
        <v>2005</v>
      </c>
      <c r="E1043" s="35">
        <v>801</v>
      </c>
      <c r="F1043" s="35">
        <v>588</v>
      </c>
      <c r="G1043" s="35">
        <v>213</v>
      </c>
      <c r="H1043" s="1" t="s">
        <v>2</v>
      </c>
      <c r="I1043" s="1"/>
      <c r="J1043" s="1"/>
      <c r="K1043" s="1"/>
      <c r="AA1043" s="1"/>
    </row>
    <row r="1044" spans="1:27" x14ac:dyDescent="0.25">
      <c r="A1044" t="s">
        <v>83</v>
      </c>
      <c r="B1044" t="str">
        <f t="shared" si="18"/>
        <v>25</v>
      </c>
      <c r="C1044" s="35">
        <v>2006</v>
      </c>
      <c r="D1044" s="1" t="s">
        <v>4</v>
      </c>
      <c r="E1044" s="35">
        <v>768</v>
      </c>
      <c r="F1044" s="35">
        <v>558</v>
      </c>
      <c r="G1044" s="35">
        <v>210</v>
      </c>
      <c r="H1044" s="1" t="s">
        <v>2</v>
      </c>
      <c r="I1044" s="1"/>
      <c r="J1044" s="1"/>
      <c r="K1044" s="1"/>
      <c r="AA1044" s="1"/>
    </row>
    <row r="1045" spans="1:27" x14ac:dyDescent="0.25">
      <c r="A1045" t="s">
        <v>83</v>
      </c>
      <c r="B1045" t="str">
        <f t="shared" si="18"/>
        <v>25</v>
      </c>
      <c r="C1045" s="35">
        <v>2006</v>
      </c>
      <c r="D1045" s="35">
        <v>2000</v>
      </c>
      <c r="E1045" s="35">
        <v>1</v>
      </c>
      <c r="F1045" s="35">
        <v>1</v>
      </c>
      <c r="G1045" s="1" t="s">
        <v>2</v>
      </c>
      <c r="H1045" s="1" t="s">
        <v>2</v>
      </c>
      <c r="I1045" s="1"/>
      <c r="J1045" s="1"/>
      <c r="K1045" s="1"/>
      <c r="AA1045" s="1"/>
    </row>
    <row r="1046" spans="1:27" x14ac:dyDescent="0.25">
      <c r="A1046" t="s">
        <v>83</v>
      </c>
      <c r="B1046" t="str">
        <f t="shared" si="18"/>
        <v>25</v>
      </c>
      <c r="C1046" s="35">
        <v>2006</v>
      </c>
      <c r="D1046" s="35">
        <v>2001</v>
      </c>
      <c r="E1046" s="35">
        <v>1</v>
      </c>
      <c r="F1046" s="35">
        <v>1</v>
      </c>
      <c r="G1046" s="1" t="s">
        <v>2</v>
      </c>
      <c r="H1046" s="1" t="s">
        <v>2</v>
      </c>
      <c r="I1046" s="1"/>
      <c r="J1046" s="1"/>
      <c r="K1046" s="1"/>
      <c r="AA1046" s="1"/>
    </row>
    <row r="1047" spans="1:27" x14ac:dyDescent="0.25">
      <c r="A1047" t="s">
        <v>83</v>
      </c>
      <c r="B1047" t="str">
        <f t="shared" si="18"/>
        <v>25</v>
      </c>
      <c r="C1047" s="35">
        <v>2006</v>
      </c>
      <c r="D1047" s="35">
        <v>2005</v>
      </c>
      <c r="E1047" s="35">
        <v>13</v>
      </c>
      <c r="F1047" s="35">
        <v>10</v>
      </c>
      <c r="G1047" s="35">
        <v>3</v>
      </c>
      <c r="H1047" s="1" t="s">
        <v>2</v>
      </c>
      <c r="I1047" s="1"/>
      <c r="J1047" s="1"/>
      <c r="K1047" s="1"/>
      <c r="AA1047" s="1"/>
    </row>
    <row r="1048" spans="1:27" x14ac:dyDescent="0.25">
      <c r="A1048" t="s">
        <v>83</v>
      </c>
      <c r="B1048" t="str">
        <f t="shared" si="18"/>
        <v>25</v>
      </c>
      <c r="C1048" s="35">
        <v>2006</v>
      </c>
      <c r="D1048" s="35">
        <v>2006</v>
      </c>
      <c r="E1048" s="35">
        <v>753</v>
      </c>
      <c r="F1048" s="35">
        <v>546</v>
      </c>
      <c r="G1048" s="35">
        <v>207</v>
      </c>
      <c r="H1048" s="1" t="s">
        <v>2</v>
      </c>
      <c r="I1048" s="1"/>
      <c r="J1048" s="1"/>
      <c r="K1048" s="1"/>
      <c r="AA1048" s="1"/>
    </row>
    <row r="1049" spans="1:27" x14ac:dyDescent="0.25">
      <c r="A1049" t="s">
        <v>83</v>
      </c>
      <c r="B1049" t="str">
        <f t="shared" si="18"/>
        <v>25</v>
      </c>
      <c r="C1049" s="35">
        <v>2007</v>
      </c>
      <c r="D1049" s="1" t="s">
        <v>4</v>
      </c>
      <c r="E1049" s="35">
        <v>849</v>
      </c>
      <c r="F1049" s="35">
        <v>609</v>
      </c>
      <c r="G1049" s="35">
        <v>240</v>
      </c>
      <c r="H1049" s="1" t="s">
        <v>2</v>
      </c>
      <c r="I1049" s="1"/>
      <c r="J1049" s="1"/>
      <c r="K1049" s="1"/>
      <c r="AA1049" s="1"/>
    </row>
    <row r="1050" spans="1:27" x14ac:dyDescent="0.25">
      <c r="A1050" t="s">
        <v>83</v>
      </c>
      <c r="B1050" t="str">
        <f t="shared" si="18"/>
        <v>25</v>
      </c>
      <c r="C1050" s="35">
        <v>2007</v>
      </c>
      <c r="D1050" s="35">
        <v>2005</v>
      </c>
      <c r="E1050" s="35">
        <v>1</v>
      </c>
      <c r="F1050" s="35">
        <v>1</v>
      </c>
      <c r="G1050" s="1" t="s">
        <v>2</v>
      </c>
      <c r="H1050" s="1" t="s">
        <v>2</v>
      </c>
      <c r="I1050" s="1"/>
      <c r="J1050" s="1"/>
      <c r="K1050" s="1"/>
      <c r="AA1050" s="1"/>
    </row>
    <row r="1051" spans="1:27" x14ac:dyDescent="0.25">
      <c r="A1051" t="s">
        <v>83</v>
      </c>
      <c r="B1051" t="str">
        <f t="shared" si="18"/>
        <v>25</v>
      </c>
      <c r="C1051" s="35">
        <v>2007</v>
      </c>
      <c r="D1051" s="35">
        <v>2006</v>
      </c>
      <c r="E1051" s="35">
        <v>24</v>
      </c>
      <c r="F1051" s="35">
        <v>21</v>
      </c>
      <c r="G1051" s="35">
        <v>3</v>
      </c>
      <c r="H1051" s="1" t="s">
        <v>2</v>
      </c>
      <c r="I1051" s="1"/>
      <c r="J1051" s="1"/>
      <c r="K1051" s="1"/>
      <c r="AA1051" s="1"/>
    </row>
    <row r="1052" spans="1:27" x14ac:dyDescent="0.25">
      <c r="A1052" t="s">
        <v>83</v>
      </c>
      <c r="B1052" t="str">
        <f t="shared" si="18"/>
        <v>25</v>
      </c>
      <c r="C1052" s="35">
        <v>2007</v>
      </c>
      <c r="D1052" s="35">
        <v>2007</v>
      </c>
      <c r="E1052" s="35">
        <v>824</v>
      </c>
      <c r="F1052" s="35">
        <v>587</v>
      </c>
      <c r="G1052" s="35">
        <v>237</v>
      </c>
      <c r="H1052" s="1" t="s">
        <v>2</v>
      </c>
      <c r="I1052" s="1"/>
      <c r="J1052" s="1"/>
      <c r="K1052" s="1"/>
      <c r="AA1052" s="1"/>
    </row>
    <row r="1053" spans="1:27" x14ac:dyDescent="0.25">
      <c r="A1053" t="s">
        <v>83</v>
      </c>
      <c r="B1053" t="str">
        <f t="shared" si="18"/>
        <v>25</v>
      </c>
      <c r="C1053" s="35">
        <v>2008</v>
      </c>
      <c r="D1053" s="1" t="s">
        <v>4</v>
      </c>
      <c r="E1053" s="35">
        <v>784</v>
      </c>
      <c r="F1053" s="35">
        <v>552</v>
      </c>
      <c r="G1053" s="35">
        <v>232</v>
      </c>
      <c r="H1053" s="1" t="s">
        <v>2</v>
      </c>
      <c r="I1053" s="1"/>
      <c r="J1053" s="1"/>
      <c r="K1053" s="1"/>
      <c r="AA1053" s="1"/>
    </row>
    <row r="1054" spans="1:27" x14ac:dyDescent="0.25">
      <c r="A1054" t="s">
        <v>83</v>
      </c>
      <c r="B1054" t="str">
        <f t="shared" si="18"/>
        <v>25</v>
      </c>
      <c r="C1054" s="35">
        <v>2008</v>
      </c>
      <c r="D1054" s="35">
        <v>2004</v>
      </c>
      <c r="E1054" s="35">
        <v>6</v>
      </c>
      <c r="F1054" s="35">
        <v>3</v>
      </c>
      <c r="G1054" s="35">
        <v>3</v>
      </c>
      <c r="H1054" s="1" t="s">
        <v>2</v>
      </c>
      <c r="I1054" s="1"/>
      <c r="J1054" s="1"/>
      <c r="K1054" s="1"/>
      <c r="AA1054" s="1"/>
    </row>
    <row r="1055" spans="1:27" x14ac:dyDescent="0.25">
      <c r="A1055" t="s">
        <v>83</v>
      </c>
      <c r="B1055" t="str">
        <f t="shared" si="18"/>
        <v>25</v>
      </c>
      <c r="C1055" s="35">
        <v>2008</v>
      </c>
      <c r="D1055" s="35">
        <v>2005</v>
      </c>
      <c r="E1055" s="35">
        <v>6</v>
      </c>
      <c r="F1055" s="35">
        <v>5</v>
      </c>
      <c r="G1055" s="35">
        <v>1</v>
      </c>
      <c r="H1055" s="1" t="s">
        <v>2</v>
      </c>
      <c r="I1055" s="1"/>
      <c r="J1055" s="1"/>
      <c r="K1055" s="1"/>
      <c r="AA1055" s="1"/>
    </row>
    <row r="1056" spans="1:27" x14ac:dyDescent="0.25">
      <c r="A1056" t="s">
        <v>83</v>
      </c>
      <c r="B1056" t="str">
        <f t="shared" si="18"/>
        <v>25</v>
      </c>
      <c r="C1056" s="35">
        <v>2008</v>
      </c>
      <c r="D1056" s="35">
        <v>2007</v>
      </c>
      <c r="E1056" s="35">
        <v>16</v>
      </c>
      <c r="F1056" s="35">
        <v>13</v>
      </c>
      <c r="G1056" s="35">
        <v>3</v>
      </c>
      <c r="H1056" s="1" t="s">
        <v>2</v>
      </c>
      <c r="I1056" s="1"/>
      <c r="J1056" s="1"/>
      <c r="K1056" s="1"/>
      <c r="AA1056" s="1"/>
    </row>
    <row r="1057" spans="1:27" x14ac:dyDescent="0.25">
      <c r="A1057" t="s">
        <v>83</v>
      </c>
      <c r="B1057" t="str">
        <f t="shared" si="18"/>
        <v>25</v>
      </c>
      <c r="C1057" s="35">
        <v>2008</v>
      </c>
      <c r="D1057" s="35">
        <v>2008</v>
      </c>
      <c r="E1057" s="35">
        <v>756</v>
      </c>
      <c r="F1057" s="35">
        <v>531</v>
      </c>
      <c r="G1057" s="35">
        <v>225</v>
      </c>
      <c r="H1057" s="1" t="s">
        <v>2</v>
      </c>
      <c r="I1057" s="1"/>
      <c r="J1057" s="1"/>
      <c r="K1057" s="1"/>
      <c r="AA1057" s="1"/>
    </row>
    <row r="1058" spans="1:27" x14ac:dyDescent="0.25">
      <c r="A1058" t="s">
        <v>83</v>
      </c>
      <c r="B1058" t="str">
        <f t="shared" si="18"/>
        <v>25</v>
      </c>
      <c r="C1058" s="35">
        <v>2009</v>
      </c>
      <c r="D1058" s="1" t="s">
        <v>4</v>
      </c>
      <c r="E1058" s="35">
        <v>872</v>
      </c>
      <c r="F1058" s="35">
        <v>629</v>
      </c>
      <c r="G1058" s="35">
        <v>243</v>
      </c>
      <c r="H1058" s="1" t="s">
        <v>2</v>
      </c>
      <c r="I1058" s="1"/>
      <c r="J1058" s="1"/>
      <c r="K1058" s="1"/>
      <c r="AA1058" s="1"/>
    </row>
    <row r="1059" spans="1:27" x14ac:dyDescent="0.25">
      <c r="A1059" t="s">
        <v>83</v>
      </c>
      <c r="B1059" t="str">
        <f t="shared" si="18"/>
        <v>25</v>
      </c>
      <c r="C1059" s="35">
        <v>2009</v>
      </c>
      <c r="D1059" s="35">
        <v>2005</v>
      </c>
      <c r="E1059" s="35">
        <v>1</v>
      </c>
      <c r="F1059" s="35">
        <v>1</v>
      </c>
      <c r="G1059" s="1" t="s">
        <v>2</v>
      </c>
      <c r="H1059" s="1" t="s">
        <v>2</v>
      </c>
      <c r="I1059" s="1"/>
      <c r="J1059" s="1"/>
      <c r="K1059" s="1"/>
      <c r="AA1059" s="1"/>
    </row>
    <row r="1060" spans="1:27" x14ac:dyDescent="0.25">
      <c r="A1060" t="s">
        <v>83</v>
      </c>
      <c r="B1060" t="str">
        <f t="shared" si="18"/>
        <v>25</v>
      </c>
      <c r="C1060" s="35">
        <v>2009</v>
      </c>
      <c r="D1060" s="35">
        <v>2008</v>
      </c>
      <c r="E1060" s="35">
        <v>20</v>
      </c>
      <c r="F1060" s="35">
        <v>16</v>
      </c>
      <c r="G1060" s="35">
        <v>4</v>
      </c>
      <c r="H1060" s="1" t="s">
        <v>2</v>
      </c>
      <c r="I1060" s="1"/>
      <c r="J1060" s="1"/>
      <c r="K1060" s="1"/>
      <c r="AA1060" s="1"/>
    </row>
    <row r="1061" spans="1:27" x14ac:dyDescent="0.25">
      <c r="A1061" t="s">
        <v>83</v>
      </c>
      <c r="B1061" t="str">
        <f t="shared" si="18"/>
        <v>25</v>
      </c>
      <c r="C1061" s="35">
        <v>2009</v>
      </c>
      <c r="D1061" s="35">
        <v>2009</v>
      </c>
      <c r="E1061" s="35">
        <v>851</v>
      </c>
      <c r="F1061" s="35">
        <v>612</v>
      </c>
      <c r="G1061" s="35">
        <v>239</v>
      </c>
      <c r="H1061" s="1" t="s">
        <v>2</v>
      </c>
      <c r="I1061" s="1"/>
      <c r="J1061" s="1"/>
      <c r="K1061" s="1"/>
      <c r="AA1061" s="1"/>
    </row>
    <row r="1062" spans="1:27" x14ac:dyDescent="0.25">
      <c r="A1062" t="s">
        <v>83</v>
      </c>
      <c r="B1062" t="str">
        <f t="shared" si="18"/>
        <v>25</v>
      </c>
      <c r="C1062" s="35">
        <v>2010</v>
      </c>
      <c r="D1062" s="1" t="s">
        <v>4</v>
      </c>
      <c r="E1062" s="35">
        <v>828</v>
      </c>
      <c r="F1062" s="35">
        <v>643</v>
      </c>
      <c r="G1062" s="35">
        <v>185</v>
      </c>
      <c r="H1062" s="1" t="s">
        <v>2</v>
      </c>
      <c r="I1062" s="1"/>
      <c r="J1062" s="1"/>
      <c r="K1062" s="1"/>
      <c r="AA1062" s="1"/>
    </row>
    <row r="1063" spans="1:27" x14ac:dyDescent="0.25">
      <c r="A1063" t="s">
        <v>83</v>
      </c>
      <c r="B1063" t="str">
        <f t="shared" si="18"/>
        <v>25</v>
      </c>
      <c r="C1063" s="35">
        <v>2010</v>
      </c>
      <c r="D1063" s="35">
        <v>2009</v>
      </c>
      <c r="E1063" s="35">
        <v>17</v>
      </c>
      <c r="F1063" s="35">
        <v>16</v>
      </c>
      <c r="G1063" s="35">
        <v>1</v>
      </c>
      <c r="H1063" s="1" t="s">
        <v>2</v>
      </c>
      <c r="I1063" s="1"/>
      <c r="J1063" s="1"/>
      <c r="K1063" s="1"/>
      <c r="AA1063" s="1"/>
    </row>
    <row r="1064" spans="1:27" x14ac:dyDescent="0.25">
      <c r="A1064" t="s">
        <v>83</v>
      </c>
      <c r="B1064" t="str">
        <f t="shared" si="18"/>
        <v>25</v>
      </c>
      <c r="C1064" s="35">
        <v>2010</v>
      </c>
      <c r="D1064" s="35">
        <v>2010</v>
      </c>
      <c r="E1064" s="35">
        <v>811</v>
      </c>
      <c r="F1064" s="35">
        <v>627</v>
      </c>
      <c r="G1064" s="35">
        <v>184</v>
      </c>
      <c r="H1064" s="1" t="s">
        <v>2</v>
      </c>
      <c r="I1064" s="1"/>
      <c r="J1064" s="1"/>
      <c r="K1064" s="1"/>
      <c r="AA1064" s="1"/>
    </row>
    <row r="1065" spans="1:27" x14ac:dyDescent="0.25">
      <c r="A1065" t="s">
        <v>83</v>
      </c>
      <c r="B1065" t="str">
        <f t="shared" si="18"/>
        <v>25</v>
      </c>
      <c r="C1065" s="35">
        <v>2011</v>
      </c>
      <c r="D1065" s="1" t="s">
        <v>4</v>
      </c>
      <c r="E1065" s="35">
        <v>827</v>
      </c>
      <c r="F1065" s="35">
        <v>613</v>
      </c>
      <c r="G1065" s="35">
        <v>211</v>
      </c>
      <c r="H1065" s="35">
        <v>3</v>
      </c>
      <c r="I1065" s="1"/>
      <c r="J1065" s="1"/>
      <c r="K1065" s="1"/>
      <c r="AA1065" s="1"/>
    </row>
    <row r="1066" spans="1:27" x14ac:dyDescent="0.25">
      <c r="A1066" t="s">
        <v>83</v>
      </c>
      <c r="B1066" t="str">
        <f t="shared" si="18"/>
        <v>25</v>
      </c>
      <c r="C1066" s="35">
        <v>2011</v>
      </c>
      <c r="D1066" s="35">
        <v>2010</v>
      </c>
      <c r="E1066" s="35">
        <v>24</v>
      </c>
      <c r="F1066" s="35">
        <v>15</v>
      </c>
      <c r="G1066" s="35">
        <v>9</v>
      </c>
      <c r="H1066" s="1" t="s">
        <v>2</v>
      </c>
      <c r="I1066" s="1"/>
      <c r="J1066" s="1"/>
      <c r="K1066" s="1"/>
      <c r="AA1066" s="1"/>
    </row>
    <row r="1067" spans="1:27" x14ac:dyDescent="0.25">
      <c r="A1067" t="s">
        <v>83</v>
      </c>
      <c r="B1067" t="str">
        <f t="shared" si="18"/>
        <v>25</v>
      </c>
      <c r="C1067" s="35">
        <v>2011</v>
      </c>
      <c r="D1067" s="35">
        <v>2011</v>
      </c>
      <c r="E1067" s="35">
        <v>803</v>
      </c>
      <c r="F1067" s="35">
        <v>598</v>
      </c>
      <c r="G1067" s="35">
        <v>202</v>
      </c>
      <c r="H1067" s="35">
        <v>3</v>
      </c>
      <c r="I1067" s="1"/>
      <c r="J1067" s="1"/>
      <c r="K1067" s="1"/>
      <c r="AA1067" s="1"/>
    </row>
    <row r="1068" spans="1:27" x14ac:dyDescent="0.25">
      <c r="A1068" t="s">
        <v>83</v>
      </c>
      <c r="B1068" t="str">
        <f t="shared" si="18"/>
        <v>25</v>
      </c>
      <c r="C1068" s="35">
        <v>2012</v>
      </c>
      <c r="D1068" s="1" t="s">
        <v>4</v>
      </c>
      <c r="E1068" s="35">
        <v>824</v>
      </c>
      <c r="F1068" s="35">
        <v>622</v>
      </c>
      <c r="G1068" s="35">
        <v>202</v>
      </c>
      <c r="H1068" s="1" t="s">
        <v>2</v>
      </c>
      <c r="I1068" s="1"/>
      <c r="J1068" s="1"/>
      <c r="K1068" s="1"/>
      <c r="AA1068" s="1"/>
    </row>
    <row r="1069" spans="1:27" x14ac:dyDescent="0.25">
      <c r="A1069" t="s">
        <v>83</v>
      </c>
      <c r="B1069" t="str">
        <f t="shared" si="18"/>
        <v>25</v>
      </c>
      <c r="C1069" s="35">
        <v>2012</v>
      </c>
      <c r="D1069" s="35">
        <v>2011</v>
      </c>
      <c r="E1069" s="35">
        <v>16</v>
      </c>
      <c r="F1069" s="35">
        <v>12</v>
      </c>
      <c r="G1069" s="35">
        <v>4</v>
      </c>
      <c r="H1069" s="1" t="s">
        <v>2</v>
      </c>
      <c r="I1069" s="1"/>
      <c r="J1069" s="1"/>
      <c r="K1069" s="1"/>
      <c r="AA1069" s="1"/>
    </row>
    <row r="1070" spans="1:27" x14ac:dyDescent="0.25">
      <c r="A1070" t="s">
        <v>83</v>
      </c>
      <c r="B1070" t="str">
        <f t="shared" si="18"/>
        <v>25</v>
      </c>
      <c r="C1070" s="35">
        <v>2012</v>
      </c>
      <c r="D1070" s="35">
        <v>2012</v>
      </c>
      <c r="E1070" s="35">
        <v>808</v>
      </c>
      <c r="F1070" s="35">
        <v>610</v>
      </c>
      <c r="G1070" s="35">
        <v>198</v>
      </c>
      <c r="H1070" s="1" t="s">
        <v>2</v>
      </c>
      <c r="I1070" s="1"/>
      <c r="J1070" s="1"/>
      <c r="K1070" s="1"/>
      <c r="AA1070" s="1"/>
    </row>
    <row r="1071" spans="1:27" x14ac:dyDescent="0.25">
      <c r="A1071" t="s">
        <v>83</v>
      </c>
      <c r="B1071" t="str">
        <f t="shared" si="18"/>
        <v>25</v>
      </c>
      <c r="C1071" s="35">
        <v>2013</v>
      </c>
      <c r="D1071" s="1" t="s">
        <v>4</v>
      </c>
      <c r="E1071" s="35">
        <v>891</v>
      </c>
      <c r="F1071" s="35">
        <v>674</v>
      </c>
      <c r="G1071" s="35">
        <v>217</v>
      </c>
      <c r="H1071" s="1" t="s">
        <v>2</v>
      </c>
      <c r="I1071" s="1"/>
      <c r="J1071" s="1"/>
      <c r="K1071" s="1"/>
      <c r="AA1071" s="1"/>
    </row>
    <row r="1072" spans="1:27" x14ac:dyDescent="0.25">
      <c r="A1072" t="s">
        <v>83</v>
      </c>
      <c r="B1072" t="str">
        <f t="shared" si="18"/>
        <v>25</v>
      </c>
      <c r="C1072" s="35">
        <v>2013</v>
      </c>
      <c r="D1072" s="35">
        <v>2012</v>
      </c>
      <c r="E1072" s="35">
        <v>22</v>
      </c>
      <c r="F1072" s="35">
        <v>17</v>
      </c>
      <c r="G1072" s="35">
        <v>5</v>
      </c>
      <c r="H1072" s="1" t="s">
        <v>2</v>
      </c>
      <c r="I1072" s="1"/>
      <c r="J1072" s="1"/>
      <c r="K1072" s="1"/>
      <c r="AA1072" s="1"/>
    </row>
    <row r="1073" spans="1:27" x14ac:dyDescent="0.25">
      <c r="A1073" t="s">
        <v>83</v>
      </c>
      <c r="B1073" t="str">
        <f t="shared" si="18"/>
        <v>25</v>
      </c>
      <c r="C1073" s="35">
        <v>2013</v>
      </c>
      <c r="D1073" s="35">
        <v>2013</v>
      </c>
      <c r="E1073" s="35">
        <v>869</v>
      </c>
      <c r="F1073" s="35">
        <v>657</v>
      </c>
      <c r="G1073" s="35">
        <v>212</v>
      </c>
      <c r="H1073" s="1" t="s">
        <v>2</v>
      </c>
      <c r="I1073" s="1"/>
      <c r="J1073" s="1"/>
      <c r="K1073" s="1"/>
      <c r="AA1073" s="1"/>
    </row>
    <row r="1074" spans="1:27" x14ac:dyDescent="0.25">
      <c r="A1074" t="s">
        <v>83</v>
      </c>
      <c r="B1074" t="str">
        <f t="shared" si="18"/>
        <v>25</v>
      </c>
      <c r="C1074" s="35">
        <v>2014</v>
      </c>
      <c r="D1074" s="1" t="s">
        <v>4</v>
      </c>
      <c r="E1074" s="35">
        <v>841</v>
      </c>
      <c r="F1074" s="35">
        <v>616</v>
      </c>
      <c r="G1074" s="35">
        <v>223</v>
      </c>
      <c r="H1074" s="35">
        <v>2</v>
      </c>
      <c r="I1074" s="1"/>
      <c r="J1074" s="1"/>
      <c r="K1074" s="1"/>
      <c r="AA1074" s="1"/>
    </row>
    <row r="1075" spans="1:27" x14ac:dyDescent="0.25">
      <c r="A1075" t="s">
        <v>83</v>
      </c>
      <c r="B1075" t="str">
        <f t="shared" si="18"/>
        <v>25</v>
      </c>
      <c r="C1075" s="35">
        <v>2014</v>
      </c>
      <c r="D1075" s="35">
        <v>2013</v>
      </c>
      <c r="E1075" s="35">
        <v>19</v>
      </c>
      <c r="F1075" s="35">
        <v>15</v>
      </c>
      <c r="G1075" s="35">
        <v>4</v>
      </c>
      <c r="H1075" s="1" t="s">
        <v>2</v>
      </c>
      <c r="I1075" s="1"/>
      <c r="J1075" s="1"/>
      <c r="K1075" s="1"/>
      <c r="AA1075" s="1"/>
    </row>
    <row r="1076" spans="1:27" x14ac:dyDescent="0.25">
      <c r="A1076" t="s">
        <v>83</v>
      </c>
      <c r="B1076" t="str">
        <f t="shared" si="18"/>
        <v>25</v>
      </c>
      <c r="C1076" s="35">
        <v>2014</v>
      </c>
      <c r="D1076" s="35">
        <v>2014</v>
      </c>
      <c r="E1076" s="35">
        <v>822</v>
      </c>
      <c r="F1076" s="35">
        <v>601</v>
      </c>
      <c r="G1076" s="35">
        <v>219</v>
      </c>
      <c r="H1076" s="35">
        <v>2</v>
      </c>
      <c r="I1076" s="1"/>
      <c r="J1076" s="1"/>
      <c r="K1076" s="1"/>
      <c r="AA1076" s="1"/>
    </row>
    <row r="1077" spans="1:27" x14ac:dyDescent="0.25">
      <c r="A1077" t="s">
        <v>83</v>
      </c>
      <c r="B1077" t="str">
        <f t="shared" si="18"/>
        <v>25</v>
      </c>
      <c r="C1077" s="35">
        <v>2015</v>
      </c>
      <c r="D1077" s="1" t="s">
        <v>4</v>
      </c>
      <c r="E1077" s="35">
        <v>852</v>
      </c>
      <c r="F1077" s="35">
        <v>636</v>
      </c>
      <c r="G1077" s="35">
        <v>214</v>
      </c>
      <c r="H1077" s="35">
        <v>2</v>
      </c>
      <c r="I1077" s="1"/>
      <c r="J1077" s="1"/>
      <c r="K1077" s="1"/>
      <c r="AA1077" s="1"/>
    </row>
    <row r="1078" spans="1:27" x14ac:dyDescent="0.25">
      <c r="A1078" t="s">
        <v>83</v>
      </c>
      <c r="B1078" t="str">
        <f t="shared" si="18"/>
        <v>25</v>
      </c>
      <c r="C1078" s="35">
        <v>2015</v>
      </c>
      <c r="D1078" s="35">
        <v>2014</v>
      </c>
      <c r="E1078" s="35">
        <v>20</v>
      </c>
      <c r="F1078" s="35">
        <v>15</v>
      </c>
      <c r="G1078" s="35">
        <v>5</v>
      </c>
      <c r="H1078" s="1" t="s">
        <v>2</v>
      </c>
      <c r="I1078" s="1"/>
      <c r="J1078" s="1"/>
      <c r="K1078" s="1"/>
      <c r="AA1078" s="1"/>
    </row>
    <row r="1079" spans="1:27" x14ac:dyDescent="0.25">
      <c r="A1079" t="s">
        <v>83</v>
      </c>
      <c r="B1079" t="str">
        <f t="shared" si="18"/>
        <v>25</v>
      </c>
      <c r="C1079" s="35">
        <v>2015</v>
      </c>
      <c r="D1079" s="35">
        <v>2015</v>
      </c>
      <c r="E1079" s="35">
        <v>832</v>
      </c>
      <c r="F1079" s="35">
        <v>621</v>
      </c>
      <c r="G1079" s="35">
        <v>209</v>
      </c>
      <c r="H1079" s="35">
        <v>2</v>
      </c>
      <c r="I1079" s="1"/>
      <c r="J1079" s="1"/>
      <c r="K1079" s="1"/>
      <c r="AA1079" s="1"/>
    </row>
    <row r="1080" spans="1:27" x14ac:dyDescent="0.25">
      <c r="A1080" t="s">
        <v>83</v>
      </c>
      <c r="B1080" t="str">
        <f t="shared" si="18"/>
        <v>25</v>
      </c>
      <c r="C1080" s="35">
        <v>2016</v>
      </c>
      <c r="D1080" s="1" t="s">
        <v>4</v>
      </c>
      <c r="E1080" s="35">
        <v>949</v>
      </c>
      <c r="F1080" s="35">
        <v>707</v>
      </c>
      <c r="G1080" s="35">
        <v>242</v>
      </c>
      <c r="H1080" s="1" t="s">
        <v>2</v>
      </c>
      <c r="I1080" s="1"/>
      <c r="J1080" s="1"/>
      <c r="K1080" s="1"/>
      <c r="AA1080" s="1"/>
    </row>
    <row r="1081" spans="1:27" x14ac:dyDescent="0.25">
      <c r="A1081" t="s">
        <v>83</v>
      </c>
      <c r="B1081" t="str">
        <f t="shared" si="18"/>
        <v>25</v>
      </c>
      <c r="C1081" s="35">
        <v>2016</v>
      </c>
      <c r="D1081" s="35">
        <v>2014</v>
      </c>
      <c r="E1081" s="35">
        <v>1</v>
      </c>
      <c r="F1081" s="1" t="s">
        <v>2</v>
      </c>
      <c r="G1081" s="35">
        <v>1</v>
      </c>
      <c r="H1081" s="1" t="s">
        <v>2</v>
      </c>
      <c r="I1081" s="1"/>
      <c r="J1081" s="1"/>
      <c r="K1081" s="1"/>
      <c r="AA1081" s="1"/>
    </row>
    <row r="1082" spans="1:27" x14ac:dyDescent="0.25">
      <c r="A1082" t="s">
        <v>83</v>
      </c>
      <c r="B1082" t="str">
        <f t="shared" si="18"/>
        <v>25</v>
      </c>
      <c r="C1082" s="35">
        <v>2016</v>
      </c>
      <c r="D1082" s="35">
        <v>2015</v>
      </c>
      <c r="E1082" s="35">
        <v>7</v>
      </c>
      <c r="F1082" s="35">
        <v>6</v>
      </c>
      <c r="G1082" s="35">
        <v>1</v>
      </c>
      <c r="H1082" s="1" t="s">
        <v>2</v>
      </c>
      <c r="I1082" s="1"/>
      <c r="J1082" s="1"/>
      <c r="K1082" s="1"/>
      <c r="AA1082" s="1"/>
    </row>
    <row r="1083" spans="1:27" x14ac:dyDescent="0.25">
      <c r="A1083" t="s">
        <v>83</v>
      </c>
      <c r="B1083" t="str">
        <f t="shared" si="18"/>
        <v>25</v>
      </c>
      <c r="C1083" s="35">
        <v>2016</v>
      </c>
      <c r="D1083" s="35">
        <v>2016</v>
      </c>
      <c r="E1083" s="35">
        <v>941</v>
      </c>
      <c r="F1083" s="35">
        <v>701</v>
      </c>
      <c r="G1083" s="35">
        <v>240</v>
      </c>
      <c r="H1083" s="1" t="s">
        <v>2</v>
      </c>
      <c r="I1083" s="1"/>
      <c r="J1083" s="1"/>
      <c r="K1083" s="1"/>
      <c r="AA1083" s="1"/>
    </row>
    <row r="1084" spans="1:27" x14ac:dyDescent="0.25">
      <c r="A1084" t="s">
        <v>83</v>
      </c>
      <c r="B1084" t="str">
        <f t="shared" si="18"/>
        <v>25</v>
      </c>
      <c r="C1084" s="35">
        <v>2017</v>
      </c>
      <c r="D1084" s="1" t="s">
        <v>4</v>
      </c>
      <c r="E1084" s="35">
        <v>946</v>
      </c>
      <c r="F1084" s="35">
        <v>708</v>
      </c>
      <c r="G1084" s="35">
        <v>238</v>
      </c>
      <c r="H1084" s="1" t="s">
        <v>2</v>
      </c>
      <c r="I1084" s="1"/>
      <c r="J1084" s="1"/>
      <c r="K1084" s="1"/>
      <c r="AA1084" s="1"/>
    </row>
    <row r="1085" spans="1:27" x14ac:dyDescent="0.25">
      <c r="A1085" t="s">
        <v>83</v>
      </c>
      <c r="B1085" t="str">
        <f t="shared" si="18"/>
        <v>25</v>
      </c>
      <c r="C1085" s="35">
        <v>2017</v>
      </c>
      <c r="D1085" s="35">
        <v>2016</v>
      </c>
      <c r="E1085" s="35">
        <v>1</v>
      </c>
      <c r="F1085" s="35">
        <v>1</v>
      </c>
      <c r="G1085" s="1" t="s">
        <v>2</v>
      </c>
      <c r="H1085" s="1" t="s">
        <v>2</v>
      </c>
      <c r="I1085" s="1"/>
      <c r="J1085" s="1"/>
      <c r="K1085" s="1"/>
      <c r="AA1085" s="1"/>
    </row>
    <row r="1086" spans="1:27" x14ac:dyDescent="0.25">
      <c r="A1086" t="s">
        <v>83</v>
      </c>
      <c r="B1086" t="str">
        <f t="shared" si="18"/>
        <v>25</v>
      </c>
      <c r="C1086" s="35">
        <v>2017</v>
      </c>
      <c r="D1086" s="35">
        <v>2017</v>
      </c>
      <c r="E1086" s="35">
        <v>945</v>
      </c>
      <c r="F1086" s="35">
        <v>707</v>
      </c>
      <c r="G1086" s="35">
        <v>238</v>
      </c>
      <c r="H1086" s="1" t="s">
        <v>2</v>
      </c>
      <c r="I1086" s="1"/>
      <c r="J1086" s="1"/>
      <c r="K1086" s="1"/>
      <c r="AA1086" s="1"/>
    </row>
    <row r="1087" spans="1:27" x14ac:dyDescent="0.25">
      <c r="A1087" t="s">
        <v>83</v>
      </c>
      <c r="B1087" t="str">
        <f t="shared" si="18"/>
        <v>25</v>
      </c>
      <c r="C1087" s="35">
        <v>2018</v>
      </c>
      <c r="D1087" s="1" t="s">
        <v>4</v>
      </c>
      <c r="E1087" s="35">
        <v>973</v>
      </c>
      <c r="F1087" s="35">
        <v>745</v>
      </c>
      <c r="G1087" s="35">
        <v>228</v>
      </c>
      <c r="H1087" s="1" t="s">
        <v>2</v>
      </c>
      <c r="I1087" s="1"/>
      <c r="J1087" s="1"/>
      <c r="K1087" s="1"/>
      <c r="AA1087" s="1"/>
    </row>
    <row r="1088" spans="1:27" x14ac:dyDescent="0.25">
      <c r="A1088" t="s">
        <v>83</v>
      </c>
      <c r="B1088" t="str">
        <f t="shared" si="18"/>
        <v>25</v>
      </c>
      <c r="C1088" s="35">
        <v>2018</v>
      </c>
      <c r="D1088" s="35">
        <v>2017</v>
      </c>
      <c r="E1088" s="35">
        <v>4</v>
      </c>
      <c r="F1088" s="35">
        <v>3</v>
      </c>
      <c r="G1088" s="35">
        <v>1</v>
      </c>
      <c r="H1088" s="1" t="s">
        <v>2</v>
      </c>
      <c r="I1088" s="1"/>
      <c r="J1088" s="1"/>
      <c r="K1088" s="1"/>
      <c r="AA1088" s="1"/>
    </row>
    <row r="1089" spans="1:27" x14ac:dyDescent="0.25">
      <c r="A1089" t="s">
        <v>83</v>
      </c>
      <c r="B1089" t="str">
        <f t="shared" si="18"/>
        <v>25</v>
      </c>
      <c r="C1089" s="35">
        <v>2018</v>
      </c>
      <c r="D1089" s="35">
        <v>2018</v>
      </c>
      <c r="E1089" s="35">
        <v>969</v>
      </c>
      <c r="F1089" s="35">
        <v>742</v>
      </c>
      <c r="G1089" s="35">
        <v>227</v>
      </c>
      <c r="H1089" s="1" t="s">
        <v>2</v>
      </c>
      <c r="I1089" s="1"/>
      <c r="J1089" s="1"/>
      <c r="K1089" s="1"/>
      <c r="AA1089" s="1"/>
    </row>
    <row r="1090" spans="1:27" x14ac:dyDescent="0.25">
      <c r="A1090" t="s">
        <v>83</v>
      </c>
      <c r="B1090" t="str">
        <f t="shared" si="18"/>
        <v>25</v>
      </c>
      <c r="C1090" s="35">
        <v>2019</v>
      </c>
      <c r="D1090" s="1" t="s">
        <v>4</v>
      </c>
      <c r="E1090" s="35">
        <v>997</v>
      </c>
      <c r="F1090" s="35">
        <v>750</v>
      </c>
      <c r="G1090" s="35">
        <v>247</v>
      </c>
      <c r="H1090" s="1" t="s">
        <v>2</v>
      </c>
      <c r="I1090" s="1"/>
      <c r="J1090" s="1"/>
      <c r="K1090" s="1"/>
      <c r="AA1090" s="1"/>
    </row>
    <row r="1091" spans="1:27" x14ac:dyDescent="0.25">
      <c r="A1091" t="s">
        <v>83</v>
      </c>
      <c r="B1091" t="str">
        <f t="shared" si="18"/>
        <v>25</v>
      </c>
      <c r="C1091" s="35">
        <v>2019</v>
      </c>
      <c r="D1091" s="35">
        <v>2018</v>
      </c>
      <c r="E1091" s="35">
        <v>5</v>
      </c>
      <c r="F1091" s="35">
        <v>5</v>
      </c>
      <c r="G1091" s="1" t="s">
        <v>2</v>
      </c>
      <c r="H1091" s="1" t="s">
        <v>2</v>
      </c>
      <c r="I1091" s="1"/>
      <c r="J1091" s="1"/>
      <c r="K1091" s="1"/>
      <c r="AA1091" s="1"/>
    </row>
    <row r="1092" spans="1:27" x14ac:dyDescent="0.25">
      <c r="A1092" t="s">
        <v>83</v>
      </c>
      <c r="B1092" t="str">
        <f t="shared" si="18"/>
        <v>25</v>
      </c>
      <c r="C1092" s="35">
        <v>2019</v>
      </c>
      <c r="D1092" s="35">
        <v>2019</v>
      </c>
      <c r="E1092" s="35">
        <v>992</v>
      </c>
      <c r="F1092" s="35">
        <v>745</v>
      </c>
      <c r="G1092" s="35">
        <v>247</v>
      </c>
      <c r="H1092" s="1" t="s">
        <v>2</v>
      </c>
      <c r="I1092" s="1"/>
      <c r="J1092" s="1"/>
      <c r="K1092" s="1"/>
      <c r="AA1092" s="1"/>
    </row>
    <row r="1093" spans="1:27" x14ac:dyDescent="0.25">
      <c r="A1093" t="s">
        <v>83</v>
      </c>
      <c r="B1093" t="str">
        <f t="shared" si="18"/>
        <v>25</v>
      </c>
      <c r="C1093" s="35">
        <v>2020</v>
      </c>
      <c r="D1093" s="1" t="s">
        <v>4</v>
      </c>
      <c r="E1093" s="36">
        <v>1201</v>
      </c>
      <c r="F1093" s="35">
        <v>897</v>
      </c>
      <c r="G1093" s="35">
        <v>304</v>
      </c>
      <c r="H1093" s="1" t="s">
        <v>2</v>
      </c>
      <c r="I1093" s="1"/>
      <c r="J1093" s="1"/>
      <c r="K1093" s="1"/>
      <c r="AA1093" s="1"/>
    </row>
    <row r="1094" spans="1:27" x14ac:dyDescent="0.25">
      <c r="A1094" t="s">
        <v>83</v>
      </c>
      <c r="B1094" t="str">
        <f t="shared" si="18"/>
        <v>25</v>
      </c>
      <c r="C1094" s="35">
        <v>2020</v>
      </c>
      <c r="D1094" s="35">
        <v>2019</v>
      </c>
      <c r="E1094" s="35">
        <v>3</v>
      </c>
      <c r="F1094" s="35">
        <v>1</v>
      </c>
      <c r="G1094" s="35">
        <v>2</v>
      </c>
      <c r="H1094" s="1" t="s">
        <v>2</v>
      </c>
      <c r="I1094" s="1"/>
      <c r="J1094" s="1"/>
      <c r="K1094" s="1"/>
      <c r="AA1094" s="1"/>
    </row>
    <row r="1095" spans="1:27" x14ac:dyDescent="0.25">
      <c r="A1095" t="s">
        <v>83</v>
      </c>
      <c r="B1095" t="str">
        <f t="shared" ref="B1095:B1158" si="19">IF(A1095="Menores de 1 año",0,LEFT(A1095,2))</f>
        <v>25</v>
      </c>
      <c r="C1095" s="35">
        <v>2020</v>
      </c>
      <c r="D1095" s="35">
        <v>2020</v>
      </c>
      <c r="E1095" s="36">
        <v>1197</v>
      </c>
      <c r="F1095" s="35">
        <v>895</v>
      </c>
      <c r="G1095" s="35">
        <v>302</v>
      </c>
      <c r="H1095" s="1" t="s">
        <v>2</v>
      </c>
      <c r="I1095" s="1"/>
      <c r="J1095" s="1"/>
      <c r="K1095" s="1"/>
      <c r="AA1095" s="1"/>
    </row>
    <row r="1096" spans="1:27" x14ac:dyDescent="0.25">
      <c r="A1096" t="s">
        <v>83</v>
      </c>
      <c r="B1096" t="str">
        <f t="shared" si="19"/>
        <v>25</v>
      </c>
      <c r="C1096" s="35">
        <v>2020</v>
      </c>
      <c r="D1096" s="1" t="s">
        <v>24</v>
      </c>
      <c r="E1096" s="35">
        <v>1</v>
      </c>
      <c r="F1096" s="35">
        <v>1</v>
      </c>
      <c r="G1096" s="1" t="s">
        <v>2</v>
      </c>
      <c r="H1096" s="1" t="s">
        <v>2</v>
      </c>
      <c r="I1096" s="1"/>
      <c r="J1096" s="1"/>
      <c r="K1096" s="1"/>
      <c r="AA1096" s="1"/>
    </row>
    <row r="1097" spans="1:27" x14ac:dyDescent="0.25">
      <c r="A1097" t="s">
        <v>83</v>
      </c>
      <c r="B1097" t="str">
        <f t="shared" si="19"/>
        <v>25</v>
      </c>
      <c r="C1097" s="35">
        <v>2021</v>
      </c>
      <c r="D1097" s="1" t="s">
        <v>4</v>
      </c>
      <c r="E1097" s="36">
        <v>1220</v>
      </c>
      <c r="F1097" s="35">
        <v>884</v>
      </c>
      <c r="G1097" s="35">
        <v>336</v>
      </c>
      <c r="H1097" s="1" t="s">
        <v>2</v>
      </c>
      <c r="I1097" s="1"/>
      <c r="J1097" s="1"/>
      <c r="K1097" s="1"/>
      <c r="AA1097" s="1"/>
    </row>
    <row r="1098" spans="1:27" x14ac:dyDescent="0.25">
      <c r="A1098" t="s">
        <v>83</v>
      </c>
      <c r="B1098" t="str">
        <f t="shared" si="19"/>
        <v>25</v>
      </c>
      <c r="C1098" s="35">
        <v>2021</v>
      </c>
      <c r="D1098" s="35">
        <v>2020</v>
      </c>
      <c r="E1098" s="35">
        <v>4</v>
      </c>
      <c r="F1098" s="35">
        <v>2</v>
      </c>
      <c r="G1098" s="35">
        <v>2</v>
      </c>
      <c r="H1098" s="1" t="s">
        <v>2</v>
      </c>
      <c r="I1098" s="1"/>
      <c r="J1098" s="1"/>
      <c r="K1098" s="1"/>
      <c r="AA1098" s="1"/>
    </row>
    <row r="1099" spans="1:27" x14ac:dyDescent="0.25">
      <c r="A1099" t="s">
        <v>83</v>
      </c>
      <c r="B1099" t="str">
        <f t="shared" si="19"/>
        <v>25</v>
      </c>
      <c r="C1099" s="35">
        <v>2021</v>
      </c>
      <c r="D1099" s="35">
        <v>2021</v>
      </c>
      <c r="E1099" s="36">
        <v>1216</v>
      </c>
      <c r="F1099" s="35">
        <v>882</v>
      </c>
      <c r="G1099" s="35">
        <v>334</v>
      </c>
      <c r="H1099" s="1" t="s">
        <v>2</v>
      </c>
      <c r="I1099" s="1"/>
      <c r="J1099" s="1"/>
      <c r="K1099" s="1"/>
      <c r="AA1099" s="1"/>
    </row>
    <row r="1100" spans="1:27" x14ac:dyDescent="0.25">
      <c r="A1100" t="s">
        <v>83</v>
      </c>
      <c r="B1100" t="str">
        <f t="shared" si="19"/>
        <v>25</v>
      </c>
      <c r="C1100" s="35">
        <v>2022</v>
      </c>
      <c r="D1100" s="1" t="s">
        <v>4</v>
      </c>
      <c r="E1100" s="35">
        <v>881</v>
      </c>
      <c r="F1100" s="35">
        <v>663</v>
      </c>
      <c r="G1100" s="35">
        <v>218</v>
      </c>
      <c r="H1100" s="1" t="s">
        <v>2</v>
      </c>
      <c r="I1100" s="1"/>
      <c r="J1100" s="1"/>
      <c r="K1100" s="1"/>
      <c r="AA1100" s="1"/>
    </row>
    <row r="1101" spans="1:27" x14ac:dyDescent="0.25">
      <c r="A1101" t="s">
        <v>83</v>
      </c>
      <c r="B1101" t="str">
        <f t="shared" si="19"/>
        <v>25</v>
      </c>
      <c r="C1101" s="35">
        <v>2022</v>
      </c>
      <c r="D1101" s="35">
        <v>2009</v>
      </c>
      <c r="E1101" s="35">
        <v>1</v>
      </c>
      <c r="F1101" s="35">
        <v>1</v>
      </c>
      <c r="G1101" s="1" t="s">
        <v>2</v>
      </c>
      <c r="H1101" s="1" t="s">
        <v>2</v>
      </c>
      <c r="I1101" s="1"/>
      <c r="J1101" s="1"/>
      <c r="K1101" s="1"/>
      <c r="AA1101" s="1"/>
    </row>
    <row r="1102" spans="1:27" x14ac:dyDescent="0.25">
      <c r="A1102" t="s">
        <v>83</v>
      </c>
      <c r="B1102" t="str">
        <f t="shared" si="19"/>
        <v>25</v>
      </c>
      <c r="C1102" s="35">
        <v>2022</v>
      </c>
      <c r="D1102" s="35">
        <v>2019</v>
      </c>
      <c r="E1102" s="35">
        <v>1</v>
      </c>
      <c r="F1102" s="35">
        <v>1</v>
      </c>
      <c r="G1102" s="1" t="s">
        <v>2</v>
      </c>
      <c r="H1102" s="1" t="s">
        <v>2</v>
      </c>
      <c r="I1102" s="1"/>
      <c r="J1102" s="1"/>
      <c r="K1102" s="1"/>
      <c r="AA1102" s="1"/>
    </row>
    <row r="1103" spans="1:27" x14ac:dyDescent="0.25">
      <c r="A1103" t="s">
        <v>83</v>
      </c>
      <c r="B1103" t="str">
        <f t="shared" si="19"/>
        <v>25</v>
      </c>
      <c r="C1103" s="35">
        <v>2022</v>
      </c>
      <c r="D1103" s="35">
        <v>2021</v>
      </c>
      <c r="E1103" s="35">
        <v>3</v>
      </c>
      <c r="F1103" s="35">
        <v>3</v>
      </c>
      <c r="G1103" s="1" t="s">
        <v>2</v>
      </c>
      <c r="H1103" s="1" t="s">
        <v>2</v>
      </c>
      <c r="I1103" s="1"/>
      <c r="J1103" s="1"/>
      <c r="K1103" s="1"/>
      <c r="AA1103" s="1"/>
    </row>
    <row r="1104" spans="1:27" x14ac:dyDescent="0.25">
      <c r="A1104" t="s">
        <v>83</v>
      </c>
      <c r="B1104" t="str">
        <f t="shared" si="19"/>
        <v>25</v>
      </c>
      <c r="C1104" s="35">
        <v>2022</v>
      </c>
      <c r="D1104" s="35">
        <v>2022</v>
      </c>
      <c r="E1104" s="35">
        <v>876</v>
      </c>
      <c r="F1104" s="35">
        <v>658</v>
      </c>
      <c r="G1104" s="35">
        <v>218</v>
      </c>
      <c r="H1104" s="1" t="s">
        <v>2</v>
      </c>
      <c r="I1104" s="1"/>
      <c r="J1104" s="1"/>
      <c r="K1104" s="1"/>
      <c r="AA1104" s="1"/>
    </row>
    <row r="1105" spans="1:27" x14ac:dyDescent="0.25">
      <c r="A1105" t="s">
        <v>83</v>
      </c>
      <c r="B1105" t="str">
        <f t="shared" si="19"/>
        <v>25</v>
      </c>
      <c r="C1105" s="35">
        <v>2023</v>
      </c>
      <c r="D1105" s="1" t="s">
        <v>4</v>
      </c>
      <c r="E1105" s="35">
        <v>877</v>
      </c>
      <c r="F1105" s="35">
        <v>684</v>
      </c>
      <c r="G1105" s="35">
        <v>193</v>
      </c>
      <c r="H1105" s="1" t="s">
        <v>2</v>
      </c>
      <c r="I1105" s="1"/>
      <c r="J1105" s="1"/>
      <c r="K1105" s="1"/>
      <c r="AA1105" s="1"/>
    </row>
    <row r="1106" spans="1:27" x14ac:dyDescent="0.25">
      <c r="A1106" t="s">
        <v>83</v>
      </c>
      <c r="B1106" t="str">
        <f t="shared" si="19"/>
        <v>25</v>
      </c>
      <c r="C1106" s="35">
        <v>2023</v>
      </c>
      <c r="D1106" s="35">
        <v>2022</v>
      </c>
      <c r="E1106" s="35">
        <v>4</v>
      </c>
      <c r="F1106" s="35">
        <v>3</v>
      </c>
      <c r="G1106" s="35">
        <v>1</v>
      </c>
      <c r="H1106" s="1" t="s">
        <v>2</v>
      </c>
      <c r="I1106" s="1"/>
      <c r="J1106" s="1"/>
      <c r="K1106" s="1"/>
      <c r="AA1106" s="1"/>
    </row>
    <row r="1107" spans="1:27" x14ac:dyDescent="0.25">
      <c r="A1107" t="s">
        <v>83</v>
      </c>
      <c r="B1107" t="str">
        <f t="shared" si="19"/>
        <v>25</v>
      </c>
      <c r="C1107" s="35">
        <v>2023</v>
      </c>
      <c r="D1107" s="35">
        <v>2023</v>
      </c>
      <c r="E1107" s="35">
        <v>872</v>
      </c>
      <c r="F1107" s="35">
        <v>681</v>
      </c>
      <c r="G1107" s="35">
        <v>191</v>
      </c>
      <c r="H1107" s="1" t="s">
        <v>2</v>
      </c>
      <c r="I1107" s="1"/>
      <c r="J1107" s="1"/>
      <c r="K1107" s="1"/>
      <c r="AA1107" s="1"/>
    </row>
    <row r="1108" spans="1:27" x14ac:dyDescent="0.25">
      <c r="A1108" t="s">
        <v>83</v>
      </c>
      <c r="B1108" t="str">
        <f t="shared" si="19"/>
        <v>25</v>
      </c>
      <c r="C1108" s="35">
        <v>2023</v>
      </c>
      <c r="D1108" s="1" t="s">
        <v>24</v>
      </c>
      <c r="E1108" s="35">
        <v>1</v>
      </c>
      <c r="F1108" s="1" t="s">
        <v>2</v>
      </c>
      <c r="G1108" s="35">
        <v>1</v>
      </c>
      <c r="H1108" s="1" t="s">
        <v>2</v>
      </c>
      <c r="I1108" s="1"/>
      <c r="J1108" s="1"/>
      <c r="K1108" s="1"/>
      <c r="AA1108" s="1"/>
    </row>
    <row r="1109" spans="1:27" x14ac:dyDescent="0.25">
      <c r="A1109" t="s">
        <v>83</v>
      </c>
      <c r="B1109" t="str">
        <f t="shared" si="19"/>
        <v>25</v>
      </c>
      <c r="C1109" s="35">
        <v>2024</v>
      </c>
      <c r="D1109" s="1" t="s">
        <v>4</v>
      </c>
      <c r="E1109" s="35">
        <v>821</v>
      </c>
      <c r="F1109" s="35">
        <v>634</v>
      </c>
      <c r="G1109" s="35">
        <v>187</v>
      </c>
      <c r="H1109" s="1" t="s">
        <v>2</v>
      </c>
      <c r="I1109" s="1"/>
      <c r="J1109" s="1"/>
      <c r="K1109" s="1"/>
      <c r="AA1109" s="1"/>
    </row>
    <row r="1110" spans="1:27" x14ac:dyDescent="0.25">
      <c r="A1110" t="s">
        <v>83</v>
      </c>
      <c r="B1110" t="str">
        <f t="shared" si="19"/>
        <v>25</v>
      </c>
      <c r="C1110" s="35">
        <v>2024</v>
      </c>
      <c r="D1110" s="35">
        <v>2023</v>
      </c>
      <c r="E1110" s="35">
        <v>6</v>
      </c>
      <c r="F1110" s="35">
        <v>5</v>
      </c>
      <c r="G1110" s="35">
        <v>1</v>
      </c>
      <c r="H1110" s="1" t="s">
        <v>2</v>
      </c>
      <c r="I1110" s="1"/>
      <c r="J1110" s="1"/>
      <c r="K1110" s="1"/>
      <c r="AA1110" s="1"/>
    </row>
    <row r="1111" spans="1:27" x14ac:dyDescent="0.25">
      <c r="A1111" t="s">
        <v>83</v>
      </c>
      <c r="B1111" t="str">
        <f t="shared" si="19"/>
        <v>25</v>
      </c>
      <c r="C1111" s="35">
        <v>2024</v>
      </c>
      <c r="D1111" s="35">
        <v>2024</v>
      </c>
      <c r="E1111" s="35">
        <v>815</v>
      </c>
      <c r="F1111" s="35">
        <v>629</v>
      </c>
      <c r="G1111" s="35">
        <v>186</v>
      </c>
      <c r="H1111" s="1" t="s">
        <v>2</v>
      </c>
      <c r="I1111" s="1"/>
      <c r="J1111" s="1"/>
      <c r="K1111" s="1"/>
      <c r="AA1111" s="1"/>
    </row>
    <row r="1112" spans="1:27" x14ac:dyDescent="0.25">
      <c r="A1112" t="s">
        <v>84</v>
      </c>
      <c r="B1112" t="str">
        <f t="shared" si="19"/>
        <v>30</v>
      </c>
      <c r="C1112" s="35">
        <v>1990</v>
      </c>
      <c r="D1112" s="1" t="s">
        <v>4</v>
      </c>
      <c r="E1112" s="36">
        <v>1176</v>
      </c>
      <c r="F1112" s="35">
        <v>862</v>
      </c>
      <c r="G1112" s="35">
        <v>312</v>
      </c>
      <c r="H1112" s="35">
        <v>2</v>
      </c>
      <c r="I1112" s="1"/>
      <c r="J1112" s="1"/>
      <c r="K1112" s="1"/>
      <c r="AA1112" s="1"/>
    </row>
    <row r="1113" spans="1:27" x14ac:dyDescent="0.25">
      <c r="A1113" t="s">
        <v>84</v>
      </c>
      <c r="B1113" t="str">
        <f t="shared" si="19"/>
        <v>30</v>
      </c>
      <c r="C1113" s="35">
        <v>1990</v>
      </c>
      <c r="D1113" s="35">
        <v>1990</v>
      </c>
      <c r="E1113" s="36">
        <v>1163</v>
      </c>
      <c r="F1113" s="35">
        <v>851</v>
      </c>
      <c r="G1113" s="35">
        <v>310</v>
      </c>
      <c r="H1113" s="35">
        <v>2</v>
      </c>
      <c r="I1113" s="1"/>
      <c r="J1113" s="1"/>
      <c r="K1113" s="1"/>
      <c r="AA1113" s="1"/>
    </row>
    <row r="1114" spans="1:27" x14ac:dyDescent="0.25">
      <c r="A1114" t="s">
        <v>84</v>
      </c>
      <c r="B1114" t="str">
        <f t="shared" si="19"/>
        <v>30</v>
      </c>
      <c r="C1114" s="35">
        <v>1990</v>
      </c>
      <c r="D1114" s="1" t="s">
        <v>24</v>
      </c>
      <c r="E1114" s="35">
        <v>13</v>
      </c>
      <c r="F1114" s="35">
        <v>11</v>
      </c>
      <c r="G1114" s="35">
        <v>2</v>
      </c>
      <c r="H1114" s="1" t="s">
        <v>2</v>
      </c>
      <c r="I1114" s="1"/>
      <c r="J1114" s="1"/>
      <c r="K1114" s="1"/>
      <c r="AA1114" s="1"/>
    </row>
    <row r="1115" spans="1:27" x14ac:dyDescent="0.25">
      <c r="A1115" t="s">
        <v>84</v>
      </c>
      <c r="B1115" t="str">
        <f t="shared" si="19"/>
        <v>30</v>
      </c>
      <c r="C1115" s="35">
        <v>1991</v>
      </c>
      <c r="D1115" s="1" t="s">
        <v>4</v>
      </c>
      <c r="E1115" s="36">
        <v>1332</v>
      </c>
      <c r="F1115" s="36">
        <v>1006</v>
      </c>
      <c r="G1115" s="35">
        <v>326</v>
      </c>
      <c r="H1115" s="1" t="s">
        <v>2</v>
      </c>
      <c r="I1115" s="1"/>
      <c r="J1115" s="1"/>
      <c r="K1115" s="1"/>
      <c r="AA1115" s="1"/>
    </row>
    <row r="1116" spans="1:27" x14ac:dyDescent="0.25">
      <c r="A1116" t="s">
        <v>84</v>
      </c>
      <c r="B1116" t="str">
        <f t="shared" si="19"/>
        <v>30</v>
      </c>
      <c r="C1116" s="35">
        <v>1991</v>
      </c>
      <c r="D1116" s="35">
        <v>1991</v>
      </c>
      <c r="E1116" s="36">
        <v>1318</v>
      </c>
      <c r="F1116" s="35">
        <v>994</v>
      </c>
      <c r="G1116" s="35">
        <v>324</v>
      </c>
      <c r="H1116" s="1" t="s">
        <v>2</v>
      </c>
      <c r="I1116" s="1"/>
      <c r="J1116" s="1"/>
      <c r="K1116" s="1"/>
      <c r="AA1116" s="1"/>
    </row>
    <row r="1117" spans="1:27" x14ac:dyDescent="0.25">
      <c r="A1117" t="s">
        <v>84</v>
      </c>
      <c r="B1117" t="str">
        <f t="shared" si="19"/>
        <v>30</v>
      </c>
      <c r="C1117" s="35">
        <v>1991</v>
      </c>
      <c r="D1117" s="1" t="s">
        <v>24</v>
      </c>
      <c r="E1117" s="35">
        <v>14</v>
      </c>
      <c r="F1117" s="35">
        <v>12</v>
      </c>
      <c r="G1117" s="35">
        <v>2</v>
      </c>
      <c r="H1117" s="1" t="s">
        <v>2</v>
      </c>
      <c r="I1117" s="1"/>
      <c r="J1117" s="1"/>
      <c r="K1117" s="1"/>
      <c r="AA1117" s="1"/>
    </row>
    <row r="1118" spans="1:27" x14ac:dyDescent="0.25">
      <c r="A1118" t="s">
        <v>84</v>
      </c>
      <c r="B1118" t="str">
        <f t="shared" si="19"/>
        <v>30</v>
      </c>
      <c r="C1118" s="35">
        <v>1992</v>
      </c>
      <c r="D1118" s="1" t="s">
        <v>4</v>
      </c>
      <c r="E1118" s="36">
        <v>1333</v>
      </c>
      <c r="F1118" s="36">
        <v>1019</v>
      </c>
      <c r="G1118" s="35">
        <v>314</v>
      </c>
      <c r="H1118" s="1" t="s">
        <v>2</v>
      </c>
      <c r="I1118" s="1"/>
      <c r="J1118" s="1"/>
      <c r="K1118" s="1"/>
      <c r="AA1118" s="1"/>
    </row>
    <row r="1119" spans="1:27" x14ac:dyDescent="0.25">
      <c r="A1119" t="s">
        <v>84</v>
      </c>
      <c r="B1119" t="str">
        <f t="shared" si="19"/>
        <v>30</v>
      </c>
      <c r="C1119" s="35">
        <v>1992</v>
      </c>
      <c r="D1119" s="35">
        <v>1992</v>
      </c>
      <c r="E1119" s="36">
        <v>1314</v>
      </c>
      <c r="F1119" s="36">
        <v>1002</v>
      </c>
      <c r="G1119" s="35">
        <v>312</v>
      </c>
      <c r="H1119" s="1" t="s">
        <v>2</v>
      </c>
      <c r="I1119" s="1"/>
      <c r="J1119" s="1"/>
      <c r="K1119" s="1"/>
      <c r="AA1119" s="1"/>
    </row>
    <row r="1120" spans="1:27" x14ac:dyDescent="0.25">
      <c r="A1120" t="s">
        <v>84</v>
      </c>
      <c r="B1120" t="str">
        <f t="shared" si="19"/>
        <v>30</v>
      </c>
      <c r="C1120" s="35">
        <v>1992</v>
      </c>
      <c r="D1120" s="1" t="s">
        <v>24</v>
      </c>
      <c r="E1120" s="35">
        <v>19</v>
      </c>
      <c r="F1120" s="35">
        <v>17</v>
      </c>
      <c r="G1120" s="35">
        <v>2</v>
      </c>
      <c r="H1120" s="1" t="s">
        <v>2</v>
      </c>
      <c r="I1120" s="1"/>
      <c r="J1120" s="1"/>
      <c r="K1120" s="1"/>
      <c r="AA1120" s="1"/>
    </row>
    <row r="1121" spans="1:27" x14ac:dyDescent="0.25">
      <c r="A1121" t="s">
        <v>84</v>
      </c>
      <c r="B1121" t="str">
        <f t="shared" si="19"/>
        <v>30</v>
      </c>
      <c r="C1121" s="35">
        <v>1993</v>
      </c>
      <c r="D1121" s="1" t="s">
        <v>4</v>
      </c>
      <c r="E1121" s="36">
        <v>1364</v>
      </c>
      <c r="F1121" s="36">
        <v>1034</v>
      </c>
      <c r="G1121" s="35">
        <v>330</v>
      </c>
      <c r="H1121" s="1" t="s">
        <v>2</v>
      </c>
      <c r="I1121" s="1"/>
      <c r="J1121" s="1"/>
      <c r="K1121" s="1"/>
      <c r="AA1121" s="1"/>
    </row>
    <row r="1122" spans="1:27" x14ac:dyDescent="0.25">
      <c r="A1122" t="s">
        <v>84</v>
      </c>
      <c r="B1122" t="str">
        <f t="shared" si="19"/>
        <v>30</v>
      </c>
      <c r="C1122" s="35">
        <v>1993</v>
      </c>
      <c r="D1122" s="35">
        <v>1983</v>
      </c>
      <c r="E1122" s="35">
        <v>1</v>
      </c>
      <c r="F1122" s="1" t="s">
        <v>2</v>
      </c>
      <c r="G1122" s="35">
        <v>1</v>
      </c>
      <c r="H1122" s="1" t="s">
        <v>2</v>
      </c>
      <c r="I1122" s="1"/>
      <c r="J1122" s="1"/>
      <c r="K1122" s="1"/>
      <c r="AA1122" s="1"/>
    </row>
    <row r="1123" spans="1:27" x14ac:dyDescent="0.25">
      <c r="A1123" t="s">
        <v>84</v>
      </c>
      <c r="B1123" t="str">
        <f t="shared" si="19"/>
        <v>30</v>
      </c>
      <c r="C1123" s="35">
        <v>1993</v>
      </c>
      <c r="D1123" s="35">
        <v>1992</v>
      </c>
      <c r="E1123" s="35">
        <v>14</v>
      </c>
      <c r="F1123" s="35">
        <v>14</v>
      </c>
      <c r="G1123" s="1" t="s">
        <v>2</v>
      </c>
      <c r="H1123" s="1" t="s">
        <v>2</v>
      </c>
      <c r="I1123" s="1"/>
      <c r="J1123" s="1"/>
      <c r="K1123" s="1"/>
      <c r="AA1123" s="1"/>
    </row>
    <row r="1124" spans="1:27" x14ac:dyDescent="0.25">
      <c r="A1124" t="s">
        <v>84</v>
      </c>
      <c r="B1124" t="str">
        <f t="shared" si="19"/>
        <v>30</v>
      </c>
      <c r="C1124" s="35">
        <v>1993</v>
      </c>
      <c r="D1124" s="35">
        <v>1993</v>
      </c>
      <c r="E1124" s="36">
        <v>1332</v>
      </c>
      <c r="F1124" s="36">
        <v>1004</v>
      </c>
      <c r="G1124" s="35">
        <v>328</v>
      </c>
      <c r="H1124" s="1" t="s">
        <v>2</v>
      </c>
      <c r="I1124" s="1"/>
      <c r="J1124" s="1"/>
      <c r="K1124" s="1"/>
      <c r="AA1124" s="1"/>
    </row>
    <row r="1125" spans="1:27" x14ac:dyDescent="0.25">
      <c r="A1125" t="s">
        <v>84</v>
      </c>
      <c r="B1125" t="str">
        <f t="shared" si="19"/>
        <v>30</v>
      </c>
      <c r="C1125" s="35">
        <v>1993</v>
      </c>
      <c r="D1125" s="1" t="s">
        <v>24</v>
      </c>
      <c r="E1125" s="35">
        <v>17</v>
      </c>
      <c r="F1125" s="35">
        <v>16</v>
      </c>
      <c r="G1125" s="35">
        <v>1</v>
      </c>
      <c r="H1125" s="1" t="s">
        <v>2</v>
      </c>
      <c r="I1125" s="1"/>
      <c r="J1125" s="1"/>
      <c r="K1125" s="1"/>
      <c r="AA1125" s="1"/>
    </row>
    <row r="1126" spans="1:27" x14ac:dyDescent="0.25">
      <c r="A1126" t="s">
        <v>84</v>
      </c>
      <c r="B1126" t="str">
        <f t="shared" si="19"/>
        <v>30</v>
      </c>
      <c r="C1126" s="35">
        <v>1994</v>
      </c>
      <c r="D1126" s="1" t="s">
        <v>4</v>
      </c>
      <c r="E1126" s="36">
        <v>1330</v>
      </c>
      <c r="F1126" s="35">
        <v>975</v>
      </c>
      <c r="G1126" s="35">
        <v>355</v>
      </c>
      <c r="H1126" s="1" t="s">
        <v>2</v>
      </c>
      <c r="I1126" s="1"/>
      <c r="J1126" s="1"/>
      <c r="K1126" s="1"/>
      <c r="AA1126" s="1"/>
    </row>
    <row r="1127" spans="1:27" x14ac:dyDescent="0.25">
      <c r="A1127" t="s">
        <v>84</v>
      </c>
      <c r="B1127" t="str">
        <f t="shared" si="19"/>
        <v>30</v>
      </c>
      <c r="C1127" s="35">
        <v>1994</v>
      </c>
      <c r="D1127" s="35">
        <v>1993</v>
      </c>
      <c r="E1127" s="35">
        <v>11</v>
      </c>
      <c r="F1127" s="35">
        <v>11</v>
      </c>
      <c r="G1127" s="1" t="s">
        <v>2</v>
      </c>
      <c r="H1127" s="1" t="s">
        <v>2</v>
      </c>
      <c r="I1127" s="1"/>
      <c r="J1127" s="1"/>
      <c r="K1127" s="1"/>
      <c r="AA1127" s="1"/>
    </row>
    <row r="1128" spans="1:27" x14ac:dyDescent="0.25">
      <c r="A1128" t="s">
        <v>84</v>
      </c>
      <c r="B1128" t="str">
        <f t="shared" si="19"/>
        <v>30</v>
      </c>
      <c r="C1128" s="35">
        <v>1994</v>
      </c>
      <c r="D1128" s="35">
        <v>1994</v>
      </c>
      <c r="E1128" s="36">
        <v>1319</v>
      </c>
      <c r="F1128" s="35">
        <v>964</v>
      </c>
      <c r="G1128" s="35">
        <v>355</v>
      </c>
      <c r="H1128" s="1" t="s">
        <v>2</v>
      </c>
      <c r="I1128" s="1"/>
      <c r="J1128" s="1"/>
      <c r="K1128" s="1"/>
      <c r="AA1128" s="1"/>
    </row>
    <row r="1129" spans="1:27" x14ac:dyDescent="0.25">
      <c r="A1129" t="s">
        <v>84</v>
      </c>
      <c r="B1129" t="str">
        <f t="shared" si="19"/>
        <v>30</v>
      </c>
      <c r="C1129" s="35">
        <v>1995</v>
      </c>
      <c r="D1129" s="1" t="s">
        <v>4</v>
      </c>
      <c r="E1129" s="36">
        <v>1362</v>
      </c>
      <c r="F1129" s="36">
        <v>1041</v>
      </c>
      <c r="G1129" s="35">
        <v>321</v>
      </c>
      <c r="H1129" s="1" t="s">
        <v>2</v>
      </c>
      <c r="I1129" s="1"/>
      <c r="J1129" s="1"/>
      <c r="K1129" s="1"/>
      <c r="AA1129" s="1"/>
    </row>
    <row r="1130" spans="1:27" x14ac:dyDescent="0.25">
      <c r="A1130" t="s">
        <v>84</v>
      </c>
      <c r="B1130" t="str">
        <f t="shared" si="19"/>
        <v>30</v>
      </c>
      <c r="C1130" s="35">
        <v>1995</v>
      </c>
      <c r="D1130" s="35">
        <v>1991</v>
      </c>
      <c r="E1130" s="35">
        <v>1</v>
      </c>
      <c r="F1130" s="35">
        <v>1</v>
      </c>
      <c r="G1130" s="1" t="s">
        <v>2</v>
      </c>
      <c r="H1130" s="1" t="s">
        <v>2</v>
      </c>
      <c r="I1130" s="1"/>
      <c r="J1130" s="1"/>
      <c r="K1130" s="1"/>
      <c r="AA1130" s="1"/>
    </row>
    <row r="1131" spans="1:27" x14ac:dyDescent="0.25">
      <c r="A1131" t="s">
        <v>84</v>
      </c>
      <c r="B1131" t="str">
        <f t="shared" si="19"/>
        <v>30</v>
      </c>
      <c r="C1131" s="35">
        <v>1995</v>
      </c>
      <c r="D1131" s="35">
        <v>1993</v>
      </c>
      <c r="E1131" s="35">
        <v>1</v>
      </c>
      <c r="F1131" s="35">
        <v>1</v>
      </c>
      <c r="G1131" s="1" t="s">
        <v>2</v>
      </c>
      <c r="H1131" s="1" t="s">
        <v>2</v>
      </c>
      <c r="I1131" s="1"/>
      <c r="J1131" s="1"/>
      <c r="K1131" s="1"/>
      <c r="AA1131" s="1"/>
    </row>
    <row r="1132" spans="1:27" x14ac:dyDescent="0.25">
      <c r="A1132" t="s">
        <v>84</v>
      </c>
      <c r="B1132" t="str">
        <f t="shared" si="19"/>
        <v>30</v>
      </c>
      <c r="C1132" s="35">
        <v>1995</v>
      </c>
      <c r="D1132" s="35">
        <v>1994</v>
      </c>
      <c r="E1132" s="35">
        <v>10</v>
      </c>
      <c r="F1132" s="35">
        <v>10</v>
      </c>
      <c r="G1132" s="1" t="s">
        <v>2</v>
      </c>
      <c r="H1132" s="1" t="s">
        <v>2</v>
      </c>
      <c r="I1132" s="1"/>
      <c r="J1132" s="1"/>
      <c r="K1132" s="1"/>
      <c r="AA1132" s="1"/>
    </row>
    <row r="1133" spans="1:27" x14ac:dyDescent="0.25">
      <c r="A1133" t="s">
        <v>84</v>
      </c>
      <c r="B1133" t="str">
        <f t="shared" si="19"/>
        <v>30</v>
      </c>
      <c r="C1133" s="35">
        <v>1995</v>
      </c>
      <c r="D1133" s="35">
        <v>1995</v>
      </c>
      <c r="E1133" s="36">
        <v>1350</v>
      </c>
      <c r="F1133" s="36">
        <v>1029</v>
      </c>
      <c r="G1133" s="35">
        <v>321</v>
      </c>
      <c r="H1133" s="1" t="s">
        <v>2</v>
      </c>
      <c r="I1133" s="1"/>
      <c r="J1133" s="1"/>
      <c r="K1133" s="1"/>
      <c r="AA1133" s="1"/>
    </row>
    <row r="1134" spans="1:27" x14ac:dyDescent="0.25">
      <c r="A1134" t="s">
        <v>84</v>
      </c>
      <c r="B1134" t="str">
        <f t="shared" si="19"/>
        <v>30</v>
      </c>
      <c r="C1134" s="35">
        <v>1996</v>
      </c>
      <c r="D1134" s="1" t="s">
        <v>4</v>
      </c>
      <c r="E1134" s="36">
        <v>1307</v>
      </c>
      <c r="F1134" s="35">
        <v>993</v>
      </c>
      <c r="G1134" s="35">
        <v>314</v>
      </c>
      <c r="H1134" s="1" t="s">
        <v>2</v>
      </c>
      <c r="I1134" s="1"/>
      <c r="J1134" s="1"/>
      <c r="K1134" s="1"/>
      <c r="AA1134" s="1"/>
    </row>
    <row r="1135" spans="1:27" x14ac:dyDescent="0.25">
      <c r="A1135" t="s">
        <v>84</v>
      </c>
      <c r="B1135" t="str">
        <f t="shared" si="19"/>
        <v>30</v>
      </c>
      <c r="C1135" s="35">
        <v>1996</v>
      </c>
      <c r="D1135" s="35">
        <v>1994</v>
      </c>
      <c r="E1135" s="35">
        <v>1</v>
      </c>
      <c r="F1135" s="35">
        <v>1</v>
      </c>
      <c r="G1135" s="1" t="s">
        <v>2</v>
      </c>
      <c r="H1135" s="1" t="s">
        <v>2</v>
      </c>
      <c r="I1135" s="1"/>
      <c r="J1135" s="1"/>
      <c r="K1135" s="1"/>
      <c r="AA1135" s="1"/>
    </row>
    <row r="1136" spans="1:27" x14ac:dyDescent="0.25">
      <c r="A1136" t="s">
        <v>84</v>
      </c>
      <c r="B1136" t="str">
        <f t="shared" si="19"/>
        <v>30</v>
      </c>
      <c r="C1136" s="35">
        <v>1996</v>
      </c>
      <c r="D1136" s="35">
        <v>1995</v>
      </c>
      <c r="E1136" s="35">
        <v>12</v>
      </c>
      <c r="F1136" s="35">
        <v>12</v>
      </c>
      <c r="G1136" s="1" t="s">
        <v>2</v>
      </c>
      <c r="H1136" s="1" t="s">
        <v>2</v>
      </c>
      <c r="I1136" s="1"/>
      <c r="J1136" s="1"/>
      <c r="K1136" s="1"/>
      <c r="AA1136" s="1"/>
    </row>
    <row r="1137" spans="1:27" x14ac:dyDescent="0.25">
      <c r="A1137" t="s">
        <v>84</v>
      </c>
      <c r="B1137" t="str">
        <f t="shared" si="19"/>
        <v>30</v>
      </c>
      <c r="C1137" s="35">
        <v>1996</v>
      </c>
      <c r="D1137" s="35">
        <v>1996</v>
      </c>
      <c r="E1137" s="36">
        <v>1294</v>
      </c>
      <c r="F1137" s="35">
        <v>980</v>
      </c>
      <c r="G1137" s="35">
        <v>314</v>
      </c>
      <c r="H1137" s="1" t="s">
        <v>2</v>
      </c>
      <c r="I1137" s="1"/>
      <c r="J1137" s="1"/>
      <c r="K1137" s="1"/>
      <c r="AA1137" s="1"/>
    </row>
    <row r="1138" spans="1:27" x14ac:dyDescent="0.25">
      <c r="A1138" t="s">
        <v>84</v>
      </c>
      <c r="B1138" t="str">
        <f t="shared" si="19"/>
        <v>30</v>
      </c>
      <c r="C1138" s="35">
        <v>1997</v>
      </c>
      <c r="D1138" s="1" t="s">
        <v>4</v>
      </c>
      <c r="E1138" s="36">
        <v>1244</v>
      </c>
      <c r="F1138" s="35">
        <v>925</v>
      </c>
      <c r="G1138" s="35">
        <v>319</v>
      </c>
      <c r="H1138" s="1" t="s">
        <v>2</v>
      </c>
      <c r="I1138" s="1"/>
      <c r="J1138" s="1"/>
      <c r="K1138" s="1"/>
      <c r="AA1138" s="1"/>
    </row>
    <row r="1139" spans="1:27" x14ac:dyDescent="0.25">
      <c r="A1139" t="s">
        <v>84</v>
      </c>
      <c r="B1139" t="str">
        <f t="shared" si="19"/>
        <v>30</v>
      </c>
      <c r="C1139" s="35">
        <v>1997</v>
      </c>
      <c r="D1139" s="35">
        <v>1957</v>
      </c>
      <c r="E1139" s="35">
        <v>1</v>
      </c>
      <c r="F1139" s="1" t="s">
        <v>2</v>
      </c>
      <c r="G1139" s="35">
        <v>1</v>
      </c>
      <c r="H1139" s="1" t="s">
        <v>2</v>
      </c>
      <c r="I1139" s="1"/>
      <c r="J1139" s="1"/>
      <c r="K1139" s="1"/>
      <c r="AA1139" s="1"/>
    </row>
    <row r="1140" spans="1:27" x14ac:dyDescent="0.25">
      <c r="A1140" t="s">
        <v>84</v>
      </c>
      <c r="B1140" t="str">
        <f t="shared" si="19"/>
        <v>30</v>
      </c>
      <c r="C1140" s="35">
        <v>1997</v>
      </c>
      <c r="D1140" s="35">
        <v>1996</v>
      </c>
      <c r="E1140" s="35">
        <v>4</v>
      </c>
      <c r="F1140" s="35">
        <v>2</v>
      </c>
      <c r="G1140" s="35">
        <v>2</v>
      </c>
      <c r="H1140" s="1" t="s">
        <v>2</v>
      </c>
      <c r="I1140" s="1"/>
      <c r="J1140" s="1"/>
      <c r="K1140" s="1"/>
      <c r="AA1140" s="1"/>
    </row>
    <row r="1141" spans="1:27" x14ac:dyDescent="0.25">
      <c r="A1141" t="s">
        <v>84</v>
      </c>
      <c r="B1141" t="str">
        <f t="shared" si="19"/>
        <v>30</v>
      </c>
      <c r="C1141" s="35">
        <v>1997</v>
      </c>
      <c r="D1141" s="35">
        <v>1997</v>
      </c>
      <c r="E1141" s="36">
        <v>1239</v>
      </c>
      <c r="F1141" s="35">
        <v>923</v>
      </c>
      <c r="G1141" s="35">
        <v>316</v>
      </c>
      <c r="H1141" s="1" t="s">
        <v>2</v>
      </c>
      <c r="I1141" s="1"/>
      <c r="J1141" s="1"/>
      <c r="K1141" s="1"/>
      <c r="AA1141" s="1"/>
    </row>
    <row r="1142" spans="1:27" x14ac:dyDescent="0.25">
      <c r="A1142" t="s">
        <v>84</v>
      </c>
      <c r="B1142" t="str">
        <f t="shared" si="19"/>
        <v>30</v>
      </c>
      <c r="C1142" s="35">
        <v>1998</v>
      </c>
      <c r="D1142" s="1" t="s">
        <v>4</v>
      </c>
      <c r="E1142" s="36">
        <v>1263</v>
      </c>
      <c r="F1142" s="35">
        <v>927</v>
      </c>
      <c r="G1142" s="35">
        <v>336</v>
      </c>
      <c r="H1142" s="1" t="s">
        <v>2</v>
      </c>
      <c r="I1142" s="1"/>
      <c r="J1142" s="1"/>
      <c r="K1142" s="1"/>
      <c r="AA1142" s="1"/>
    </row>
    <row r="1143" spans="1:27" x14ac:dyDescent="0.25">
      <c r="A1143" t="s">
        <v>84</v>
      </c>
      <c r="B1143" t="str">
        <f t="shared" si="19"/>
        <v>30</v>
      </c>
      <c r="C1143" s="35">
        <v>1998</v>
      </c>
      <c r="D1143" s="35">
        <v>1909</v>
      </c>
      <c r="E1143" s="35">
        <v>1</v>
      </c>
      <c r="F1143" s="1" t="s">
        <v>2</v>
      </c>
      <c r="G1143" s="35">
        <v>1</v>
      </c>
      <c r="H1143" s="1" t="s">
        <v>2</v>
      </c>
      <c r="I1143" s="1"/>
      <c r="J1143" s="1"/>
      <c r="K1143" s="1"/>
      <c r="AA1143" s="1"/>
    </row>
    <row r="1144" spans="1:27" x14ac:dyDescent="0.25">
      <c r="A1144" t="s">
        <v>84</v>
      </c>
      <c r="B1144" t="str">
        <f t="shared" si="19"/>
        <v>30</v>
      </c>
      <c r="C1144" s="35">
        <v>1998</v>
      </c>
      <c r="D1144" s="35">
        <v>1996</v>
      </c>
      <c r="E1144" s="35">
        <v>1</v>
      </c>
      <c r="F1144" s="35">
        <v>1</v>
      </c>
      <c r="G1144" s="1" t="s">
        <v>2</v>
      </c>
      <c r="H1144" s="1" t="s">
        <v>2</v>
      </c>
      <c r="I1144" s="1"/>
      <c r="J1144" s="1"/>
      <c r="K1144" s="1"/>
      <c r="AA1144" s="1"/>
    </row>
    <row r="1145" spans="1:27" x14ac:dyDescent="0.25">
      <c r="A1145" t="s">
        <v>84</v>
      </c>
      <c r="B1145" t="str">
        <f t="shared" si="19"/>
        <v>30</v>
      </c>
      <c r="C1145" s="35">
        <v>1998</v>
      </c>
      <c r="D1145" s="35">
        <v>1997</v>
      </c>
      <c r="E1145" s="35">
        <v>12</v>
      </c>
      <c r="F1145" s="35">
        <v>8</v>
      </c>
      <c r="G1145" s="35">
        <v>4</v>
      </c>
      <c r="H1145" s="1" t="s">
        <v>2</v>
      </c>
      <c r="I1145" s="1"/>
      <c r="J1145" s="1"/>
      <c r="K1145" s="1"/>
      <c r="AA1145" s="1"/>
    </row>
    <row r="1146" spans="1:27" x14ac:dyDescent="0.25">
      <c r="A1146" t="s">
        <v>84</v>
      </c>
      <c r="B1146" t="str">
        <f t="shared" si="19"/>
        <v>30</v>
      </c>
      <c r="C1146" s="35">
        <v>1998</v>
      </c>
      <c r="D1146" s="35">
        <v>1998</v>
      </c>
      <c r="E1146" s="36">
        <v>1249</v>
      </c>
      <c r="F1146" s="35">
        <v>918</v>
      </c>
      <c r="G1146" s="35">
        <v>331</v>
      </c>
      <c r="H1146" s="1" t="s">
        <v>2</v>
      </c>
      <c r="I1146" s="1"/>
      <c r="J1146" s="1"/>
      <c r="K1146" s="1"/>
      <c r="AA1146" s="1"/>
    </row>
    <row r="1147" spans="1:27" x14ac:dyDescent="0.25">
      <c r="A1147" t="s">
        <v>84</v>
      </c>
      <c r="B1147" t="str">
        <f t="shared" si="19"/>
        <v>30</v>
      </c>
      <c r="C1147" s="35">
        <v>1999</v>
      </c>
      <c r="D1147" s="1" t="s">
        <v>4</v>
      </c>
      <c r="E1147" s="36">
        <v>1124</v>
      </c>
      <c r="F1147" s="35">
        <v>824</v>
      </c>
      <c r="G1147" s="35">
        <v>300</v>
      </c>
      <c r="H1147" s="1" t="s">
        <v>2</v>
      </c>
      <c r="I1147" s="1"/>
      <c r="J1147" s="1"/>
      <c r="K1147" s="1"/>
      <c r="AA1147" s="1"/>
    </row>
    <row r="1148" spans="1:27" x14ac:dyDescent="0.25">
      <c r="A1148" t="s">
        <v>84</v>
      </c>
      <c r="B1148" t="str">
        <f t="shared" si="19"/>
        <v>30</v>
      </c>
      <c r="C1148" s="35">
        <v>1999</v>
      </c>
      <c r="D1148" s="35">
        <v>1949</v>
      </c>
      <c r="E1148" s="35">
        <v>1</v>
      </c>
      <c r="F1148" s="35">
        <v>1</v>
      </c>
      <c r="G1148" s="1" t="s">
        <v>2</v>
      </c>
      <c r="H1148" s="1" t="s">
        <v>2</v>
      </c>
      <c r="I1148" s="1"/>
      <c r="J1148" s="1"/>
      <c r="K1148" s="1"/>
      <c r="AA1148" s="1"/>
    </row>
    <row r="1149" spans="1:27" x14ac:dyDescent="0.25">
      <c r="A1149" t="s">
        <v>84</v>
      </c>
      <c r="B1149" t="str">
        <f t="shared" si="19"/>
        <v>30</v>
      </c>
      <c r="C1149" s="35">
        <v>1999</v>
      </c>
      <c r="D1149" s="35">
        <v>1998</v>
      </c>
      <c r="E1149" s="35">
        <v>3</v>
      </c>
      <c r="F1149" s="35">
        <v>2</v>
      </c>
      <c r="G1149" s="35">
        <v>1</v>
      </c>
      <c r="H1149" s="1" t="s">
        <v>2</v>
      </c>
      <c r="I1149" s="1"/>
      <c r="J1149" s="1"/>
      <c r="K1149" s="1"/>
      <c r="AA1149" s="1"/>
    </row>
    <row r="1150" spans="1:27" x14ac:dyDescent="0.25">
      <c r="A1150" t="s">
        <v>84</v>
      </c>
      <c r="B1150" t="str">
        <f t="shared" si="19"/>
        <v>30</v>
      </c>
      <c r="C1150" s="35">
        <v>1999</v>
      </c>
      <c r="D1150" s="35">
        <v>1999</v>
      </c>
      <c r="E1150" s="36">
        <v>1120</v>
      </c>
      <c r="F1150" s="35">
        <v>821</v>
      </c>
      <c r="G1150" s="35">
        <v>299</v>
      </c>
      <c r="H1150" s="1" t="s">
        <v>2</v>
      </c>
      <c r="I1150" s="1"/>
      <c r="J1150" s="1"/>
      <c r="K1150" s="1"/>
      <c r="AA1150" s="1"/>
    </row>
    <row r="1151" spans="1:27" x14ac:dyDescent="0.25">
      <c r="A1151" t="s">
        <v>84</v>
      </c>
      <c r="B1151" t="str">
        <f t="shared" si="19"/>
        <v>30</v>
      </c>
      <c r="C1151" s="35">
        <v>2000</v>
      </c>
      <c r="D1151" s="1" t="s">
        <v>4</v>
      </c>
      <c r="E1151" s="36">
        <v>1135</v>
      </c>
      <c r="F1151" s="35">
        <v>864</v>
      </c>
      <c r="G1151" s="35">
        <v>271</v>
      </c>
      <c r="H1151" s="1" t="s">
        <v>2</v>
      </c>
      <c r="I1151" s="1"/>
      <c r="J1151" s="1"/>
      <c r="K1151" s="1"/>
      <c r="AA1151" s="1"/>
    </row>
    <row r="1152" spans="1:27" x14ac:dyDescent="0.25">
      <c r="A1152" t="s">
        <v>84</v>
      </c>
      <c r="B1152" t="str">
        <f t="shared" si="19"/>
        <v>30</v>
      </c>
      <c r="C1152" s="35">
        <v>2000</v>
      </c>
      <c r="D1152" s="35">
        <v>1991</v>
      </c>
      <c r="E1152" s="35">
        <v>1</v>
      </c>
      <c r="F1152" s="35">
        <v>1</v>
      </c>
      <c r="G1152" s="1" t="s">
        <v>2</v>
      </c>
      <c r="H1152" s="1" t="s">
        <v>2</v>
      </c>
      <c r="I1152" s="1"/>
      <c r="J1152" s="1"/>
      <c r="K1152" s="1"/>
      <c r="AA1152" s="1"/>
    </row>
    <row r="1153" spans="1:27" x14ac:dyDescent="0.25">
      <c r="A1153" t="s">
        <v>84</v>
      </c>
      <c r="B1153" t="str">
        <f t="shared" si="19"/>
        <v>30</v>
      </c>
      <c r="C1153" s="35">
        <v>2000</v>
      </c>
      <c r="D1153" s="35">
        <v>1999</v>
      </c>
      <c r="E1153" s="35">
        <v>9</v>
      </c>
      <c r="F1153" s="35">
        <v>6</v>
      </c>
      <c r="G1153" s="35">
        <v>3</v>
      </c>
      <c r="H1153" s="1" t="s">
        <v>2</v>
      </c>
      <c r="I1153" s="1"/>
      <c r="J1153" s="1"/>
      <c r="K1153" s="1"/>
      <c r="AA1153" s="1"/>
    </row>
    <row r="1154" spans="1:27" x14ac:dyDescent="0.25">
      <c r="A1154" t="s">
        <v>84</v>
      </c>
      <c r="B1154" t="str">
        <f t="shared" si="19"/>
        <v>30</v>
      </c>
      <c r="C1154" s="35">
        <v>2000</v>
      </c>
      <c r="D1154" s="35">
        <v>2000</v>
      </c>
      <c r="E1154" s="36">
        <v>1125</v>
      </c>
      <c r="F1154" s="35">
        <v>857</v>
      </c>
      <c r="G1154" s="35">
        <v>268</v>
      </c>
      <c r="H1154" s="1" t="s">
        <v>2</v>
      </c>
      <c r="I1154" s="1"/>
      <c r="J1154" s="1"/>
      <c r="K1154" s="1"/>
      <c r="AA1154" s="1"/>
    </row>
    <row r="1155" spans="1:27" x14ac:dyDescent="0.25">
      <c r="A1155" t="s">
        <v>84</v>
      </c>
      <c r="B1155" t="str">
        <f t="shared" si="19"/>
        <v>30</v>
      </c>
      <c r="C1155" s="35">
        <v>2001</v>
      </c>
      <c r="D1155" s="1" t="s">
        <v>4</v>
      </c>
      <c r="E1155" s="36">
        <v>1140</v>
      </c>
      <c r="F1155" s="35">
        <v>807</v>
      </c>
      <c r="G1155" s="35">
        <v>333</v>
      </c>
      <c r="H1155" s="1" t="s">
        <v>2</v>
      </c>
      <c r="I1155" s="1"/>
      <c r="J1155" s="1"/>
      <c r="K1155" s="1"/>
      <c r="AA1155" s="1"/>
    </row>
    <row r="1156" spans="1:27" x14ac:dyDescent="0.25">
      <c r="A1156" t="s">
        <v>84</v>
      </c>
      <c r="B1156" t="str">
        <f t="shared" si="19"/>
        <v>30</v>
      </c>
      <c r="C1156" s="35">
        <v>2001</v>
      </c>
      <c r="D1156" s="35">
        <v>2000</v>
      </c>
      <c r="E1156" s="35">
        <v>15</v>
      </c>
      <c r="F1156" s="35">
        <v>9</v>
      </c>
      <c r="G1156" s="35">
        <v>6</v>
      </c>
      <c r="H1156" s="1" t="s">
        <v>2</v>
      </c>
      <c r="I1156" s="1"/>
      <c r="J1156" s="1"/>
      <c r="K1156" s="1"/>
      <c r="AA1156" s="1"/>
    </row>
    <row r="1157" spans="1:27" x14ac:dyDescent="0.25">
      <c r="A1157" t="s">
        <v>84</v>
      </c>
      <c r="B1157" t="str">
        <f t="shared" si="19"/>
        <v>30</v>
      </c>
      <c r="C1157" s="35">
        <v>2001</v>
      </c>
      <c r="D1157" s="35">
        <v>2001</v>
      </c>
      <c r="E1157" s="36">
        <v>1125</v>
      </c>
      <c r="F1157" s="35">
        <v>798</v>
      </c>
      <c r="G1157" s="35">
        <v>327</v>
      </c>
      <c r="H1157" s="1" t="s">
        <v>2</v>
      </c>
      <c r="I1157" s="1"/>
      <c r="J1157" s="1"/>
      <c r="K1157" s="1"/>
      <c r="AA1157" s="1"/>
    </row>
    <row r="1158" spans="1:27" x14ac:dyDescent="0.25">
      <c r="A1158" t="s">
        <v>84</v>
      </c>
      <c r="B1158" t="str">
        <f t="shared" si="19"/>
        <v>30</v>
      </c>
      <c r="C1158" s="35">
        <v>2002</v>
      </c>
      <c r="D1158" s="1" t="s">
        <v>4</v>
      </c>
      <c r="E1158" s="36">
        <v>1078</v>
      </c>
      <c r="F1158" s="35">
        <v>775</v>
      </c>
      <c r="G1158" s="35">
        <v>303</v>
      </c>
      <c r="H1158" s="1" t="s">
        <v>2</v>
      </c>
      <c r="I1158" s="1"/>
      <c r="J1158" s="1"/>
      <c r="K1158" s="1"/>
      <c r="AA1158" s="1"/>
    </row>
    <row r="1159" spans="1:27" x14ac:dyDescent="0.25">
      <c r="A1159" t="s">
        <v>84</v>
      </c>
      <c r="B1159" t="str">
        <f t="shared" ref="B1159:B1222" si="20">IF(A1159="Menores de 1 año",0,LEFT(A1159,2))</f>
        <v>30</v>
      </c>
      <c r="C1159" s="35">
        <v>2002</v>
      </c>
      <c r="D1159" s="35">
        <v>1997</v>
      </c>
      <c r="E1159" s="35">
        <v>1</v>
      </c>
      <c r="F1159" s="35">
        <v>1</v>
      </c>
      <c r="G1159" s="1" t="s">
        <v>2</v>
      </c>
      <c r="H1159" s="1" t="s">
        <v>2</v>
      </c>
      <c r="I1159" s="1"/>
      <c r="J1159" s="1"/>
      <c r="K1159" s="1"/>
      <c r="AA1159" s="1"/>
    </row>
    <row r="1160" spans="1:27" x14ac:dyDescent="0.25">
      <c r="A1160" t="s">
        <v>84</v>
      </c>
      <c r="B1160" t="str">
        <f t="shared" si="20"/>
        <v>30</v>
      </c>
      <c r="C1160" s="35">
        <v>2002</v>
      </c>
      <c r="D1160" s="35">
        <v>2001</v>
      </c>
      <c r="E1160" s="35">
        <v>13</v>
      </c>
      <c r="F1160" s="35">
        <v>9</v>
      </c>
      <c r="G1160" s="35">
        <v>4</v>
      </c>
      <c r="H1160" s="1" t="s">
        <v>2</v>
      </c>
      <c r="I1160" s="1"/>
      <c r="J1160" s="1"/>
      <c r="K1160" s="1"/>
      <c r="AA1160" s="1"/>
    </row>
    <row r="1161" spans="1:27" x14ac:dyDescent="0.25">
      <c r="A1161" t="s">
        <v>84</v>
      </c>
      <c r="B1161" t="str">
        <f t="shared" si="20"/>
        <v>30</v>
      </c>
      <c r="C1161" s="35">
        <v>2002</v>
      </c>
      <c r="D1161" s="35">
        <v>2002</v>
      </c>
      <c r="E1161" s="36">
        <v>1064</v>
      </c>
      <c r="F1161" s="35">
        <v>765</v>
      </c>
      <c r="G1161" s="35">
        <v>299</v>
      </c>
      <c r="H1161" s="1" t="s">
        <v>2</v>
      </c>
      <c r="I1161" s="1"/>
      <c r="J1161" s="1"/>
      <c r="K1161" s="1"/>
      <c r="AA1161" s="1"/>
    </row>
    <row r="1162" spans="1:27" x14ac:dyDescent="0.25">
      <c r="A1162" t="s">
        <v>84</v>
      </c>
      <c r="B1162" t="str">
        <f t="shared" si="20"/>
        <v>30</v>
      </c>
      <c r="C1162" s="35">
        <v>2003</v>
      </c>
      <c r="D1162" s="1" t="s">
        <v>4</v>
      </c>
      <c r="E1162" s="36">
        <v>1142</v>
      </c>
      <c r="F1162" s="35">
        <v>809</v>
      </c>
      <c r="G1162" s="35">
        <v>333</v>
      </c>
      <c r="H1162" s="1" t="s">
        <v>2</v>
      </c>
      <c r="I1162" s="1"/>
      <c r="J1162" s="1"/>
      <c r="K1162" s="1"/>
      <c r="AA1162" s="1"/>
    </row>
    <row r="1163" spans="1:27" x14ac:dyDescent="0.25">
      <c r="A1163" t="s">
        <v>84</v>
      </c>
      <c r="B1163" t="str">
        <f t="shared" si="20"/>
        <v>30</v>
      </c>
      <c r="C1163" s="35">
        <v>2003</v>
      </c>
      <c r="D1163" s="35">
        <v>2001</v>
      </c>
      <c r="E1163" s="35">
        <v>1</v>
      </c>
      <c r="F1163" s="35">
        <v>1</v>
      </c>
      <c r="G1163" s="1" t="s">
        <v>2</v>
      </c>
      <c r="H1163" s="1" t="s">
        <v>2</v>
      </c>
      <c r="I1163" s="1"/>
      <c r="J1163" s="1"/>
      <c r="K1163" s="1"/>
      <c r="AA1163" s="1"/>
    </row>
    <row r="1164" spans="1:27" x14ac:dyDescent="0.25">
      <c r="A1164" t="s">
        <v>84</v>
      </c>
      <c r="B1164" t="str">
        <f t="shared" si="20"/>
        <v>30</v>
      </c>
      <c r="C1164" s="35">
        <v>2003</v>
      </c>
      <c r="D1164" s="35">
        <v>2002</v>
      </c>
      <c r="E1164" s="35">
        <v>14</v>
      </c>
      <c r="F1164" s="35">
        <v>11</v>
      </c>
      <c r="G1164" s="35">
        <v>3</v>
      </c>
      <c r="H1164" s="1" t="s">
        <v>2</v>
      </c>
      <c r="I1164" s="1"/>
      <c r="J1164" s="1"/>
      <c r="K1164" s="1"/>
      <c r="AA1164" s="1"/>
    </row>
    <row r="1165" spans="1:27" x14ac:dyDescent="0.25">
      <c r="A1165" t="s">
        <v>84</v>
      </c>
      <c r="B1165" t="str">
        <f t="shared" si="20"/>
        <v>30</v>
      </c>
      <c r="C1165" s="35">
        <v>2003</v>
      </c>
      <c r="D1165" s="35">
        <v>2003</v>
      </c>
      <c r="E1165" s="36">
        <v>1127</v>
      </c>
      <c r="F1165" s="35">
        <v>797</v>
      </c>
      <c r="G1165" s="35">
        <v>330</v>
      </c>
      <c r="H1165" s="1" t="s">
        <v>2</v>
      </c>
      <c r="I1165" s="1"/>
      <c r="J1165" s="1"/>
      <c r="K1165" s="1"/>
      <c r="AA1165" s="1"/>
    </row>
    <row r="1166" spans="1:27" x14ac:dyDescent="0.25">
      <c r="A1166" t="s">
        <v>84</v>
      </c>
      <c r="B1166" t="str">
        <f t="shared" si="20"/>
        <v>30</v>
      </c>
      <c r="C1166" s="35">
        <v>2004</v>
      </c>
      <c r="D1166" s="1" t="s">
        <v>4</v>
      </c>
      <c r="E1166" s="36">
        <v>1054</v>
      </c>
      <c r="F1166" s="35">
        <v>804</v>
      </c>
      <c r="G1166" s="35">
        <v>250</v>
      </c>
      <c r="H1166" s="1" t="s">
        <v>2</v>
      </c>
      <c r="I1166" s="1"/>
      <c r="J1166" s="1"/>
      <c r="K1166" s="1"/>
      <c r="AA1166" s="1"/>
    </row>
    <row r="1167" spans="1:27" x14ac:dyDescent="0.25">
      <c r="A1167" t="s">
        <v>84</v>
      </c>
      <c r="B1167" t="str">
        <f t="shared" si="20"/>
        <v>30</v>
      </c>
      <c r="C1167" s="35">
        <v>2004</v>
      </c>
      <c r="D1167" s="35">
        <v>2003</v>
      </c>
      <c r="E1167" s="35">
        <v>8</v>
      </c>
      <c r="F1167" s="35">
        <v>8</v>
      </c>
      <c r="G1167" s="1" t="s">
        <v>2</v>
      </c>
      <c r="H1167" s="1" t="s">
        <v>2</v>
      </c>
      <c r="I1167" s="1"/>
      <c r="J1167" s="1"/>
      <c r="K1167" s="1"/>
      <c r="AA1167" s="1"/>
    </row>
    <row r="1168" spans="1:27" x14ac:dyDescent="0.25">
      <c r="A1168" t="s">
        <v>84</v>
      </c>
      <c r="B1168" t="str">
        <f t="shared" si="20"/>
        <v>30</v>
      </c>
      <c r="C1168" s="35">
        <v>2004</v>
      </c>
      <c r="D1168" s="35">
        <v>2004</v>
      </c>
      <c r="E1168" s="36">
        <v>1046</v>
      </c>
      <c r="F1168" s="35">
        <v>796</v>
      </c>
      <c r="G1168" s="35">
        <v>250</v>
      </c>
      <c r="H1168" s="1" t="s">
        <v>2</v>
      </c>
      <c r="I1168" s="1"/>
      <c r="J1168" s="1"/>
      <c r="K1168" s="1"/>
      <c r="AA1168" s="1"/>
    </row>
    <row r="1169" spans="1:27" x14ac:dyDescent="0.25">
      <c r="A1169" t="s">
        <v>84</v>
      </c>
      <c r="B1169" t="str">
        <f t="shared" si="20"/>
        <v>30</v>
      </c>
      <c r="C1169" s="35">
        <v>2005</v>
      </c>
      <c r="D1169" s="1" t="s">
        <v>4</v>
      </c>
      <c r="E1169" s="36">
        <v>1079</v>
      </c>
      <c r="F1169" s="35">
        <v>773</v>
      </c>
      <c r="G1169" s="35">
        <v>306</v>
      </c>
      <c r="H1169" s="1" t="s">
        <v>2</v>
      </c>
      <c r="I1169" s="1"/>
      <c r="J1169" s="1"/>
      <c r="K1169" s="1"/>
      <c r="AA1169" s="1"/>
    </row>
    <row r="1170" spans="1:27" x14ac:dyDescent="0.25">
      <c r="A1170" t="s">
        <v>84</v>
      </c>
      <c r="B1170" t="str">
        <f t="shared" si="20"/>
        <v>30</v>
      </c>
      <c r="C1170" s="35">
        <v>2005</v>
      </c>
      <c r="D1170" s="35">
        <v>1997</v>
      </c>
      <c r="E1170" s="35">
        <v>2</v>
      </c>
      <c r="F1170" s="35">
        <v>2</v>
      </c>
      <c r="G1170" s="1" t="s">
        <v>2</v>
      </c>
      <c r="H1170" s="1" t="s">
        <v>2</v>
      </c>
      <c r="I1170" s="1"/>
      <c r="J1170" s="1"/>
      <c r="K1170" s="1"/>
      <c r="AA1170" s="1"/>
    </row>
    <row r="1171" spans="1:27" x14ac:dyDescent="0.25">
      <c r="A1171" t="s">
        <v>84</v>
      </c>
      <c r="B1171" t="str">
        <f t="shared" si="20"/>
        <v>30</v>
      </c>
      <c r="C1171" s="35">
        <v>2005</v>
      </c>
      <c r="D1171" s="35">
        <v>2004</v>
      </c>
      <c r="E1171" s="35">
        <v>12</v>
      </c>
      <c r="F1171" s="35">
        <v>9</v>
      </c>
      <c r="G1171" s="35">
        <v>3</v>
      </c>
      <c r="H1171" s="1" t="s">
        <v>2</v>
      </c>
      <c r="I1171" s="1"/>
      <c r="J1171" s="1"/>
      <c r="K1171" s="1"/>
      <c r="AA1171" s="1"/>
    </row>
    <row r="1172" spans="1:27" x14ac:dyDescent="0.25">
      <c r="A1172" t="s">
        <v>84</v>
      </c>
      <c r="B1172" t="str">
        <f t="shared" si="20"/>
        <v>30</v>
      </c>
      <c r="C1172" s="35">
        <v>2005</v>
      </c>
      <c r="D1172" s="35">
        <v>2005</v>
      </c>
      <c r="E1172" s="36">
        <v>1065</v>
      </c>
      <c r="F1172" s="35">
        <v>762</v>
      </c>
      <c r="G1172" s="35">
        <v>303</v>
      </c>
      <c r="H1172" s="1" t="s">
        <v>2</v>
      </c>
      <c r="I1172" s="1"/>
      <c r="J1172" s="1"/>
      <c r="K1172" s="1"/>
      <c r="AA1172" s="1"/>
    </row>
    <row r="1173" spans="1:27" x14ac:dyDescent="0.25">
      <c r="A1173" t="s">
        <v>84</v>
      </c>
      <c r="B1173" t="str">
        <f t="shared" si="20"/>
        <v>30</v>
      </c>
      <c r="C1173" s="35">
        <v>2006</v>
      </c>
      <c r="D1173" s="1" t="s">
        <v>4</v>
      </c>
      <c r="E1173" s="36">
        <v>1076</v>
      </c>
      <c r="F1173" s="35">
        <v>808</v>
      </c>
      <c r="G1173" s="35">
        <v>268</v>
      </c>
      <c r="H1173" s="1" t="s">
        <v>2</v>
      </c>
      <c r="I1173" s="1"/>
      <c r="J1173" s="1"/>
      <c r="K1173" s="1"/>
      <c r="AA1173" s="1"/>
    </row>
    <row r="1174" spans="1:27" x14ac:dyDescent="0.25">
      <c r="A1174" t="s">
        <v>84</v>
      </c>
      <c r="B1174" t="str">
        <f t="shared" si="20"/>
        <v>30</v>
      </c>
      <c r="C1174" s="35">
        <v>2006</v>
      </c>
      <c r="D1174" s="35">
        <v>1997</v>
      </c>
      <c r="E1174" s="35">
        <v>1</v>
      </c>
      <c r="F1174" s="35">
        <v>1</v>
      </c>
      <c r="G1174" s="1" t="s">
        <v>2</v>
      </c>
      <c r="H1174" s="1" t="s">
        <v>2</v>
      </c>
      <c r="I1174" s="1"/>
      <c r="J1174" s="1"/>
      <c r="K1174" s="1"/>
      <c r="AA1174" s="1"/>
    </row>
    <row r="1175" spans="1:27" x14ac:dyDescent="0.25">
      <c r="A1175" t="s">
        <v>84</v>
      </c>
      <c r="B1175" t="str">
        <f t="shared" si="20"/>
        <v>30</v>
      </c>
      <c r="C1175" s="35">
        <v>2006</v>
      </c>
      <c r="D1175" s="35">
        <v>2005</v>
      </c>
      <c r="E1175" s="35">
        <v>14</v>
      </c>
      <c r="F1175" s="35">
        <v>12</v>
      </c>
      <c r="G1175" s="35">
        <v>2</v>
      </c>
      <c r="H1175" s="1" t="s">
        <v>2</v>
      </c>
      <c r="I1175" s="1"/>
      <c r="J1175" s="1"/>
      <c r="K1175" s="1"/>
      <c r="AA1175" s="1"/>
    </row>
    <row r="1176" spans="1:27" x14ac:dyDescent="0.25">
      <c r="A1176" t="s">
        <v>84</v>
      </c>
      <c r="B1176" t="str">
        <f t="shared" si="20"/>
        <v>30</v>
      </c>
      <c r="C1176" s="35">
        <v>2006</v>
      </c>
      <c r="D1176" s="35">
        <v>2006</v>
      </c>
      <c r="E1176" s="36">
        <v>1061</v>
      </c>
      <c r="F1176" s="35">
        <v>795</v>
      </c>
      <c r="G1176" s="35">
        <v>266</v>
      </c>
      <c r="H1176" s="1" t="s">
        <v>2</v>
      </c>
      <c r="I1176" s="1"/>
      <c r="J1176" s="1"/>
      <c r="K1176" s="1"/>
      <c r="AA1176" s="1"/>
    </row>
    <row r="1177" spans="1:27" x14ac:dyDescent="0.25">
      <c r="A1177" t="s">
        <v>84</v>
      </c>
      <c r="B1177" t="str">
        <f t="shared" si="20"/>
        <v>30</v>
      </c>
      <c r="C1177" s="35">
        <v>2007</v>
      </c>
      <c r="D1177" s="1" t="s">
        <v>4</v>
      </c>
      <c r="E1177" s="36">
        <v>1029</v>
      </c>
      <c r="F1177" s="35">
        <v>767</v>
      </c>
      <c r="G1177" s="35">
        <v>262</v>
      </c>
      <c r="H1177" s="1" t="s">
        <v>2</v>
      </c>
      <c r="I1177" s="1"/>
      <c r="J1177" s="1"/>
      <c r="K1177" s="1"/>
      <c r="AA1177" s="1"/>
    </row>
    <row r="1178" spans="1:27" x14ac:dyDescent="0.25">
      <c r="A1178" t="s">
        <v>84</v>
      </c>
      <c r="B1178" t="str">
        <f t="shared" si="20"/>
        <v>30</v>
      </c>
      <c r="C1178" s="35">
        <v>2007</v>
      </c>
      <c r="D1178" s="35">
        <v>2006</v>
      </c>
      <c r="E1178" s="35">
        <v>25</v>
      </c>
      <c r="F1178" s="35">
        <v>20</v>
      </c>
      <c r="G1178" s="35">
        <v>5</v>
      </c>
      <c r="H1178" s="1" t="s">
        <v>2</v>
      </c>
      <c r="I1178" s="1"/>
      <c r="J1178" s="1"/>
      <c r="K1178" s="1"/>
      <c r="AA1178" s="1"/>
    </row>
    <row r="1179" spans="1:27" x14ac:dyDescent="0.25">
      <c r="A1179" t="s">
        <v>84</v>
      </c>
      <c r="B1179" t="str">
        <f t="shared" si="20"/>
        <v>30</v>
      </c>
      <c r="C1179" s="35">
        <v>2007</v>
      </c>
      <c r="D1179" s="35">
        <v>2007</v>
      </c>
      <c r="E1179" s="36">
        <v>1004</v>
      </c>
      <c r="F1179" s="35">
        <v>747</v>
      </c>
      <c r="G1179" s="35">
        <v>257</v>
      </c>
      <c r="H1179" s="1" t="s">
        <v>2</v>
      </c>
      <c r="I1179" s="1"/>
      <c r="J1179" s="1"/>
      <c r="K1179" s="1"/>
      <c r="AA1179" s="1"/>
    </row>
    <row r="1180" spans="1:27" x14ac:dyDescent="0.25">
      <c r="A1180" t="s">
        <v>84</v>
      </c>
      <c r="B1180" t="str">
        <f t="shared" si="20"/>
        <v>30</v>
      </c>
      <c r="C1180" s="35">
        <v>2008</v>
      </c>
      <c r="D1180" s="1" t="s">
        <v>4</v>
      </c>
      <c r="E1180" s="36">
        <v>1037</v>
      </c>
      <c r="F1180" s="35">
        <v>782</v>
      </c>
      <c r="G1180" s="35">
        <v>255</v>
      </c>
      <c r="H1180" s="1" t="s">
        <v>2</v>
      </c>
      <c r="I1180" s="1"/>
      <c r="J1180" s="1"/>
      <c r="K1180" s="1"/>
      <c r="AA1180" s="1"/>
    </row>
    <row r="1181" spans="1:27" x14ac:dyDescent="0.25">
      <c r="A1181" t="s">
        <v>84</v>
      </c>
      <c r="B1181" t="str">
        <f t="shared" si="20"/>
        <v>30</v>
      </c>
      <c r="C1181" s="35">
        <v>2008</v>
      </c>
      <c r="D1181" s="35">
        <v>2001</v>
      </c>
      <c r="E1181" s="35">
        <v>1</v>
      </c>
      <c r="F1181" s="35">
        <v>1</v>
      </c>
      <c r="G1181" s="1" t="s">
        <v>2</v>
      </c>
      <c r="H1181" s="1" t="s">
        <v>2</v>
      </c>
      <c r="I1181" s="1"/>
      <c r="J1181" s="1"/>
      <c r="K1181" s="1"/>
      <c r="AA1181" s="1"/>
    </row>
    <row r="1182" spans="1:27" x14ac:dyDescent="0.25">
      <c r="A1182" t="s">
        <v>84</v>
      </c>
      <c r="B1182" t="str">
        <f t="shared" si="20"/>
        <v>30</v>
      </c>
      <c r="C1182" s="35">
        <v>2008</v>
      </c>
      <c r="D1182" s="35">
        <v>2004</v>
      </c>
      <c r="E1182" s="35">
        <v>13</v>
      </c>
      <c r="F1182" s="35">
        <v>11</v>
      </c>
      <c r="G1182" s="35">
        <v>2</v>
      </c>
      <c r="H1182" s="1" t="s">
        <v>2</v>
      </c>
      <c r="I1182" s="1"/>
      <c r="J1182" s="1"/>
      <c r="K1182" s="1"/>
      <c r="AA1182" s="1"/>
    </row>
    <row r="1183" spans="1:27" x14ac:dyDescent="0.25">
      <c r="A1183" t="s">
        <v>84</v>
      </c>
      <c r="B1183" t="str">
        <f t="shared" si="20"/>
        <v>30</v>
      </c>
      <c r="C1183" s="35">
        <v>2008</v>
      </c>
      <c r="D1183" s="35">
        <v>2005</v>
      </c>
      <c r="E1183" s="35">
        <v>6</v>
      </c>
      <c r="F1183" s="35">
        <v>6</v>
      </c>
      <c r="G1183" s="1" t="s">
        <v>2</v>
      </c>
      <c r="H1183" s="1" t="s">
        <v>2</v>
      </c>
      <c r="I1183" s="1"/>
      <c r="J1183" s="1"/>
      <c r="K1183" s="1"/>
      <c r="AA1183" s="1"/>
    </row>
    <row r="1184" spans="1:27" x14ac:dyDescent="0.25">
      <c r="A1184" t="s">
        <v>84</v>
      </c>
      <c r="B1184" t="str">
        <f t="shared" si="20"/>
        <v>30</v>
      </c>
      <c r="C1184" s="35">
        <v>2008</v>
      </c>
      <c r="D1184" s="35">
        <v>2006</v>
      </c>
      <c r="E1184" s="35">
        <v>1</v>
      </c>
      <c r="F1184" s="35">
        <v>1</v>
      </c>
      <c r="G1184" s="1" t="s">
        <v>2</v>
      </c>
      <c r="H1184" s="1" t="s">
        <v>2</v>
      </c>
      <c r="I1184" s="1"/>
      <c r="J1184" s="1"/>
      <c r="K1184" s="1"/>
      <c r="AA1184" s="1"/>
    </row>
    <row r="1185" spans="1:27" x14ac:dyDescent="0.25">
      <c r="A1185" t="s">
        <v>84</v>
      </c>
      <c r="B1185" t="str">
        <f t="shared" si="20"/>
        <v>30</v>
      </c>
      <c r="C1185" s="35">
        <v>2008</v>
      </c>
      <c r="D1185" s="35">
        <v>2007</v>
      </c>
      <c r="E1185" s="35">
        <v>18</v>
      </c>
      <c r="F1185" s="35">
        <v>14</v>
      </c>
      <c r="G1185" s="35">
        <v>4</v>
      </c>
      <c r="H1185" s="1" t="s">
        <v>2</v>
      </c>
      <c r="I1185" s="1"/>
      <c r="J1185" s="1"/>
      <c r="K1185" s="1"/>
      <c r="AA1185" s="1"/>
    </row>
    <row r="1186" spans="1:27" x14ac:dyDescent="0.25">
      <c r="A1186" t="s">
        <v>84</v>
      </c>
      <c r="B1186" t="str">
        <f t="shared" si="20"/>
        <v>30</v>
      </c>
      <c r="C1186" s="35">
        <v>2008</v>
      </c>
      <c r="D1186" s="35">
        <v>2008</v>
      </c>
      <c r="E1186" s="35">
        <v>998</v>
      </c>
      <c r="F1186" s="35">
        <v>749</v>
      </c>
      <c r="G1186" s="35">
        <v>249</v>
      </c>
      <c r="H1186" s="1" t="s">
        <v>2</v>
      </c>
      <c r="I1186" s="1"/>
      <c r="J1186" s="1"/>
      <c r="K1186" s="1"/>
      <c r="AA1186" s="1"/>
    </row>
    <row r="1187" spans="1:27" x14ac:dyDescent="0.25">
      <c r="A1187" t="s">
        <v>84</v>
      </c>
      <c r="B1187" t="str">
        <f t="shared" si="20"/>
        <v>30</v>
      </c>
      <c r="C1187" s="35">
        <v>2009</v>
      </c>
      <c r="D1187" s="1" t="s">
        <v>4</v>
      </c>
      <c r="E1187" s="36">
        <v>1101</v>
      </c>
      <c r="F1187" s="35">
        <v>775</v>
      </c>
      <c r="G1187" s="35">
        <v>326</v>
      </c>
      <c r="H1187" s="1" t="s">
        <v>2</v>
      </c>
      <c r="I1187" s="1"/>
      <c r="J1187" s="1"/>
      <c r="K1187" s="1"/>
      <c r="AA1187" s="1"/>
    </row>
    <row r="1188" spans="1:27" x14ac:dyDescent="0.25">
      <c r="A1188" t="s">
        <v>84</v>
      </c>
      <c r="B1188" t="str">
        <f t="shared" si="20"/>
        <v>30</v>
      </c>
      <c r="C1188" s="35">
        <v>2009</v>
      </c>
      <c r="D1188" s="35">
        <v>2005</v>
      </c>
      <c r="E1188" s="35">
        <v>1</v>
      </c>
      <c r="F1188" s="35">
        <v>1</v>
      </c>
      <c r="G1188" s="1" t="s">
        <v>2</v>
      </c>
      <c r="H1188" s="1" t="s">
        <v>2</v>
      </c>
      <c r="I1188" s="1"/>
      <c r="J1188" s="1"/>
      <c r="K1188" s="1"/>
      <c r="AA1188" s="1"/>
    </row>
    <row r="1189" spans="1:27" x14ac:dyDescent="0.25">
      <c r="A1189" t="s">
        <v>84</v>
      </c>
      <c r="B1189" t="str">
        <f t="shared" si="20"/>
        <v>30</v>
      </c>
      <c r="C1189" s="35">
        <v>2009</v>
      </c>
      <c r="D1189" s="35">
        <v>2008</v>
      </c>
      <c r="E1189" s="35">
        <v>21</v>
      </c>
      <c r="F1189" s="35">
        <v>18</v>
      </c>
      <c r="G1189" s="35">
        <v>3</v>
      </c>
      <c r="H1189" s="1" t="s">
        <v>2</v>
      </c>
      <c r="I1189" s="1"/>
      <c r="J1189" s="1"/>
      <c r="K1189" s="1"/>
      <c r="AA1189" s="1"/>
    </row>
    <row r="1190" spans="1:27" x14ac:dyDescent="0.25">
      <c r="A1190" t="s">
        <v>84</v>
      </c>
      <c r="B1190" t="str">
        <f t="shared" si="20"/>
        <v>30</v>
      </c>
      <c r="C1190" s="35">
        <v>2009</v>
      </c>
      <c r="D1190" s="35">
        <v>2009</v>
      </c>
      <c r="E1190" s="36">
        <v>1079</v>
      </c>
      <c r="F1190" s="35">
        <v>756</v>
      </c>
      <c r="G1190" s="35">
        <v>323</v>
      </c>
      <c r="H1190" s="1" t="s">
        <v>2</v>
      </c>
      <c r="I1190" s="1"/>
      <c r="J1190" s="1"/>
      <c r="K1190" s="1"/>
      <c r="AA1190" s="1"/>
    </row>
    <row r="1191" spans="1:27" x14ac:dyDescent="0.25">
      <c r="A1191" t="s">
        <v>84</v>
      </c>
      <c r="B1191" t="str">
        <f t="shared" si="20"/>
        <v>30</v>
      </c>
      <c r="C1191" s="35">
        <v>2010</v>
      </c>
      <c r="D1191" s="1" t="s">
        <v>4</v>
      </c>
      <c r="E1191" s="35">
        <v>965</v>
      </c>
      <c r="F1191" s="35">
        <v>701</v>
      </c>
      <c r="G1191" s="35">
        <v>264</v>
      </c>
      <c r="H1191" s="1" t="s">
        <v>2</v>
      </c>
      <c r="I1191" s="1"/>
      <c r="J1191" s="1"/>
      <c r="K1191" s="1"/>
      <c r="AA1191" s="1"/>
    </row>
    <row r="1192" spans="1:27" x14ac:dyDescent="0.25">
      <c r="A1192" t="s">
        <v>84</v>
      </c>
      <c r="B1192" t="str">
        <f t="shared" si="20"/>
        <v>30</v>
      </c>
      <c r="C1192" s="35">
        <v>2010</v>
      </c>
      <c r="D1192" s="35">
        <v>2009</v>
      </c>
      <c r="E1192" s="35">
        <v>17</v>
      </c>
      <c r="F1192" s="35">
        <v>11</v>
      </c>
      <c r="G1192" s="35">
        <v>6</v>
      </c>
      <c r="H1192" s="1" t="s">
        <v>2</v>
      </c>
      <c r="I1192" s="1"/>
      <c r="J1192" s="1"/>
      <c r="K1192" s="1"/>
      <c r="AA1192" s="1"/>
    </row>
    <row r="1193" spans="1:27" x14ac:dyDescent="0.25">
      <c r="A1193" t="s">
        <v>84</v>
      </c>
      <c r="B1193" t="str">
        <f t="shared" si="20"/>
        <v>30</v>
      </c>
      <c r="C1193" s="35">
        <v>2010</v>
      </c>
      <c r="D1193" s="35">
        <v>2010</v>
      </c>
      <c r="E1193" s="35">
        <v>948</v>
      </c>
      <c r="F1193" s="35">
        <v>690</v>
      </c>
      <c r="G1193" s="35">
        <v>258</v>
      </c>
      <c r="H1193" s="1" t="s">
        <v>2</v>
      </c>
      <c r="I1193" s="1"/>
      <c r="J1193" s="1"/>
      <c r="K1193" s="1"/>
      <c r="AA1193" s="1"/>
    </row>
    <row r="1194" spans="1:27" x14ac:dyDescent="0.25">
      <c r="A1194" t="s">
        <v>84</v>
      </c>
      <c r="B1194" t="str">
        <f t="shared" si="20"/>
        <v>30</v>
      </c>
      <c r="C1194" s="35">
        <v>2011</v>
      </c>
      <c r="D1194" s="1" t="s">
        <v>4</v>
      </c>
      <c r="E1194" s="35">
        <v>966</v>
      </c>
      <c r="F1194" s="35">
        <v>701</v>
      </c>
      <c r="G1194" s="35">
        <v>263</v>
      </c>
      <c r="H1194" s="35">
        <v>2</v>
      </c>
      <c r="I1194" s="1"/>
      <c r="J1194" s="1"/>
      <c r="K1194" s="1"/>
      <c r="AA1194" s="1"/>
    </row>
    <row r="1195" spans="1:27" x14ac:dyDescent="0.25">
      <c r="A1195" t="s">
        <v>84</v>
      </c>
      <c r="B1195" t="str">
        <f t="shared" si="20"/>
        <v>30</v>
      </c>
      <c r="C1195" s="35">
        <v>2011</v>
      </c>
      <c r="D1195" s="35">
        <v>2010</v>
      </c>
      <c r="E1195" s="35">
        <v>24</v>
      </c>
      <c r="F1195" s="35">
        <v>19</v>
      </c>
      <c r="G1195" s="35">
        <v>5</v>
      </c>
      <c r="H1195" s="1" t="s">
        <v>2</v>
      </c>
      <c r="I1195" s="1"/>
      <c r="J1195" s="1"/>
      <c r="K1195" s="1"/>
      <c r="AA1195" s="1"/>
    </row>
    <row r="1196" spans="1:27" x14ac:dyDescent="0.25">
      <c r="A1196" t="s">
        <v>84</v>
      </c>
      <c r="B1196" t="str">
        <f t="shared" si="20"/>
        <v>30</v>
      </c>
      <c r="C1196" s="35">
        <v>2011</v>
      </c>
      <c r="D1196" s="35">
        <v>2011</v>
      </c>
      <c r="E1196" s="35">
        <v>942</v>
      </c>
      <c r="F1196" s="35">
        <v>682</v>
      </c>
      <c r="G1196" s="35">
        <v>258</v>
      </c>
      <c r="H1196" s="35">
        <v>2</v>
      </c>
      <c r="I1196" s="1"/>
      <c r="J1196" s="1"/>
      <c r="K1196" s="1"/>
      <c r="AA1196" s="1"/>
    </row>
    <row r="1197" spans="1:27" x14ac:dyDescent="0.25">
      <c r="A1197" t="s">
        <v>84</v>
      </c>
      <c r="B1197" t="str">
        <f t="shared" si="20"/>
        <v>30</v>
      </c>
      <c r="C1197" s="35">
        <v>2012</v>
      </c>
      <c r="D1197" s="1" t="s">
        <v>4</v>
      </c>
      <c r="E1197" s="36">
        <v>1007</v>
      </c>
      <c r="F1197" s="35">
        <v>722</v>
      </c>
      <c r="G1197" s="35">
        <v>285</v>
      </c>
      <c r="H1197" s="1" t="s">
        <v>2</v>
      </c>
      <c r="I1197" s="1"/>
      <c r="J1197" s="1"/>
      <c r="K1197" s="1"/>
      <c r="AA1197" s="1"/>
    </row>
    <row r="1198" spans="1:27" x14ac:dyDescent="0.25">
      <c r="A1198" t="s">
        <v>84</v>
      </c>
      <c r="B1198" t="str">
        <f t="shared" si="20"/>
        <v>30</v>
      </c>
      <c r="C1198" s="35">
        <v>2012</v>
      </c>
      <c r="D1198" s="35">
        <v>2011</v>
      </c>
      <c r="E1198" s="35">
        <v>31</v>
      </c>
      <c r="F1198" s="35">
        <v>29</v>
      </c>
      <c r="G1198" s="35">
        <v>2</v>
      </c>
      <c r="H1198" s="1" t="s">
        <v>2</v>
      </c>
      <c r="I1198" s="1"/>
      <c r="J1198" s="1"/>
      <c r="K1198" s="1"/>
      <c r="AA1198" s="1"/>
    </row>
    <row r="1199" spans="1:27" x14ac:dyDescent="0.25">
      <c r="A1199" t="s">
        <v>84</v>
      </c>
      <c r="B1199" t="str">
        <f t="shared" si="20"/>
        <v>30</v>
      </c>
      <c r="C1199" s="35">
        <v>2012</v>
      </c>
      <c r="D1199" s="35">
        <v>2012</v>
      </c>
      <c r="E1199" s="35">
        <v>976</v>
      </c>
      <c r="F1199" s="35">
        <v>693</v>
      </c>
      <c r="G1199" s="35">
        <v>283</v>
      </c>
      <c r="H1199" s="1" t="s">
        <v>2</v>
      </c>
      <c r="I1199" s="1"/>
      <c r="J1199" s="1"/>
      <c r="K1199" s="1"/>
      <c r="AA1199" s="1"/>
    </row>
    <row r="1200" spans="1:27" x14ac:dyDescent="0.25">
      <c r="A1200" t="s">
        <v>84</v>
      </c>
      <c r="B1200" t="str">
        <f t="shared" si="20"/>
        <v>30</v>
      </c>
      <c r="C1200" s="35">
        <v>2013</v>
      </c>
      <c r="D1200" s="1" t="s">
        <v>4</v>
      </c>
      <c r="E1200" s="36">
        <v>1016</v>
      </c>
      <c r="F1200" s="35">
        <v>763</v>
      </c>
      <c r="G1200" s="35">
        <v>252</v>
      </c>
      <c r="H1200" s="35">
        <v>1</v>
      </c>
      <c r="I1200" s="1"/>
      <c r="J1200" s="1"/>
      <c r="K1200" s="1"/>
      <c r="AA1200" s="1"/>
    </row>
    <row r="1201" spans="1:27" x14ac:dyDescent="0.25">
      <c r="A1201" t="s">
        <v>84</v>
      </c>
      <c r="B1201" t="str">
        <f t="shared" si="20"/>
        <v>30</v>
      </c>
      <c r="C1201" s="35">
        <v>2013</v>
      </c>
      <c r="D1201" s="35">
        <v>1985</v>
      </c>
      <c r="E1201" s="35">
        <v>1</v>
      </c>
      <c r="F1201" s="35">
        <v>1</v>
      </c>
      <c r="G1201" s="1" t="s">
        <v>2</v>
      </c>
      <c r="H1201" s="1" t="s">
        <v>2</v>
      </c>
      <c r="I1201" s="1"/>
      <c r="J1201" s="1"/>
      <c r="K1201" s="1"/>
      <c r="AA1201" s="1"/>
    </row>
    <row r="1202" spans="1:27" x14ac:dyDescent="0.25">
      <c r="A1202" t="s">
        <v>84</v>
      </c>
      <c r="B1202" t="str">
        <f t="shared" si="20"/>
        <v>30</v>
      </c>
      <c r="C1202" s="35">
        <v>2013</v>
      </c>
      <c r="D1202" s="35">
        <v>2012</v>
      </c>
      <c r="E1202" s="35">
        <v>34</v>
      </c>
      <c r="F1202" s="35">
        <v>28</v>
      </c>
      <c r="G1202" s="35">
        <v>5</v>
      </c>
      <c r="H1202" s="35">
        <v>1</v>
      </c>
      <c r="I1202" s="1"/>
      <c r="J1202" s="1"/>
      <c r="K1202" s="1"/>
      <c r="AA1202" s="1"/>
    </row>
    <row r="1203" spans="1:27" x14ac:dyDescent="0.25">
      <c r="A1203" t="s">
        <v>84</v>
      </c>
      <c r="B1203" t="str">
        <f t="shared" si="20"/>
        <v>30</v>
      </c>
      <c r="C1203" s="35">
        <v>2013</v>
      </c>
      <c r="D1203" s="35">
        <v>2013</v>
      </c>
      <c r="E1203" s="35">
        <v>981</v>
      </c>
      <c r="F1203" s="35">
        <v>734</v>
      </c>
      <c r="G1203" s="35">
        <v>247</v>
      </c>
      <c r="H1203" s="1" t="s">
        <v>2</v>
      </c>
      <c r="I1203" s="1"/>
      <c r="J1203" s="1"/>
      <c r="K1203" s="1"/>
      <c r="AA1203" s="1"/>
    </row>
    <row r="1204" spans="1:27" x14ac:dyDescent="0.25">
      <c r="A1204" t="s">
        <v>84</v>
      </c>
      <c r="B1204" t="str">
        <f t="shared" si="20"/>
        <v>30</v>
      </c>
      <c r="C1204" s="35">
        <v>2014</v>
      </c>
      <c r="D1204" s="1" t="s">
        <v>4</v>
      </c>
      <c r="E1204" s="36">
        <v>1081</v>
      </c>
      <c r="F1204" s="35">
        <v>801</v>
      </c>
      <c r="G1204" s="35">
        <v>278</v>
      </c>
      <c r="H1204" s="35">
        <v>2</v>
      </c>
      <c r="I1204" s="1"/>
      <c r="J1204" s="1"/>
      <c r="K1204" s="1"/>
      <c r="AA1204" s="1"/>
    </row>
    <row r="1205" spans="1:27" x14ac:dyDescent="0.25">
      <c r="A1205" t="s">
        <v>84</v>
      </c>
      <c r="B1205" t="str">
        <f t="shared" si="20"/>
        <v>30</v>
      </c>
      <c r="C1205" s="35">
        <v>2014</v>
      </c>
      <c r="D1205" s="35">
        <v>2007</v>
      </c>
      <c r="E1205" s="35">
        <v>1</v>
      </c>
      <c r="F1205" s="35">
        <v>1</v>
      </c>
      <c r="G1205" s="1" t="s">
        <v>2</v>
      </c>
      <c r="H1205" s="1" t="s">
        <v>2</v>
      </c>
      <c r="I1205" s="1"/>
      <c r="J1205" s="1"/>
      <c r="K1205" s="1"/>
      <c r="AA1205" s="1"/>
    </row>
    <row r="1206" spans="1:27" x14ac:dyDescent="0.25">
      <c r="A1206" t="s">
        <v>84</v>
      </c>
      <c r="B1206" t="str">
        <f t="shared" si="20"/>
        <v>30</v>
      </c>
      <c r="C1206" s="35">
        <v>2014</v>
      </c>
      <c r="D1206" s="35">
        <v>2013</v>
      </c>
      <c r="E1206" s="35">
        <v>26</v>
      </c>
      <c r="F1206" s="35">
        <v>18</v>
      </c>
      <c r="G1206" s="35">
        <v>7</v>
      </c>
      <c r="H1206" s="35">
        <v>1</v>
      </c>
      <c r="I1206" s="1"/>
      <c r="J1206" s="1"/>
      <c r="K1206" s="1"/>
      <c r="AA1206" s="1"/>
    </row>
    <row r="1207" spans="1:27" x14ac:dyDescent="0.25">
      <c r="A1207" t="s">
        <v>84</v>
      </c>
      <c r="B1207" t="str">
        <f t="shared" si="20"/>
        <v>30</v>
      </c>
      <c r="C1207" s="35">
        <v>2014</v>
      </c>
      <c r="D1207" s="35">
        <v>2014</v>
      </c>
      <c r="E1207" s="36">
        <v>1054</v>
      </c>
      <c r="F1207" s="35">
        <v>782</v>
      </c>
      <c r="G1207" s="35">
        <v>271</v>
      </c>
      <c r="H1207" s="35">
        <v>1</v>
      </c>
      <c r="I1207" s="1"/>
      <c r="J1207" s="1"/>
      <c r="K1207" s="1"/>
      <c r="AA1207" s="1"/>
    </row>
    <row r="1208" spans="1:27" x14ac:dyDescent="0.25">
      <c r="A1208" t="s">
        <v>84</v>
      </c>
      <c r="B1208" t="str">
        <f t="shared" si="20"/>
        <v>30</v>
      </c>
      <c r="C1208" s="35">
        <v>2015</v>
      </c>
      <c r="D1208" s="1" t="s">
        <v>4</v>
      </c>
      <c r="E1208" s="35">
        <v>986</v>
      </c>
      <c r="F1208" s="35">
        <v>731</v>
      </c>
      <c r="G1208" s="35">
        <v>255</v>
      </c>
      <c r="H1208" s="1" t="s">
        <v>2</v>
      </c>
      <c r="I1208" s="1"/>
      <c r="J1208" s="1"/>
      <c r="K1208" s="1"/>
      <c r="AA1208" s="1"/>
    </row>
    <row r="1209" spans="1:27" x14ac:dyDescent="0.25">
      <c r="A1209" t="s">
        <v>84</v>
      </c>
      <c r="B1209" t="str">
        <f t="shared" si="20"/>
        <v>30</v>
      </c>
      <c r="C1209" s="35">
        <v>2015</v>
      </c>
      <c r="D1209" s="35">
        <v>2014</v>
      </c>
      <c r="E1209" s="35">
        <v>22</v>
      </c>
      <c r="F1209" s="35">
        <v>20</v>
      </c>
      <c r="G1209" s="35">
        <v>2</v>
      </c>
      <c r="H1209" s="1" t="s">
        <v>2</v>
      </c>
      <c r="I1209" s="1"/>
      <c r="J1209" s="1"/>
      <c r="K1209" s="1"/>
      <c r="AA1209" s="1"/>
    </row>
    <row r="1210" spans="1:27" x14ac:dyDescent="0.25">
      <c r="A1210" t="s">
        <v>84</v>
      </c>
      <c r="B1210" t="str">
        <f t="shared" si="20"/>
        <v>30</v>
      </c>
      <c r="C1210" s="35">
        <v>2015</v>
      </c>
      <c r="D1210" s="35">
        <v>2015</v>
      </c>
      <c r="E1210" s="35">
        <v>964</v>
      </c>
      <c r="F1210" s="35">
        <v>711</v>
      </c>
      <c r="G1210" s="35">
        <v>253</v>
      </c>
      <c r="H1210" s="1" t="s">
        <v>2</v>
      </c>
      <c r="I1210" s="1"/>
      <c r="J1210" s="1"/>
      <c r="K1210" s="1"/>
      <c r="AA1210" s="1"/>
    </row>
    <row r="1211" spans="1:27" x14ac:dyDescent="0.25">
      <c r="A1211" t="s">
        <v>84</v>
      </c>
      <c r="B1211" t="str">
        <f t="shared" si="20"/>
        <v>30</v>
      </c>
      <c r="C1211" s="35">
        <v>2016</v>
      </c>
      <c r="D1211" s="1" t="s">
        <v>4</v>
      </c>
      <c r="E1211" s="36">
        <v>1119</v>
      </c>
      <c r="F1211" s="35">
        <v>842</v>
      </c>
      <c r="G1211" s="35">
        <v>277</v>
      </c>
      <c r="H1211" s="1" t="s">
        <v>2</v>
      </c>
      <c r="I1211" s="1"/>
      <c r="J1211" s="1"/>
      <c r="K1211" s="1"/>
      <c r="AA1211" s="1"/>
    </row>
    <row r="1212" spans="1:27" x14ac:dyDescent="0.25">
      <c r="A1212" t="s">
        <v>84</v>
      </c>
      <c r="B1212" t="str">
        <f t="shared" si="20"/>
        <v>30</v>
      </c>
      <c r="C1212" s="35">
        <v>2016</v>
      </c>
      <c r="D1212" s="35">
        <v>2015</v>
      </c>
      <c r="E1212" s="35">
        <v>15</v>
      </c>
      <c r="F1212" s="35">
        <v>12</v>
      </c>
      <c r="G1212" s="35">
        <v>3</v>
      </c>
      <c r="H1212" s="1" t="s">
        <v>2</v>
      </c>
      <c r="I1212" s="1"/>
      <c r="J1212" s="1"/>
      <c r="K1212" s="1"/>
      <c r="AA1212" s="1"/>
    </row>
    <row r="1213" spans="1:27" x14ac:dyDescent="0.25">
      <c r="A1213" t="s">
        <v>84</v>
      </c>
      <c r="B1213" t="str">
        <f t="shared" si="20"/>
        <v>30</v>
      </c>
      <c r="C1213" s="35">
        <v>2016</v>
      </c>
      <c r="D1213" s="35">
        <v>2016</v>
      </c>
      <c r="E1213" s="36">
        <v>1104</v>
      </c>
      <c r="F1213" s="35">
        <v>830</v>
      </c>
      <c r="G1213" s="35">
        <v>274</v>
      </c>
      <c r="H1213" s="1" t="s">
        <v>2</v>
      </c>
      <c r="I1213" s="1"/>
      <c r="J1213" s="1"/>
      <c r="K1213" s="1"/>
      <c r="AA1213" s="1"/>
    </row>
    <row r="1214" spans="1:27" x14ac:dyDescent="0.25">
      <c r="A1214" t="s">
        <v>84</v>
      </c>
      <c r="B1214" t="str">
        <f t="shared" si="20"/>
        <v>30</v>
      </c>
      <c r="C1214" s="35">
        <v>2017</v>
      </c>
      <c r="D1214" s="1" t="s">
        <v>4</v>
      </c>
      <c r="E1214" s="36">
        <v>1037</v>
      </c>
      <c r="F1214" s="35">
        <v>737</v>
      </c>
      <c r="G1214" s="35">
        <v>300</v>
      </c>
      <c r="H1214" s="1" t="s">
        <v>2</v>
      </c>
      <c r="I1214" s="1"/>
      <c r="J1214" s="1"/>
      <c r="K1214" s="1"/>
      <c r="AA1214" s="1"/>
    </row>
    <row r="1215" spans="1:27" x14ac:dyDescent="0.25">
      <c r="A1215" t="s">
        <v>84</v>
      </c>
      <c r="B1215" t="str">
        <f t="shared" si="20"/>
        <v>30</v>
      </c>
      <c r="C1215" s="35">
        <v>2017</v>
      </c>
      <c r="D1215" s="35">
        <v>2014</v>
      </c>
      <c r="E1215" s="35">
        <v>1</v>
      </c>
      <c r="F1215" s="1" t="s">
        <v>2</v>
      </c>
      <c r="G1215" s="35">
        <v>1</v>
      </c>
      <c r="H1215" s="1" t="s">
        <v>2</v>
      </c>
      <c r="I1215" s="1"/>
      <c r="J1215" s="1"/>
      <c r="K1215" s="1"/>
      <c r="AA1215" s="1"/>
    </row>
    <row r="1216" spans="1:27" x14ac:dyDescent="0.25">
      <c r="A1216" t="s">
        <v>84</v>
      </c>
      <c r="B1216" t="str">
        <f t="shared" si="20"/>
        <v>30</v>
      </c>
      <c r="C1216" s="35">
        <v>2017</v>
      </c>
      <c r="D1216" s="35">
        <v>2016</v>
      </c>
      <c r="E1216" s="35">
        <v>5</v>
      </c>
      <c r="F1216" s="35">
        <v>4</v>
      </c>
      <c r="G1216" s="35">
        <v>1</v>
      </c>
      <c r="H1216" s="1" t="s">
        <v>2</v>
      </c>
      <c r="I1216" s="1"/>
      <c r="J1216" s="1"/>
      <c r="K1216" s="1"/>
      <c r="AA1216" s="1"/>
    </row>
    <row r="1217" spans="1:27" x14ac:dyDescent="0.25">
      <c r="A1217" t="s">
        <v>84</v>
      </c>
      <c r="B1217" t="str">
        <f t="shared" si="20"/>
        <v>30</v>
      </c>
      <c r="C1217" s="35">
        <v>2017</v>
      </c>
      <c r="D1217" s="35">
        <v>2017</v>
      </c>
      <c r="E1217" s="36">
        <v>1031</v>
      </c>
      <c r="F1217" s="35">
        <v>733</v>
      </c>
      <c r="G1217" s="35">
        <v>298</v>
      </c>
      <c r="H1217" s="1" t="s">
        <v>2</v>
      </c>
      <c r="I1217" s="1"/>
      <c r="J1217" s="1"/>
      <c r="K1217" s="1"/>
      <c r="AA1217" s="1"/>
    </row>
    <row r="1218" spans="1:27" x14ac:dyDescent="0.25">
      <c r="A1218" t="s">
        <v>84</v>
      </c>
      <c r="B1218" t="str">
        <f t="shared" si="20"/>
        <v>30</v>
      </c>
      <c r="C1218" s="35">
        <v>2018</v>
      </c>
      <c r="D1218" s="1" t="s">
        <v>4</v>
      </c>
      <c r="E1218" s="36">
        <v>1074</v>
      </c>
      <c r="F1218" s="35">
        <v>801</v>
      </c>
      <c r="G1218" s="35">
        <v>273</v>
      </c>
      <c r="H1218" s="1" t="s">
        <v>2</v>
      </c>
      <c r="I1218" s="1"/>
      <c r="J1218" s="1"/>
      <c r="K1218" s="1"/>
      <c r="AA1218" s="1"/>
    </row>
    <row r="1219" spans="1:27" x14ac:dyDescent="0.25">
      <c r="A1219" t="s">
        <v>84</v>
      </c>
      <c r="B1219" t="str">
        <f t="shared" si="20"/>
        <v>30</v>
      </c>
      <c r="C1219" s="35">
        <v>2018</v>
      </c>
      <c r="D1219" s="35">
        <v>2017</v>
      </c>
      <c r="E1219" s="35">
        <v>3</v>
      </c>
      <c r="F1219" s="35">
        <v>1</v>
      </c>
      <c r="G1219" s="35">
        <v>2</v>
      </c>
      <c r="H1219" s="1" t="s">
        <v>2</v>
      </c>
      <c r="I1219" s="1"/>
      <c r="J1219" s="1"/>
      <c r="K1219" s="1"/>
      <c r="AA1219" s="1"/>
    </row>
    <row r="1220" spans="1:27" x14ac:dyDescent="0.25">
      <c r="A1220" t="s">
        <v>84</v>
      </c>
      <c r="B1220" t="str">
        <f t="shared" si="20"/>
        <v>30</v>
      </c>
      <c r="C1220" s="35">
        <v>2018</v>
      </c>
      <c r="D1220" s="35">
        <v>2018</v>
      </c>
      <c r="E1220" s="36">
        <v>1071</v>
      </c>
      <c r="F1220" s="35">
        <v>800</v>
      </c>
      <c r="G1220" s="35">
        <v>271</v>
      </c>
      <c r="H1220" s="1" t="s">
        <v>2</v>
      </c>
      <c r="I1220" s="1"/>
      <c r="J1220" s="1"/>
      <c r="K1220" s="1"/>
      <c r="AA1220" s="1"/>
    </row>
    <row r="1221" spans="1:27" x14ac:dyDescent="0.25">
      <c r="A1221" t="s">
        <v>84</v>
      </c>
      <c r="B1221" t="str">
        <f t="shared" si="20"/>
        <v>30</v>
      </c>
      <c r="C1221" s="35">
        <v>2019</v>
      </c>
      <c r="D1221" s="1" t="s">
        <v>4</v>
      </c>
      <c r="E1221" s="36">
        <v>1128</v>
      </c>
      <c r="F1221" s="35">
        <v>869</v>
      </c>
      <c r="G1221" s="35">
        <v>259</v>
      </c>
      <c r="H1221" s="1" t="s">
        <v>2</v>
      </c>
      <c r="I1221" s="1"/>
      <c r="J1221" s="1"/>
      <c r="K1221" s="1"/>
      <c r="AA1221" s="1"/>
    </row>
    <row r="1222" spans="1:27" x14ac:dyDescent="0.25">
      <c r="A1222" t="s">
        <v>84</v>
      </c>
      <c r="B1222" t="str">
        <f t="shared" si="20"/>
        <v>30</v>
      </c>
      <c r="C1222" s="35">
        <v>2019</v>
      </c>
      <c r="D1222" s="35">
        <v>2018</v>
      </c>
      <c r="E1222" s="35">
        <v>3</v>
      </c>
      <c r="F1222" s="35">
        <v>3</v>
      </c>
      <c r="G1222" s="1" t="s">
        <v>2</v>
      </c>
      <c r="H1222" s="1" t="s">
        <v>2</v>
      </c>
      <c r="I1222" s="1"/>
      <c r="J1222" s="1"/>
      <c r="K1222" s="1"/>
      <c r="AA1222" s="1"/>
    </row>
    <row r="1223" spans="1:27" x14ac:dyDescent="0.25">
      <c r="A1223" t="s">
        <v>84</v>
      </c>
      <c r="B1223" t="str">
        <f t="shared" ref="B1223:B1286" si="21">IF(A1223="Menores de 1 año",0,LEFT(A1223,2))</f>
        <v>30</v>
      </c>
      <c r="C1223" s="35">
        <v>2019</v>
      </c>
      <c r="D1223" s="35">
        <v>2019</v>
      </c>
      <c r="E1223" s="36">
        <v>1125</v>
      </c>
      <c r="F1223" s="35">
        <v>866</v>
      </c>
      <c r="G1223" s="35">
        <v>259</v>
      </c>
      <c r="H1223" s="1" t="s">
        <v>2</v>
      </c>
      <c r="I1223" s="1"/>
      <c r="J1223" s="1"/>
      <c r="K1223" s="1"/>
      <c r="AA1223" s="1"/>
    </row>
    <row r="1224" spans="1:27" x14ac:dyDescent="0.25">
      <c r="A1224" t="s">
        <v>84</v>
      </c>
      <c r="B1224" t="str">
        <f t="shared" si="21"/>
        <v>30</v>
      </c>
      <c r="C1224" s="35">
        <v>2020</v>
      </c>
      <c r="D1224" s="1" t="s">
        <v>4</v>
      </c>
      <c r="E1224" s="36">
        <v>1686</v>
      </c>
      <c r="F1224" s="36">
        <v>1260</v>
      </c>
      <c r="G1224" s="35">
        <v>426</v>
      </c>
      <c r="H1224" s="1" t="s">
        <v>2</v>
      </c>
      <c r="I1224" s="1"/>
      <c r="J1224" s="1"/>
      <c r="K1224" s="1"/>
      <c r="AA1224" s="1"/>
    </row>
    <row r="1225" spans="1:27" x14ac:dyDescent="0.25">
      <c r="A1225" t="s">
        <v>84</v>
      </c>
      <c r="B1225" t="str">
        <f t="shared" si="21"/>
        <v>30</v>
      </c>
      <c r="C1225" s="35">
        <v>2020</v>
      </c>
      <c r="D1225" s="35">
        <v>2019</v>
      </c>
      <c r="E1225" s="35">
        <v>2</v>
      </c>
      <c r="F1225" s="35">
        <v>2</v>
      </c>
      <c r="G1225" s="1" t="s">
        <v>2</v>
      </c>
      <c r="H1225" s="1" t="s">
        <v>2</v>
      </c>
      <c r="I1225" s="1"/>
      <c r="J1225" s="1"/>
      <c r="K1225" s="1"/>
      <c r="AA1225" s="1"/>
    </row>
    <row r="1226" spans="1:27" x14ac:dyDescent="0.25">
      <c r="A1226" t="s">
        <v>84</v>
      </c>
      <c r="B1226" t="str">
        <f t="shared" si="21"/>
        <v>30</v>
      </c>
      <c r="C1226" s="35">
        <v>2020</v>
      </c>
      <c r="D1226" s="35">
        <v>2020</v>
      </c>
      <c r="E1226" s="36">
        <v>1684</v>
      </c>
      <c r="F1226" s="36">
        <v>1258</v>
      </c>
      <c r="G1226" s="35">
        <v>426</v>
      </c>
      <c r="H1226" s="1" t="s">
        <v>2</v>
      </c>
      <c r="I1226" s="1"/>
      <c r="J1226" s="1"/>
      <c r="K1226" s="1"/>
      <c r="AA1226" s="1"/>
    </row>
    <row r="1227" spans="1:27" x14ac:dyDescent="0.25">
      <c r="A1227" t="s">
        <v>84</v>
      </c>
      <c r="B1227" t="str">
        <f t="shared" si="21"/>
        <v>30</v>
      </c>
      <c r="C1227" s="35">
        <v>2021</v>
      </c>
      <c r="D1227" s="1" t="s">
        <v>4</v>
      </c>
      <c r="E1227" s="36">
        <v>1658</v>
      </c>
      <c r="F1227" s="36">
        <v>1252</v>
      </c>
      <c r="G1227" s="35">
        <v>406</v>
      </c>
      <c r="H1227" s="1" t="s">
        <v>2</v>
      </c>
      <c r="I1227" s="1"/>
      <c r="J1227" s="1"/>
      <c r="K1227" s="1"/>
      <c r="AA1227" s="1"/>
    </row>
    <row r="1228" spans="1:27" x14ac:dyDescent="0.25">
      <c r="A1228" t="s">
        <v>84</v>
      </c>
      <c r="B1228" t="str">
        <f t="shared" si="21"/>
        <v>30</v>
      </c>
      <c r="C1228" s="35">
        <v>2021</v>
      </c>
      <c r="D1228" s="35">
        <v>2018</v>
      </c>
      <c r="E1228" s="35">
        <v>1</v>
      </c>
      <c r="F1228" s="35">
        <v>1</v>
      </c>
      <c r="G1228" s="1" t="s">
        <v>2</v>
      </c>
      <c r="H1228" s="1" t="s">
        <v>2</v>
      </c>
      <c r="I1228" s="1"/>
      <c r="J1228" s="1"/>
      <c r="K1228" s="1"/>
      <c r="AA1228" s="1"/>
    </row>
    <row r="1229" spans="1:27" x14ac:dyDescent="0.25">
      <c r="A1229" t="s">
        <v>84</v>
      </c>
      <c r="B1229" t="str">
        <f t="shared" si="21"/>
        <v>30</v>
      </c>
      <c r="C1229" s="35">
        <v>2021</v>
      </c>
      <c r="D1229" s="35">
        <v>2020</v>
      </c>
      <c r="E1229" s="35">
        <v>10</v>
      </c>
      <c r="F1229" s="35">
        <v>9</v>
      </c>
      <c r="G1229" s="35">
        <v>1</v>
      </c>
      <c r="H1229" s="1" t="s">
        <v>2</v>
      </c>
      <c r="I1229" s="1"/>
      <c r="J1229" s="1"/>
      <c r="K1229" s="1"/>
      <c r="AA1229" s="1"/>
    </row>
    <row r="1230" spans="1:27" x14ac:dyDescent="0.25">
      <c r="A1230" t="s">
        <v>84</v>
      </c>
      <c r="B1230" t="str">
        <f t="shared" si="21"/>
        <v>30</v>
      </c>
      <c r="C1230" s="35">
        <v>2021</v>
      </c>
      <c r="D1230" s="35">
        <v>2021</v>
      </c>
      <c r="E1230" s="36">
        <v>1647</v>
      </c>
      <c r="F1230" s="36">
        <v>1242</v>
      </c>
      <c r="G1230" s="35">
        <v>405</v>
      </c>
      <c r="H1230" s="1" t="s">
        <v>2</v>
      </c>
      <c r="I1230" s="1"/>
      <c r="J1230" s="1"/>
      <c r="K1230" s="1"/>
      <c r="AA1230" s="1"/>
    </row>
    <row r="1231" spans="1:27" x14ac:dyDescent="0.25">
      <c r="A1231" t="s">
        <v>84</v>
      </c>
      <c r="B1231" t="str">
        <f t="shared" si="21"/>
        <v>30</v>
      </c>
      <c r="C1231" s="35">
        <v>2022</v>
      </c>
      <c r="D1231" s="1" t="s">
        <v>4</v>
      </c>
      <c r="E1231" s="36">
        <v>1132</v>
      </c>
      <c r="F1231" s="35">
        <v>833</v>
      </c>
      <c r="G1231" s="35">
        <v>299</v>
      </c>
      <c r="H1231" s="1" t="s">
        <v>2</v>
      </c>
      <c r="I1231" s="1"/>
      <c r="J1231" s="1"/>
      <c r="K1231" s="1"/>
      <c r="AA1231" s="1"/>
    </row>
    <row r="1232" spans="1:27" x14ac:dyDescent="0.25">
      <c r="A1232" t="s">
        <v>84</v>
      </c>
      <c r="B1232" t="str">
        <f t="shared" si="21"/>
        <v>30</v>
      </c>
      <c r="C1232" s="35">
        <v>2022</v>
      </c>
      <c r="D1232" s="35">
        <v>2006</v>
      </c>
      <c r="E1232" s="35">
        <v>1</v>
      </c>
      <c r="F1232" s="1" t="s">
        <v>2</v>
      </c>
      <c r="G1232" s="35">
        <v>1</v>
      </c>
      <c r="H1232" s="1" t="s">
        <v>2</v>
      </c>
      <c r="I1232" s="1"/>
      <c r="J1232" s="1"/>
      <c r="K1232" s="1"/>
      <c r="AA1232" s="1"/>
    </row>
    <row r="1233" spans="1:27" x14ac:dyDescent="0.25">
      <c r="A1233" t="s">
        <v>84</v>
      </c>
      <c r="B1233" t="str">
        <f t="shared" si="21"/>
        <v>30</v>
      </c>
      <c r="C1233" s="35">
        <v>2022</v>
      </c>
      <c r="D1233" s="35">
        <v>2021</v>
      </c>
      <c r="E1233" s="35">
        <v>2</v>
      </c>
      <c r="F1233" s="35">
        <v>2</v>
      </c>
      <c r="G1233" s="1" t="s">
        <v>2</v>
      </c>
      <c r="H1233" s="1" t="s">
        <v>2</v>
      </c>
      <c r="I1233" s="1"/>
      <c r="J1233" s="1"/>
      <c r="K1233" s="1"/>
      <c r="AA1233" s="1"/>
    </row>
    <row r="1234" spans="1:27" x14ac:dyDescent="0.25">
      <c r="A1234" t="s">
        <v>84</v>
      </c>
      <c r="B1234" t="str">
        <f t="shared" si="21"/>
        <v>30</v>
      </c>
      <c r="C1234" s="35">
        <v>2022</v>
      </c>
      <c r="D1234" s="35">
        <v>2022</v>
      </c>
      <c r="E1234" s="36">
        <v>1129</v>
      </c>
      <c r="F1234" s="35">
        <v>831</v>
      </c>
      <c r="G1234" s="35">
        <v>298</v>
      </c>
      <c r="H1234" s="1" t="s">
        <v>2</v>
      </c>
      <c r="I1234" s="1"/>
      <c r="J1234" s="1"/>
      <c r="K1234" s="1"/>
      <c r="AA1234" s="1"/>
    </row>
    <row r="1235" spans="1:27" x14ac:dyDescent="0.25">
      <c r="A1235" t="s">
        <v>84</v>
      </c>
      <c r="B1235" t="str">
        <f t="shared" si="21"/>
        <v>30</v>
      </c>
      <c r="C1235" s="35">
        <v>2023</v>
      </c>
      <c r="D1235" s="1" t="s">
        <v>4</v>
      </c>
      <c r="E1235" s="36">
        <v>1082</v>
      </c>
      <c r="F1235" s="35">
        <v>796</v>
      </c>
      <c r="G1235" s="35">
        <v>286</v>
      </c>
      <c r="H1235" s="1" t="s">
        <v>2</v>
      </c>
      <c r="I1235" s="1"/>
      <c r="J1235" s="1"/>
      <c r="K1235" s="1"/>
      <c r="AA1235" s="1"/>
    </row>
    <row r="1236" spans="1:27" x14ac:dyDescent="0.25">
      <c r="A1236" t="s">
        <v>84</v>
      </c>
      <c r="B1236" t="str">
        <f t="shared" si="21"/>
        <v>30</v>
      </c>
      <c r="C1236" s="35">
        <v>2023</v>
      </c>
      <c r="D1236" s="35">
        <v>2021</v>
      </c>
      <c r="E1236" s="35">
        <v>1</v>
      </c>
      <c r="F1236" s="35">
        <v>1</v>
      </c>
      <c r="G1236" s="1" t="s">
        <v>2</v>
      </c>
      <c r="H1236" s="1" t="s">
        <v>2</v>
      </c>
      <c r="I1236" s="1"/>
      <c r="J1236" s="1"/>
      <c r="K1236" s="1"/>
      <c r="AA1236" s="1"/>
    </row>
    <row r="1237" spans="1:27" x14ac:dyDescent="0.25">
      <c r="A1237" t="s">
        <v>84</v>
      </c>
      <c r="B1237" t="str">
        <f t="shared" si="21"/>
        <v>30</v>
      </c>
      <c r="C1237" s="35">
        <v>2023</v>
      </c>
      <c r="D1237" s="35">
        <v>2022</v>
      </c>
      <c r="E1237" s="35">
        <v>5</v>
      </c>
      <c r="F1237" s="35">
        <v>3</v>
      </c>
      <c r="G1237" s="35">
        <v>2</v>
      </c>
      <c r="H1237" s="1" t="s">
        <v>2</v>
      </c>
      <c r="I1237" s="1"/>
      <c r="J1237" s="1"/>
      <c r="K1237" s="1"/>
      <c r="AA1237" s="1"/>
    </row>
    <row r="1238" spans="1:27" x14ac:dyDescent="0.25">
      <c r="A1238" t="s">
        <v>84</v>
      </c>
      <c r="B1238" t="str">
        <f t="shared" si="21"/>
        <v>30</v>
      </c>
      <c r="C1238" s="35">
        <v>2023</v>
      </c>
      <c r="D1238" s="35">
        <v>2023</v>
      </c>
      <c r="E1238" s="36">
        <v>1076</v>
      </c>
      <c r="F1238" s="35">
        <v>792</v>
      </c>
      <c r="G1238" s="35">
        <v>284</v>
      </c>
      <c r="H1238" s="1" t="s">
        <v>2</v>
      </c>
      <c r="I1238" s="1"/>
      <c r="J1238" s="1"/>
      <c r="K1238" s="1"/>
      <c r="AA1238" s="1"/>
    </row>
    <row r="1239" spans="1:27" x14ac:dyDescent="0.25">
      <c r="A1239" t="s">
        <v>84</v>
      </c>
      <c r="B1239" t="str">
        <f t="shared" si="21"/>
        <v>30</v>
      </c>
      <c r="C1239" s="35">
        <v>2024</v>
      </c>
      <c r="D1239" s="1" t="s">
        <v>4</v>
      </c>
      <c r="E1239" s="36">
        <v>1159</v>
      </c>
      <c r="F1239" s="35">
        <v>852</v>
      </c>
      <c r="G1239" s="35">
        <v>307</v>
      </c>
      <c r="H1239" s="1" t="s">
        <v>2</v>
      </c>
      <c r="I1239" s="1"/>
      <c r="J1239" s="1"/>
      <c r="K1239" s="1"/>
      <c r="AA1239" s="1"/>
    </row>
    <row r="1240" spans="1:27" x14ac:dyDescent="0.25">
      <c r="A1240" t="s">
        <v>84</v>
      </c>
      <c r="B1240" t="str">
        <f t="shared" si="21"/>
        <v>30</v>
      </c>
      <c r="C1240" s="35">
        <v>2024</v>
      </c>
      <c r="D1240" s="35">
        <v>2020</v>
      </c>
      <c r="E1240" s="35">
        <v>1</v>
      </c>
      <c r="F1240" s="35">
        <v>1</v>
      </c>
      <c r="G1240" s="1" t="s">
        <v>2</v>
      </c>
      <c r="H1240" s="1" t="s">
        <v>2</v>
      </c>
      <c r="I1240" s="1"/>
      <c r="J1240" s="1"/>
      <c r="K1240" s="1"/>
      <c r="AA1240" s="1"/>
    </row>
    <row r="1241" spans="1:27" x14ac:dyDescent="0.25">
      <c r="A1241" t="s">
        <v>84</v>
      </c>
      <c r="B1241" t="str">
        <f t="shared" si="21"/>
        <v>30</v>
      </c>
      <c r="C1241" s="35">
        <v>2024</v>
      </c>
      <c r="D1241" s="35">
        <v>2023</v>
      </c>
      <c r="E1241" s="35">
        <v>7</v>
      </c>
      <c r="F1241" s="35">
        <v>7</v>
      </c>
      <c r="G1241" s="1" t="s">
        <v>2</v>
      </c>
      <c r="H1241" s="1" t="s">
        <v>2</v>
      </c>
      <c r="I1241" s="1"/>
      <c r="J1241" s="1"/>
      <c r="K1241" s="1"/>
      <c r="AA1241" s="1"/>
    </row>
    <row r="1242" spans="1:27" x14ac:dyDescent="0.25">
      <c r="A1242" t="s">
        <v>84</v>
      </c>
      <c r="B1242" t="str">
        <f t="shared" si="21"/>
        <v>30</v>
      </c>
      <c r="C1242" s="35">
        <v>2024</v>
      </c>
      <c r="D1242" s="35">
        <v>2024</v>
      </c>
      <c r="E1242" s="36">
        <v>1151</v>
      </c>
      <c r="F1242" s="35">
        <v>844</v>
      </c>
      <c r="G1242" s="35">
        <v>307</v>
      </c>
      <c r="H1242" s="1" t="s">
        <v>2</v>
      </c>
      <c r="I1242" s="1"/>
      <c r="J1242" s="1"/>
      <c r="K1242" s="1"/>
      <c r="AA1242" s="1"/>
    </row>
    <row r="1243" spans="1:27" x14ac:dyDescent="0.25">
      <c r="A1243" t="s">
        <v>85</v>
      </c>
      <c r="B1243" t="str">
        <f t="shared" si="21"/>
        <v>35</v>
      </c>
      <c r="C1243" s="35">
        <v>1990</v>
      </c>
      <c r="D1243" s="1" t="s">
        <v>4</v>
      </c>
      <c r="E1243" s="36">
        <v>1326</v>
      </c>
      <c r="F1243" s="35">
        <v>948</v>
      </c>
      <c r="G1243" s="35">
        <v>377</v>
      </c>
      <c r="H1243" s="35">
        <v>1</v>
      </c>
      <c r="I1243" s="1"/>
      <c r="J1243" s="1"/>
      <c r="K1243" s="1"/>
      <c r="AA1243" s="1"/>
    </row>
    <row r="1244" spans="1:27" x14ac:dyDescent="0.25">
      <c r="A1244" t="s">
        <v>85</v>
      </c>
      <c r="B1244" t="str">
        <f t="shared" si="21"/>
        <v>35</v>
      </c>
      <c r="C1244" s="35">
        <v>1990</v>
      </c>
      <c r="D1244" s="35">
        <v>1990</v>
      </c>
      <c r="E1244" s="36">
        <v>1319</v>
      </c>
      <c r="F1244" s="35">
        <v>943</v>
      </c>
      <c r="G1244" s="35">
        <v>375</v>
      </c>
      <c r="H1244" s="35">
        <v>1</v>
      </c>
      <c r="I1244" s="1"/>
      <c r="J1244" s="1"/>
      <c r="K1244" s="1"/>
      <c r="AA1244" s="1"/>
    </row>
    <row r="1245" spans="1:27" x14ac:dyDescent="0.25">
      <c r="A1245" t="s">
        <v>85</v>
      </c>
      <c r="B1245" t="str">
        <f t="shared" si="21"/>
        <v>35</v>
      </c>
      <c r="C1245" s="35">
        <v>1990</v>
      </c>
      <c r="D1245" s="1" t="s">
        <v>24</v>
      </c>
      <c r="E1245" s="35">
        <v>7</v>
      </c>
      <c r="F1245" s="35">
        <v>5</v>
      </c>
      <c r="G1245" s="35">
        <v>2</v>
      </c>
      <c r="H1245" s="1" t="s">
        <v>2</v>
      </c>
      <c r="I1245" s="1"/>
      <c r="J1245" s="1"/>
      <c r="K1245" s="1"/>
      <c r="AA1245" s="1"/>
    </row>
    <row r="1246" spans="1:27" x14ac:dyDescent="0.25">
      <c r="A1246" t="s">
        <v>85</v>
      </c>
      <c r="B1246" t="str">
        <f t="shared" si="21"/>
        <v>35</v>
      </c>
      <c r="C1246" s="35">
        <v>1991</v>
      </c>
      <c r="D1246" s="1" t="s">
        <v>4</v>
      </c>
      <c r="E1246" s="36">
        <v>1456</v>
      </c>
      <c r="F1246" s="36">
        <v>1038</v>
      </c>
      <c r="G1246" s="35">
        <v>418</v>
      </c>
      <c r="H1246" s="1" t="s">
        <v>2</v>
      </c>
      <c r="I1246" s="1"/>
      <c r="J1246" s="1"/>
      <c r="K1246" s="1"/>
      <c r="AA1246" s="1"/>
    </row>
    <row r="1247" spans="1:27" x14ac:dyDescent="0.25">
      <c r="A1247" t="s">
        <v>85</v>
      </c>
      <c r="B1247" t="str">
        <f t="shared" si="21"/>
        <v>35</v>
      </c>
      <c r="C1247" s="35">
        <v>1991</v>
      </c>
      <c r="D1247" s="35">
        <v>1991</v>
      </c>
      <c r="E1247" s="36">
        <v>1441</v>
      </c>
      <c r="F1247" s="36">
        <v>1027</v>
      </c>
      <c r="G1247" s="35">
        <v>414</v>
      </c>
      <c r="H1247" s="1" t="s">
        <v>2</v>
      </c>
      <c r="I1247" s="1"/>
      <c r="J1247" s="1"/>
      <c r="K1247" s="1"/>
      <c r="AA1247" s="1"/>
    </row>
    <row r="1248" spans="1:27" x14ac:dyDescent="0.25">
      <c r="A1248" t="s">
        <v>85</v>
      </c>
      <c r="B1248" t="str">
        <f t="shared" si="21"/>
        <v>35</v>
      </c>
      <c r="C1248" s="35">
        <v>1991</v>
      </c>
      <c r="D1248" s="1" t="s">
        <v>24</v>
      </c>
      <c r="E1248" s="35">
        <v>15</v>
      </c>
      <c r="F1248" s="35">
        <v>11</v>
      </c>
      <c r="G1248" s="35">
        <v>4</v>
      </c>
      <c r="H1248" s="1" t="s">
        <v>2</v>
      </c>
      <c r="I1248" s="1"/>
      <c r="J1248" s="1"/>
      <c r="K1248" s="1"/>
      <c r="AA1248" s="1"/>
    </row>
    <row r="1249" spans="1:27" x14ac:dyDescent="0.25">
      <c r="A1249" t="s">
        <v>85</v>
      </c>
      <c r="B1249" t="str">
        <f t="shared" si="21"/>
        <v>35</v>
      </c>
      <c r="C1249" s="35">
        <v>1992</v>
      </c>
      <c r="D1249" s="1" t="s">
        <v>4</v>
      </c>
      <c r="E1249" s="36">
        <v>1476</v>
      </c>
      <c r="F1249" s="36">
        <v>1085</v>
      </c>
      <c r="G1249" s="35">
        <v>391</v>
      </c>
      <c r="H1249" s="1" t="s">
        <v>2</v>
      </c>
      <c r="I1249" s="1"/>
      <c r="J1249" s="1"/>
      <c r="K1249" s="1"/>
      <c r="AA1249" s="1"/>
    </row>
    <row r="1250" spans="1:27" x14ac:dyDescent="0.25">
      <c r="A1250" t="s">
        <v>85</v>
      </c>
      <c r="B1250" t="str">
        <f t="shared" si="21"/>
        <v>35</v>
      </c>
      <c r="C1250" s="35">
        <v>1992</v>
      </c>
      <c r="D1250" s="35">
        <v>1992</v>
      </c>
      <c r="E1250" s="36">
        <v>1464</v>
      </c>
      <c r="F1250" s="36">
        <v>1074</v>
      </c>
      <c r="G1250" s="35">
        <v>390</v>
      </c>
      <c r="H1250" s="1" t="s">
        <v>2</v>
      </c>
      <c r="I1250" s="1"/>
      <c r="J1250" s="1"/>
      <c r="K1250" s="1"/>
      <c r="AA1250" s="1"/>
    </row>
    <row r="1251" spans="1:27" x14ac:dyDescent="0.25">
      <c r="A1251" t="s">
        <v>85</v>
      </c>
      <c r="B1251" t="str">
        <f t="shared" si="21"/>
        <v>35</v>
      </c>
      <c r="C1251" s="35">
        <v>1992</v>
      </c>
      <c r="D1251" s="1" t="s">
        <v>24</v>
      </c>
      <c r="E1251" s="35">
        <v>12</v>
      </c>
      <c r="F1251" s="35">
        <v>11</v>
      </c>
      <c r="G1251" s="35">
        <v>1</v>
      </c>
      <c r="H1251" s="1" t="s">
        <v>2</v>
      </c>
      <c r="I1251" s="1"/>
      <c r="J1251" s="1"/>
      <c r="K1251" s="1"/>
      <c r="AA1251" s="1"/>
    </row>
    <row r="1252" spans="1:27" x14ac:dyDescent="0.25">
      <c r="A1252" t="s">
        <v>85</v>
      </c>
      <c r="B1252" t="str">
        <f t="shared" si="21"/>
        <v>35</v>
      </c>
      <c r="C1252" s="35">
        <v>1993</v>
      </c>
      <c r="D1252" s="1" t="s">
        <v>4</v>
      </c>
      <c r="E1252" s="36">
        <v>1515</v>
      </c>
      <c r="F1252" s="36">
        <v>1084</v>
      </c>
      <c r="G1252" s="35">
        <v>431</v>
      </c>
      <c r="H1252" s="1" t="s">
        <v>2</v>
      </c>
      <c r="I1252" s="1"/>
      <c r="J1252" s="1"/>
      <c r="K1252" s="1"/>
      <c r="AA1252" s="1"/>
    </row>
    <row r="1253" spans="1:27" x14ac:dyDescent="0.25">
      <c r="A1253" t="s">
        <v>85</v>
      </c>
      <c r="B1253" t="str">
        <f t="shared" si="21"/>
        <v>35</v>
      </c>
      <c r="C1253" s="35">
        <v>1993</v>
      </c>
      <c r="D1253" s="35">
        <v>1903</v>
      </c>
      <c r="E1253" s="35">
        <v>1</v>
      </c>
      <c r="F1253" s="35">
        <v>1</v>
      </c>
      <c r="G1253" s="1" t="s">
        <v>2</v>
      </c>
      <c r="H1253" s="1" t="s">
        <v>2</v>
      </c>
      <c r="I1253" s="1"/>
      <c r="J1253" s="1"/>
      <c r="K1253" s="1"/>
      <c r="AA1253" s="1"/>
    </row>
    <row r="1254" spans="1:27" x14ac:dyDescent="0.25">
      <c r="A1254" t="s">
        <v>85</v>
      </c>
      <c r="B1254" t="str">
        <f t="shared" si="21"/>
        <v>35</v>
      </c>
      <c r="C1254" s="35">
        <v>1993</v>
      </c>
      <c r="D1254" s="35">
        <v>1943</v>
      </c>
      <c r="E1254" s="35">
        <v>2</v>
      </c>
      <c r="F1254" s="35">
        <v>2</v>
      </c>
      <c r="G1254" s="1" t="s">
        <v>2</v>
      </c>
      <c r="H1254" s="1" t="s">
        <v>2</v>
      </c>
      <c r="I1254" s="1"/>
      <c r="J1254" s="1"/>
      <c r="K1254" s="1"/>
      <c r="AA1254" s="1"/>
    </row>
    <row r="1255" spans="1:27" x14ac:dyDescent="0.25">
      <c r="A1255" t="s">
        <v>85</v>
      </c>
      <c r="B1255" t="str">
        <f t="shared" si="21"/>
        <v>35</v>
      </c>
      <c r="C1255" s="35">
        <v>1993</v>
      </c>
      <c r="D1255" s="35">
        <v>1992</v>
      </c>
      <c r="E1255" s="35">
        <v>11</v>
      </c>
      <c r="F1255" s="35">
        <v>11</v>
      </c>
      <c r="G1255" s="1" t="s">
        <v>2</v>
      </c>
      <c r="H1255" s="1" t="s">
        <v>2</v>
      </c>
      <c r="I1255" s="1"/>
      <c r="J1255" s="1"/>
      <c r="K1255" s="1"/>
      <c r="AA1255" s="1"/>
    </row>
    <row r="1256" spans="1:27" x14ac:dyDescent="0.25">
      <c r="A1256" t="s">
        <v>85</v>
      </c>
      <c r="B1256" t="str">
        <f t="shared" si="21"/>
        <v>35</v>
      </c>
      <c r="C1256" s="35">
        <v>1993</v>
      </c>
      <c r="D1256" s="35">
        <v>1993</v>
      </c>
      <c r="E1256" s="36">
        <v>1491</v>
      </c>
      <c r="F1256" s="36">
        <v>1062</v>
      </c>
      <c r="G1256" s="35">
        <v>429</v>
      </c>
      <c r="H1256" s="1" t="s">
        <v>2</v>
      </c>
      <c r="I1256" s="1"/>
      <c r="J1256" s="1"/>
      <c r="K1256" s="1"/>
      <c r="AA1256" s="1"/>
    </row>
    <row r="1257" spans="1:27" x14ac:dyDescent="0.25">
      <c r="A1257" t="s">
        <v>85</v>
      </c>
      <c r="B1257" t="str">
        <f t="shared" si="21"/>
        <v>35</v>
      </c>
      <c r="C1257" s="35">
        <v>1993</v>
      </c>
      <c r="D1257" s="1" t="s">
        <v>24</v>
      </c>
      <c r="E1257" s="35">
        <v>10</v>
      </c>
      <c r="F1257" s="35">
        <v>8</v>
      </c>
      <c r="G1257" s="35">
        <v>2</v>
      </c>
      <c r="H1257" s="1" t="s">
        <v>2</v>
      </c>
      <c r="I1257" s="1"/>
      <c r="J1257" s="1"/>
      <c r="K1257" s="1"/>
      <c r="AA1257" s="1"/>
    </row>
    <row r="1258" spans="1:27" x14ac:dyDescent="0.25">
      <c r="A1258" t="s">
        <v>85</v>
      </c>
      <c r="B1258" t="str">
        <f t="shared" si="21"/>
        <v>35</v>
      </c>
      <c r="C1258" s="35">
        <v>1994</v>
      </c>
      <c r="D1258" s="1" t="s">
        <v>4</v>
      </c>
      <c r="E1258" s="36">
        <v>1637</v>
      </c>
      <c r="F1258" s="36">
        <v>1190</v>
      </c>
      <c r="G1258" s="35">
        <v>446</v>
      </c>
      <c r="H1258" s="35">
        <v>1</v>
      </c>
      <c r="I1258" s="1"/>
      <c r="J1258" s="1"/>
      <c r="K1258" s="1"/>
      <c r="AA1258" s="1"/>
    </row>
    <row r="1259" spans="1:27" x14ac:dyDescent="0.25">
      <c r="A1259" t="s">
        <v>85</v>
      </c>
      <c r="B1259" t="str">
        <f t="shared" si="21"/>
        <v>35</v>
      </c>
      <c r="C1259" s="35">
        <v>1994</v>
      </c>
      <c r="D1259" s="35">
        <v>1904</v>
      </c>
      <c r="E1259" s="35">
        <v>2</v>
      </c>
      <c r="F1259" s="35">
        <v>1</v>
      </c>
      <c r="G1259" s="35">
        <v>1</v>
      </c>
      <c r="H1259" s="1" t="s">
        <v>2</v>
      </c>
      <c r="I1259" s="1"/>
      <c r="J1259" s="1"/>
      <c r="K1259" s="1"/>
      <c r="AA1259" s="1"/>
    </row>
    <row r="1260" spans="1:27" x14ac:dyDescent="0.25">
      <c r="A1260" t="s">
        <v>85</v>
      </c>
      <c r="B1260" t="str">
        <f t="shared" si="21"/>
        <v>35</v>
      </c>
      <c r="C1260" s="35">
        <v>1994</v>
      </c>
      <c r="D1260" s="35">
        <v>1944</v>
      </c>
      <c r="E1260" s="35">
        <v>1</v>
      </c>
      <c r="F1260" s="35">
        <v>1</v>
      </c>
      <c r="G1260" s="1" t="s">
        <v>2</v>
      </c>
      <c r="H1260" s="1" t="s">
        <v>2</v>
      </c>
      <c r="I1260" s="1"/>
      <c r="J1260" s="1"/>
      <c r="K1260" s="1"/>
      <c r="AA1260" s="1"/>
    </row>
    <row r="1261" spans="1:27" x14ac:dyDescent="0.25">
      <c r="A1261" t="s">
        <v>85</v>
      </c>
      <c r="B1261" t="str">
        <f t="shared" si="21"/>
        <v>35</v>
      </c>
      <c r="C1261" s="35">
        <v>1994</v>
      </c>
      <c r="D1261" s="35">
        <v>1974</v>
      </c>
      <c r="E1261" s="35">
        <v>1</v>
      </c>
      <c r="F1261" s="35">
        <v>1</v>
      </c>
      <c r="G1261" s="1" t="s">
        <v>2</v>
      </c>
      <c r="H1261" s="1" t="s">
        <v>2</v>
      </c>
      <c r="I1261" s="1"/>
      <c r="J1261" s="1"/>
      <c r="K1261" s="1"/>
      <c r="AA1261" s="1"/>
    </row>
    <row r="1262" spans="1:27" x14ac:dyDescent="0.25">
      <c r="A1262" t="s">
        <v>85</v>
      </c>
      <c r="B1262" t="str">
        <f t="shared" si="21"/>
        <v>35</v>
      </c>
      <c r="C1262" s="35">
        <v>1994</v>
      </c>
      <c r="D1262" s="35">
        <v>1978</v>
      </c>
      <c r="E1262" s="35">
        <v>1</v>
      </c>
      <c r="F1262" s="35">
        <v>1</v>
      </c>
      <c r="G1262" s="1" t="s">
        <v>2</v>
      </c>
      <c r="H1262" s="1" t="s">
        <v>2</v>
      </c>
      <c r="I1262" s="1"/>
      <c r="J1262" s="1"/>
      <c r="K1262" s="1"/>
      <c r="AA1262" s="1"/>
    </row>
    <row r="1263" spans="1:27" x14ac:dyDescent="0.25">
      <c r="A1263" t="s">
        <v>85</v>
      </c>
      <c r="B1263" t="str">
        <f t="shared" si="21"/>
        <v>35</v>
      </c>
      <c r="C1263" s="35">
        <v>1994</v>
      </c>
      <c r="D1263" s="35">
        <v>1993</v>
      </c>
      <c r="E1263" s="35">
        <v>8</v>
      </c>
      <c r="F1263" s="35">
        <v>7</v>
      </c>
      <c r="G1263" s="35">
        <v>1</v>
      </c>
      <c r="H1263" s="1" t="s">
        <v>2</v>
      </c>
      <c r="I1263" s="1"/>
      <c r="J1263" s="1"/>
      <c r="K1263" s="1"/>
      <c r="AA1263" s="1"/>
    </row>
    <row r="1264" spans="1:27" x14ac:dyDescent="0.25">
      <c r="A1264" t="s">
        <v>85</v>
      </c>
      <c r="B1264" t="str">
        <f t="shared" si="21"/>
        <v>35</v>
      </c>
      <c r="C1264" s="35">
        <v>1994</v>
      </c>
      <c r="D1264" s="35">
        <v>1994</v>
      </c>
      <c r="E1264" s="36">
        <v>1624</v>
      </c>
      <c r="F1264" s="36">
        <v>1179</v>
      </c>
      <c r="G1264" s="35">
        <v>444</v>
      </c>
      <c r="H1264" s="35">
        <v>1</v>
      </c>
      <c r="I1264" s="1"/>
      <c r="J1264" s="1"/>
      <c r="K1264" s="1"/>
      <c r="AA1264" s="1"/>
    </row>
    <row r="1265" spans="1:27" x14ac:dyDescent="0.25">
      <c r="A1265" t="s">
        <v>85</v>
      </c>
      <c r="B1265" t="str">
        <f t="shared" si="21"/>
        <v>35</v>
      </c>
      <c r="C1265" s="35">
        <v>1995</v>
      </c>
      <c r="D1265" s="1" t="s">
        <v>4</v>
      </c>
      <c r="E1265" s="36">
        <v>1580</v>
      </c>
      <c r="F1265" s="36">
        <v>1109</v>
      </c>
      <c r="G1265" s="35">
        <v>470</v>
      </c>
      <c r="H1265" s="35">
        <v>1</v>
      </c>
      <c r="I1265" s="1"/>
      <c r="J1265" s="1"/>
      <c r="K1265" s="1"/>
      <c r="AA1265" s="1"/>
    </row>
    <row r="1266" spans="1:27" x14ac:dyDescent="0.25">
      <c r="A1266" t="s">
        <v>85</v>
      </c>
      <c r="B1266" t="str">
        <f t="shared" si="21"/>
        <v>35</v>
      </c>
      <c r="C1266" s="35">
        <v>1995</v>
      </c>
      <c r="D1266" s="35">
        <v>1945</v>
      </c>
      <c r="E1266" s="35">
        <v>1</v>
      </c>
      <c r="F1266" s="35">
        <v>1</v>
      </c>
      <c r="G1266" s="1" t="s">
        <v>2</v>
      </c>
      <c r="H1266" s="1" t="s">
        <v>2</v>
      </c>
      <c r="I1266" s="1"/>
      <c r="J1266" s="1"/>
      <c r="K1266" s="1"/>
      <c r="AA1266" s="1"/>
    </row>
    <row r="1267" spans="1:27" x14ac:dyDescent="0.25">
      <c r="A1267" t="s">
        <v>85</v>
      </c>
      <c r="B1267" t="str">
        <f t="shared" si="21"/>
        <v>35</v>
      </c>
      <c r="C1267" s="35">
        <v>1995</v>
      </c>
      <c r="D1267" s="35">
        <v>1993</v>
      </c>
      <c r="E1267" s="35">
        <v>2</v>
      </c>
      <c r="F1267" s="35">
        <v>2</v>
      </c>
      <c r="G1267" s="1" t="s">
        <v>2</v>
      </c>
      <c r="H1267" s="1" t="s">
        <v>2</v>
      </c>
      <c r="I1267" s="1"/>
      <c r="J1267" s="1"/>
      <c r="K1267" s="1"/>
      <c r="AA1267" s="1"/>
    </row>
    <row r="1268" spans="1:27" x14ac:dyDescent="0.25">
      <c r="A1268" t="s">
        <v>85</v>
      </c>
      <c r="B1268" t="str">
        <f t="shared" si="21"/>
        <v>35</v>
      </c>
      <c r="C1268" s="35">
        <v>1995</v>
      </c>
      <c r="D1268" s="35">
        <v>1994</v>
      </c>
      <c r="E1268" s="35">
        <v>13</v>
      </c>
      <c r="F1268" s="35">
        <v>10</v>
      </c>
      <c r="G1268" s="35">
        <v>3</v>
      </c>
      <c r="H1268" s="1" t="s">
        <v>2</v>
      </c>
      <c r="I1268" s="1"/>
      <c r="J1268" s="1"/>
      <c r="K1268" s="1"/>
      <c r="AA1268" s="1"/>
    </row>
    <row r="1269" spans="1:27" x14ac:dyDescent="0.25">
      <c r="A1269" t="s">
        <v>85</v>
      </c>
      <c r="B1269" t="str">
        <f t="shared" si="21"/>
        <v>35</v>
      </c>
      <c r="C1269" s="35">
        <v>1995</v>
      </c>
      <c r="D1269" s="35">
        <v>1995</v>
      </c>
      <c r="E1269" s="36">
        <v>1563</v>
      </c>
      <c r="F1269" s="36">
        <v>1095</v>
      </c>
      <c r="G1269" s="35">
        <v>467</v>
      </c>
      <c r="H1269" s="35">
        <v>1</v>
      </c>
      <c r="I1269" s="1"/>
      <c r="J1269" s="1"/>
      <c r="K1269" s="1"/>
      <c r="AA1269" s="1"/>
    </row>
    <row r="1270" spans="1:27" x14ac:dyDescent="0.25">
      <c r="A1270" t="s">
        <v>85</v>
      </c>
      <c r="B1270" t="str">
        <f t="shared" si="21"/>
        <v>35</v>
      </c>
      <c r="C1270" s="35">
        <v>1995</v>
      </c>
      <c r="D1270" s="1" t="s">
        <v>24</v>
      </c>
      <c r="E1270" s="35">
        <v>1</v>
      </c>
      <c r="F1270" s="35">
        <v>1</v>
      </c>
      <c r="G1270" s="1" t="s">
        <v>2</v>
      </c>
      <c r="H1270" s="1" t="s">
        <v>2</v>
      </c>
      <c r="I1270" s="1"/>
      <c r="J1270" s="1"/>
      <c r="K1270" s="1"/>
      <c r="AA1270" s="1"/>
    </row>
    <row r="1271" spans="1:27" x14ac:dyDescent="0.25">
      <c r="A1271" t="s">
        <v>85</v>
      </c>
      <c r="B1271" t="str">
        <f t="shared" si="21"/>
        <v>35</v>
      </c>
      <c r="C1271" s="35">
        <v>1996</v>
      </c>
      <c r="D1271" s="1" t="s">
        <v>4</v>
      </c>
      <c r="E1271" s="36">
        <v>1445</v>
      </c>
      <c r="F1271" s="36">
        <v>1032</v>
      </c>
      <c r="G1271" s="35">
        <v>413</v>
      </c>
      <c r="H1271" s="1" t="s">
        <v>2</v>
      </c>
      <c r="I1271" s="1"/>
      <c r="J1271" s="1"/>
      <c r="K1271" s="1"/>
      <c r="AA1271" s="1"/>
    </row>
    <row r="1272" spans="1:27" x14ac:dyDescent="0.25">
      <c r="A1272" t="s">
        <v>85</v>
      </c>
      <c r="B1272" t="str">
        <f t="shared" si="21"/>
        <v>35</v>
      </c>
      <c r="C1272" s="35">
        <v>1996</v>
      </c>
      <c r="D1272" s="35">
        <v>1909</v>
      </c>
      <c r="E1272" s="35">
        <v>1</v>
      </c>
      <c r="F1272" s="35">
        <v>1</v>
      </c>
      <c r="G1272" s="1" t="s">
        <v>2</v>
      </c>
      <c r="H1272" s="1" t="s">
        <v>2</v>
      </c>
      <c r="I1272" s="1"/>
      <c r="J1272" s="1"/>
      <c r="K1272" s="1"/>
      <c r="AA1272" s="1"/>
    </row>
    <row r="1273" spans="1:27" x14ac:dyDescent="0.25">
      <c r="A1273" t="s">
        <v>85</v>
      </c>
      <c r="B1273" t="str">
        <f t="shared" si="21"/>
        <v>35</v>
      </c>
      <c r="C1273" s="35">
        <v>1996</v>
      </c>
      <c r="D1273" s="35">
        <v>1995</v>
      </c>
      <c r="E1273" s="35">
        <v>9</v>
      </c>
      <c r="F1273" s="35">
        <v>6</v>
      </c>
      <c r="G1273" s="35">
        <v>3</v>
      </c>
      <c r="H1273" s="1" t="s">
        <v>2</v>
      </c>
      <c r="I1273" s="1"/>
      <c r="J1273" s="1"/>
      <c r="K1273" s="1"/>
      <c r="AA1273" s="1"/>
    </row>
    <row r="1274" spans="1:27" x14ac:dyDescent="0.25">
      <c r="A1274" t="s">
        <v>85</v>
      </c>
      <c r="B1274" t="str">
        <f t="shared" si="21"/>
        <v>35</v>
      </c>
      <c r="C1274" s="35">
        <v>1996</v>
      </c>
      <c r="D1274" s="35">
        <v>1996</v>
      </c>
      <c r="E1274" s="36">
        <v>1435</v>
      </c>
      <c r="F1274" s="36">
        <v>1025</v>
      </c>
      <c r="G1274" s="35">
        <v>410</v>
      </c>
      <c r="H1274" s="1" t="s">
        <v>2</v>
      </c>
      <c r="I1274" s="1"/>
      <c r="J1274" s="1"/>
      <c r="K1274" s="1"/>
      <c r="AA1274" s="1"/>
    </row>
    <row r="1275" spans="1:27" x14ac:dyDescent="0.25">
      <c r="A1275" t="s">
        <v>85</v>
      </c>
      <c r="B1275" t="str">
        <f t="shared" si="21"/>
        <v>35</v>
      </c>
      <c r="C1275" s="35">
        <v>1997</v>
      </c>
      <c r="D1275" s="1" t="s">
        <v>4</v>
      </c>
      <c r="E1275" s="36">
        <v>1477</v>
      </c>
      <c r="F1275" s="36">
        <v>1069</v>
      </c>
      <c r="G1275" s="35">
        <v>408</v>
      </c>
      <c r="H1275" s="1" t="s">
        <v>2</v>
      </c>
      <c r="I1275" s="1"/>
      <c r="J1275" s="1"/>
      <c r="K1275" s="1"/>
      <c r="AA1275" s="1"/>
    </row>
    <row r="1276" spans="1:27" x14ac:dyDescent="0.25">
      <c r="A1276" t="s">
        <v>85</v>
      </c>
      <c r="B1276" t="str">
        <f t="shared" si="21"/>
        <v>35</v>
      </c>
      <c r="C1276" s="35">
        <v>1997</v>
      </c>
      <c r="D1276" s="35">
        <v>1977</v>
      </c>
      <c r="E1276" s="35">
        <v>1</v>
      </c>
      <c r="F1276" s="35">
        <v>1</v>
      </c>
      <c r="G1276" s="1" t="s">
        <v>2</v>
      </c>
      <c r="H1276" s="1" t="s">
        <v>2</v>
      </c>
      <c r="I1276" s="1"/>
      <c r="J1276" s="1"/>
      <c r="K1276" s="1"/>
      <c r="AA1276" s="1"/>
    </row>
    <row r="1277" spans="1:27" x14ac:dyDescent="0.25">
      <c r="A1277" t="s">
        <v>85</v>
      </c>
      <c r="B1277" t="str">
        <f t="shared" si="21"/>
        <v>35</v>
      </c>
      <c r="C1277" s="35">
        <v>1997</v>
      </c>
      <c r="D1277" s="35">
        <v>1996</v>
      </c>
      <c r="E1277" s="35">
        <v>15</v>
      </c>
      <c r="F1277" s="35">
        <v>13</v>
      </c>
      <c r="G1277" s="35">
        <v>2</v>
      </c>
      <c r="H1277" s="1" t="s">
        <v>2</v>
      </c>
      <c r="I1277" s="1"/>
      <c r="J1277" s="1"/>
      <c r="K1277" s="1"/>
      <c r="AA1277" s="1"/>
    </row>
    <row r="1278" spans="1:27" x14ac:dyDescent="0.25">
      <c r="A1278" t="s">
        <v>85</v>
      </c>
      <c r="B1278" t="str">
        <f t="shared" si="21"/>
        <v>35</v>
      </c>
      <c r="C1278" s="35">
        <v>1997</v>
      </c>
      <c r="D1278" s="35">
        <v>1997</v>
      </c>
      <c r="E1278" s="36">
        <v>1461</v>
      </c>
      <c r="F1278" s="36">
        <v>1055</v>
      </c>
      <c r="G1278" s="35">
        <v>406</v>
      </c>
      <c r="H1278" s="1" t="s">
        <v>2</v>
      </c>
      <c r="I1278" s="1"/>
      <c r="J1278" s="1"/>
      <c r="K1278" s="1"/>
      <c r="AA1278" s="1"/>
    </row>
    <row r="1279" spans="1:27" x14ac:dyDescent="0.25">
      <c r="A1279" t="s">
        <v>85</v>
      </c>
      <c r="B1279" t="str">
        <f t="shared" si="21"/>
        <v>35</v>
      </c>
      <c r="C1279" s="35">
        <v>1998</v>
      </c>
      <c r="D1279" s="1" t="s">
        <v>4</v>
      </c>
      <c r="E1279" s="36">
        <v>1465</v>
      </c>
      <c r="F1279" s="36">
        <v>1063</v>
      </c>
      <c r="G1279" s="35">
        <v>402</v>
      </c>
      <c r="H1279" s="1" t="s">
        <v>2</v>
      </c>
      <c r="I1279" s="1"/>
      <c r="J1279" s="1"/>
      <c r="K1279" s="1"/>
      <c r="AA1279" s="1"/>
    </row>
    <row r="1280" spans="1:27" x14ac:dyDescent="0.25">
      <c r="A1280" t="s">
        <v>85</v>
      </c>
      <c r="B1280" t="str">
        <f t="shared" si="21"/>
        <v>35</v>
      </c>
      <c r="C1280" s="35">
        <v>1998</v>
      </c>
      <c r="D1280" s="35">
        <v>1946</v>
      </c>
      <c r="E1280" s="35">
        <v>1</v>
      </c>
      <c r="F1280" s="35">
        <v>1</v>
      </c>
      <c r="G1280" s="1" t="s">
        <v>2</v>
      </c>
      <c r="H1280" s="1" t="s">
        <v>2</v>
      </c>
      <c r="I1280" s="1"/>
      <c r="J1280" s="1"/>
      <c r="K1280" s="1"/>
      <c r="AA1280" s="1"/>
    </row>
    <row r="1281" spans="1:27" x14ac:dyDescent="0.25">
      <c r="A1281" t="s">
        <v>85</v>
      </c>
      <c r="B1281" t="str">
        <f t="shared" si="21"/>
        <v>35</v>
      </c>
      <c r="C1281" s="35">
        <v>1998</v>
      </c>
      <c r="D1281" s="35">
        <v>1997</v>
      </c>
      <c r="E1281" s="35">
        <v>8</v>
      </c>
      <c r="F1281" s="35">
        <v>8</v>
      </c>
      <c r="G1281" s="1" t="s">
        <v>2</v>
      </c>
      <c r="H1281" s="1" t="s">
        <v>2</v>
      </c>
      <c r="I1281" s="1"/>
      <c r="J1281" s="1"/>
      <c r="K1281" s="1"/>
      <c r="AA1281" s="1"/>
    </row>
    <row r="1282" spans="1:27" x14ac:dyDescent="0.25">
      <c r="A1282" t="s">
        <v>85</v>
      </c>
      <c r="B1282" t="str">
        <f t="shared" si="21"/>
        <v>35</v>
      </c>
      <c r="C1282" s="35">
        <v>1998</v>
      </c>
      <c r="D1282" s="35">
        <v>1998</v>
      </c>
      <c r="E1282" s="36">
        <v>1456</v>
      </c>
      <c r="F1282" s="36">
        <v>1054</v>
      </c>
      <c r="G1282" s="35">
        <v>402</v>
      </c>
      <c r="H1282" s="1" t="s">
        <v>2</v>
      </c>
      <c r="I1282" s="1"/>
      <c r="J1282" s="1"/>
      <c r="K1282" s="1"/>
      <c r="AA1282" s="1"/>
    </row>
    <row r="1283" spans="1:27" x14ac:dyDescent="0.25">
      <c r="A1283" t="s">
        <v>85</v>
      </c>
      <c r="B1283" t="str">
        <f t="shared" si="21"/>
        <v>35</v>
      </c>
      <c r="C1283" s="35">
        <v>1999</v>
      </c>
      <c r="D1283" s="1" t="s">
        <v>4</v>
      </c>
      <c r="E1283" s="36">
        <v>1388</v>
      </c>
      <c r="F1283" s="36">
        <v>1007</v>
      </c>
      <c r="G1283" s="35">
        <v>381</v>
      </c>
      <c r="H1283" s="1" t="s">
        <v>2</v>
      </c>
      <c r="I1283" s="1"/>
      <c r="J1283" s="1"/>
      <c r="K1283" s="1"/>
      <c r="AA1283" s="1"/>
    </row>
    <row r="1284" spans="1:27" x14ac:dyDescent="0.25">
      <c r="A1284" t="s">
        <v>85</v>
      </c>
      <c r="B1284" t="str">
        <f t="shared" si="21"/>
        <v>35</v>
      </c>
      <c r="C1284" s="35">
        <v>1999</v>
      </c>
      <c r="D1284" s="35">
        <v>1998</v>
      </c>
      <c r="E1284" s="35">
        <v>13</v>
      </c>
      <c r="F1284" s="35">
        <v>11</v>
      </c>
      <c r="G1284" s="35">
        <v>2</v>
      </c>
      <c r="H1284" s="1" t="s">
        <v>2</v>
      </c>
      <c r="I1284" s="1"/>
      <c r="J1284" s="1"/>
      <c r="K1284" s="1"/>
      <c r="AA1284" s="1"/>
    </row>
    <row r="1285" spans="1:27" x14ac:dyDescent="0.25">
      <c r="A1285" t="s">
        <v>85</v>
      </c>
      <c r="B1285" t="str">
        <f t="shared" si="21"/>
        <v>35</v>
      </c>
      <c r="C1285" s="35">
        <v>1999</v>
      </c>
      <c r="D1285" s="35">
        <v>1999</v>
      </c>
      <c r="E1285" s="36">
        <v>1375</v>
      </c>
      <c r="F1285" s="35">
        <v>996</v>
      </c>
      <c r="G1285" s="35">
        <v>379</v>
      </c>
      <c r="H1285" s="1" t="s">
        <v>2</v>
      </c>
      <c r="I1285" s="1"/>
      <c r="J1285" s="1"/>
      <c r="K1285" s="1"/>
      <c r="AA1285" s="1"/>
    </row>
    <row r="1286" spans="1:27" x14ac:dyDescent="0.25">
      <c r="A1286" t="s">
        <v>85</v>
      </c>
      <c r="B1286" t="str">
        <f t="shared" si="21"/>
        <v>35</v>
      </c>
      <c r="C1286" s="35">
        <v>2000</v>
      </c>
      <c r="D1286" s="1" t="s">
        <v>4</v>
      </c>
      <c r="E1286" s="36">
        <v>1307</v>
      </c>
      <c r="F1286" s="35">
        <v>925</v>
      </c>
      <c r="G1286" s="35">
        <v>382</v>
      </c>
      <c r="H1286" s="1" t="s">
        <v>2</v>
      </c>
      <c r="I1286" s="1"/>
      <c r="J1286" s="1"/>
      <c r="K1286" s="1"/>
      <c r="AA1286" s="1"/>
    </row>
    <row r="1287" spans="1:27" x14ac:dyDescent="0.25">
      <c r="A1287" t="s">
        <v>85</v>
      </c>
      <c r="B1287" t="str">
        <f t="shared" ref="B1287:B1350" si="22">IF(A1287="Menores de 1 año",0,LEFT(A1287,2))</f>
        <v>35</v>
      </c>
      <c r="C1287" s="35">
        <v>2000</v>
      </c>
      <c r="D1287" s="35">
        <v>1999</v>
      </c>
      <c r="E1287" s="35">
        <v>13</v>
      </c>
      <c r="F1287" s="35">
        <v>9</v>
      </c>
      <c r="G1287" s="35">
        <v>4</v>
      </c>
      <c r="H1287" s="1" t="s">
        <v>2</v>
      </c>
      <c r="I1287" s="1"/>
      <c r="J1287" s="1"/>
      <c r="K1287" s="1"/>
      <c r="AA1287" s="1"/>
    </row>
    <row r="1288" spans="1:27" x14ac:dyDescent="0.25">
      <c r="A1288" t="s">
        <v>85</v>
      </c>
      <c r="B1288" t="str">
        <f t="shared" si="22"/>
        <v>35</v>
      </c>
      <c r="C1288" s="35">
        <v>2000</v>
      </c>
      <c r="D1288" s="35">
        <v>2000</v>
      </c>
      <c r="E1288" s="36">
        <v>1294</v>
      </c>
      <c r="F1288" s="35">
        <v>916</v>
      </c>
      <c r="G1288" s="35">
        <v>378</v>
      </c>
      <c r="H1288" s="1" t="s">
        <v>2</v>
      </c>
      <c r="I1288" s="1"/>
      <c r="J1288" s="1"/>
      <c r="K1288" s="1"/>
      <c r="AA1288" s="1"/>
    </row>
    <row r="1289" spans="1:27" x14ac:dyDescent="0.25">
      <c r="A1289" t="s">
        <v>85</v>
      </c>
      <c r="B1289" t="str">
        <f t="shared" si="22"/>
        <v>35</v>
      </c>
      <c r="C1289" s="35">
        <v>2001</v>
      </c>
      <c r="D1289" s="1" t="s">
        <v>4</v>
      </c>
      <c r="E1289" s="36">
        <v>1339</v>
      </c>
      <c r="F1289" s="35">
        <v>954</v>
      </c>
      <c r="G1289" s="35">
        <v>385</v>
      </c>
      <c r="H1289" s="1" t="s">
        <v>2</v>
      </c>
      <c r="I1289" s="1"/>
      <c r="J1289" s="1"/>
      <c r="K1289" s="1"/>
      <c r="AA1289" s="1"/>
    </row>
    <row r="1290" spans="1:27" x14ac:dyDescent="0.25">
      <c r="A1290" t="s">
        <v>85</v>
      </c>
      <c r="B1290" t="str">
        <f t="shared" si="22"/>
        <v>35</v>
      </c>
      <c r="C1290" s="35">
        <v>2001</v>
      </c>
      <c r="D1290" s="35">
        <v>2000</v>
      </c>
      <c r="E1290" s="35">
        <v>14</v>
      </c>
      <c r="F1290" s="35">
        <v>11</v>
      </c>
      <c r="G1290" s="35">
        <v>3</v>
      </c>
      <c r="H1290" s="1" t="s">
        <v>2</v>
      </c>
      <c r="I1290" s="1"/>
      <c r="J1290" s="1"/>
      <c r="K1290" s="1"/>
      <c r="AA1290" s="1"/>
    </row>
    <row r="1291" spans="1:27" x14ac:dyDescent="0.25">
      <c r="A1291" t="s">
        <v>85</v>
      </c>
      <c r="B1291" t="str">
        <f t="shared" si="22"/>
        <v>35</v>
      </c>
      <c r="C1291" s="35">
        <v>2001</v>
      </c>
      <c r="D1291" s="35">
        <v>2001</v>
      </c>
      <c r="E1291" s="36">
        <v>1325</v>
      </c>
      <c r="F1291" s="35">
        <v>943</v>
      </c>
      <c r="G1291" s="35">
        <v>382</v>
      </c>
      <c r="H1291" s="1" t="s">
        <v>2</v>
      </c>
      <c r="I1291" s="1"/>
      <c r="J1291" s="1"/>
      <c r="K1291" s="1"/>
      <c r="AA1291" s="1"/>
    </row>
    <row r="1292" spans="1:27" x14ac:dyDescent="0.25">
      <c r="A1292" t="s">
        <v>85</v>
      </c>
      <c r="B1292" t="str">
        <f t="shared" si="22"/>
        <v>35</v>
      </c>
      <c r="C1292" s="35">
        <v>2002</v>
      </c>
      <c r="D1292" s="1" t="s">
        <v>4</v>
      </c>
      <c r="E1292" s="36">
        <v>1267</v>
      </c>
      <c r="F1292" s="35">
        <v>870</v>
      </c>
      <c r="G1292" s="35">
        <v>397</v>
      </c>
      <c r="H1292" s="1" t="s">
        <v>2</v>
      </c>
      <c r="I1292" s="1"/>
      <c r="J1292" s="1"/>
      <c r="K1292" s="1"/>
      <c r="AA1292" s="1"/>
    </row>
    <row r="1293" spans="1:27" x14ac:dyDescent="0.25">
      <c r="A1293" t="s">
        <v>85</v>
      </c>
      <c r="B1293" t="str">
        <f t="shared" si="22"/>
        <v>35</v>
      </c>
      <c r="C1293" s="35">
        <v>2002</v>
      </c>
      <c r="D1293" s="35">
        <v>2001</v>
      </c>
      <c r="E1293" s="35">
        <v>15</v>
      </c>
      <c r="F1293" s="35">
        <v>13</v>
      </c>
      <c r="G1293" s="35">
        <v>2</v>
      </c>
      <c r="H1293" s="1" t="s">
        <v>2</v>
      </c>
      <c r="I1293" s="1"/>
      <c r="J1293" s="1"/>
      <c r="K1293" s="1"/>
      <c r="AA1293" s="1"/>
    </row>
    <row r="1294" spans="1:27" x14ac:dyDescent="0.25">
      <c r="A1294" t="s">
        <v>85</v>
      </c>
      <c r="B1294" t="str">
        <f t="shared" si="22"/>
        <v>35</v>
      </c>
      <c r="C1294" s="35">
        <v>2002</v>
      </c>
      <c r="D1294" s="35">
        <v>2002</v>
      </c>
      <c r="E1294" s="36">
        <v>1252</v>
      </c>
      <c r="F1294" s="35">
        <v>857</v>
      </c>
      <c r="G1294" s="35">
        <v>395</v>
      </c>
      <c r="H1294" s="1" t="s">
        <v>2</v>
      </c>
      <c r="I1294" s="1"/>
      <c r="J1294" s="1"/>
      <c r="K1294" s="1"/>
      <c r="AA1294" s="1"/>
    </row>
    <row r="1295" spans="1:27" x14ac:dyDescent="0.25">
      <c r="A1295" t="s">
        <v>85</v>
      </c>
      <c r="B1295" t="str">
        <f t="shared" si="22"/>
        <v>35</v>
      </c>
      <c r="C1295" s="35">
        <v>2003</v>
      </c>
      <c r="D1295" s="1" t="s">
        <v>4</v>
      </c>
      <c r="E1295" s="36">
        <v>1343</v>
      </c>
      <c r="F1295" s="35">
        <v>949</v>
      </c>
      <c r="G1295" s="35">
        <v>394</v>
      </c>
      <c r="H1295" s="1" t="s">
        <v>2</v>
      </c>
      <c r="I1295" s="1"/>
      <c r="J1295" s="1"/>
      <c r="K1295" s="1"/>
      <c r="AA1295" s="1"/>
    </row>
    <row r="1296" spans="1:27" x14ac:dyDescent="0.25">
      <c r="A1296" t="s">
        <v>85</v>
      </c>
      <c r="B1296" t="str">
        <f t="shared" si="22"/>
        <v>35</v>
      </c>
      <c r="C1296" s="35">
        <v>2003</v>
      </c>
      <c r="D1296" s="35">
        <v>2002</v>
      </c>
      <c r="E1296" s="35">
        <v>9</v>
      </c>
      <c r="F1296" s="35">
        <v>7</v>
      </c>
      <c r="G1296" s="35">
        <v>2</v>
      </c>
      <c r="H1296" s="1" t="s">
        <v>2</v>
      </c>
      <c r="I1296" s="1"/>
      <c r="J1296" s="1"/>
      <c r="K1296" s="1"/>
      <c r="AA1296" s="1"/>
    </row>
    <row r="1297" spans="1:27" x14ac:dyDescent="0.25">
      <c r="A1297" t="s">
        <v>85</v>
      </c>
      <c r="B1297" t="str">
        <f t="shared" si="22"/>
        <v>35</v>
      </c>
      <c r="C1297" s="35">
        <v>2003</v>
      </c>
      <c r="D1297" s="35">
        <v>2003</v>
      </c>
      <c r="E1297" s="36">
        <v>1334</v>
      </c>
      <c r="F1297" s="35">
        <v>942</v>
      </c>
      <c r="G1297" s="35">
        <v>392</v>
      </c>
      <c r="H1297" s="1" t="s">
        <v>2</v>
      </c>
      <c r="I1297" s="1"/>
      <c r="J1297" s="1"/>
      <c r="K1297" s="1"/>
      <c r="AA1297" s="1"/>
    </row>
    <row r="1298" spans="1:27" x14ac:dyDescent="0.25">
      <c r="A1298" t="s">
        <v>85</v>
      </c>
      <c r="B1298" t="str">
        <f t="shared" si="22"/>
        <v>35</v>
      </c>
      <c r="C1298" s="35">
        <v>2004</v>
      </c>
      <c r="D1298" s="1" t="s">
        <v>4</v>
      </c>
      <c r="E1298" s="36">
        <v>1265</v>
      </c>
      <c r="F1298" s="35">
        <v>903</v>
      </c>
      <c r="G1298" s="35">
        <v>362</v>
      </c>
      <c r="H1298" s="1" t="s">
        <v>2</v>
      </c>
      <c r="I1298" s="1"/>
      <c r="J1298" s="1"/>
      <c r="K1298" s="1"/>
      <c r="AA1298" s="1"/>
    </row>
    <row r="1299" spans="1:27" x14ac:dyDescent="0.25">
      <c r="A1299" t="s">
        <v>85</v>
      </c>
      <c r="B1299" t="str">
        <f t="shared" si="22"/>
        <v>35</v>
      </c>
      <c r="C1299" s="35">
        <v>2004</v>
      </c>
      <c r="D1299" s="35">
        <v>2002</v>
      </c>
      <c r="E1299" s="35">
        <v>1</v>
      </c>
      <c r="F1299" s="35">
        <v>1</v>
      </c>
      <c r="G1299" s="1" t="s">
        <v>2</v>
      </c>
      <c r="H1299" s="1" t="s">
        <v>2</v>
      </c>
      <c r="I1299" s="1"/>
      <c r="J1299" s="1"/>
      <c r="K1299" s="1"/>
      <c r="AA1299" s="1"/>
    </row>
    <row r="1300" spans="1:27" x14ac:dyDescent="0.25">
      <c r="A1300" t="s">
        <v>85</v>
      </c>
      <c r="B1300" t="str">
        <f t="shared" si="22"/>
        <v>35</v>
      </c>
      <c r="C1300" s="35">
        <v>2004</v>
      </c>
      <c r="D1300" s="35">
        <v>2003</v>
      </c>
      <c r="E1300" s="35">
        <v>14</v>
      </c>
      <c r="F1300" s="35">
        <v>13</v>
      </c>
      <c r="G1300" s="35">
        <v>1</v>
      </c>
      <c r="H1300" s="1" t="s">
        <v>2</v>
      </c>
      <c r="I1300" s="1"/>
      <c r="J1300" s="1"/>
      <c r="K1300" s="1"/>
      <c r="AA1300" s="1"/>
    </row>
    <row r="1301" spans="1:27" x14ac:dyDescent="0.25">
      <c r="A1301" t="s">
        <v>85</v>
      </c>
      <c r="B1301" t="str">
        <f t="shared" si="22"/>
        <v>35</v>
      </c>
      <c r="C1301" s="35">
        <v>2004</v>
      </c>
      <c r="D1301" s="35">
        <v>2004</v>
      </c>
      <c r="E1301" s="36">
        <v>1250</v>
      </c>
      <c r="F1301" s="35">
        <v>889</v>
      </c>
      <c r="G1301" s="35">
        <v>361</v>
      </c>
      <c r="H1301" s="1" t="s">
        <v>2</v>
      </c>
      <c r="I1301" s="1"/>
      <c r="J1301" s="1"/>
      <c r="K1301" s="1"/>
      <c r="AA1301" s="1"/>
    </row>
    <row r="1302" spans="1:27" x14ac:dyDescent="0.25">
      <c r="A1302" t="s">
        <v>85</v>
      </c>
      <c r="B1302" t="str">
        <f t="shared" si="22"/>
        <v>35</v>
      </c>
      <c r="C1302" s="35">
        <v>2005</v>
      </c>
      <c r="D1302" s="1" t="s">
        <v>4</v>
      </c>
      <c r="E1302" s="36">
        <v>1219</v>
      </c>
      <c r="F1302" s="35">
        <v>867</v>
      </c>
      <c r="G1302" s="35">
        <v>352</v>
      </c>
      <c r="H1302" s="1" t="s">
        <v>2</v>
      </c>
      <c r="I1302" s="1"/>
      <c r="J1302" s="1"/>
      <c r="K1302" s="1"/>
      <c r="AA1302" s="1"/>
    </row>
    <row r="1303" spans="1:27" x14ac:dyDescent="0.25">
      <c r="A1303" t="s">
        <v>85</v>
      </c>
      <c r="B1303" t="str">
        <f t="shared" si="22"/>
        <v>35</v>
      </c>
      <c r="C1303" s="35">
        <v>2005</v>
      </c>
      <c r="D1303" s="35">
        <v>1997</v>
      </c>
      <c r="E1303" s="35">
        <v>1</v>
      </c>
      <c r="F1303" s="35">
        <v>1</v>
      </c>
      <c r="G1303" s="1" t="s">
        <v>2</v>
      </c>
      <c r="H1303" s="1" t="s">
        <v>2</v>
      </c>
      <c r="I1303" s="1"/>
      <c r="J1303" s="1"/>
      <c r="K1303" s="1"/>
      <c r="AA1303" s="1"/>
    </row>
    <row r="1304" spans="1:27" x14ac:dyDescent="0.25">
      <c r="A1304" t="s">
        <v>85</v>
      </c>
      <c r="B1304" t="str">
        <f t="shared" si="22"/>
        <v>35</v>
      </c>
      <c r="C1304" s="35">
        <v>2005</v>
      </c>
      <c r="D1304" s="35">
        <v>2003</v>
      </c>
      <c r="E1304" s="35">
        <v>1</v>
      </c>
      <c r="F1304" s="35">
        <v>1</v>
      </c>
      <c r="G1304" s="1" t="s">
        <v>2</v>
      </c>
      <c r="H1304" s="1" t="s">
        <v>2</v>
      </c>
      <c r="I1304" s="1"/>
      <c r="J1304" s="1"/>
      <c r="K1304" s="1"/>
      <c r="AA1304" s="1"/>
    </row>
    <row r="1305" spans="1:27" x14ac:dyDescent="0.25">
      <c r="A1305" t="s">
        <v>85</v>
      </c>
      <c r="B1305" t="str">
        <f t="shared" si="22"/>
        <v>35</v>
      </c>
      <c r="C1305" s="35">
        <v>2005</v>
      </c>
      <c r="D1305" s="35">
        <v>2004</v>
      </c>
      <c r="E1305" s="35">
        <v>12</v>
      </c>
      <c r="F1305" s="35">
        <v>9</v>
      </c>
      <c r="G1305" s="35">
        <v>3</v>
      </c>
      <c r="H1305" s="1" t="s">
        <v>2</v>
      </c>
      <c r="I1305" s="1"/>
      <c r="J1305" s="1"/>
      <c r="K1305" s="1"/>
      <c r="AA1305" s="1"/>
    </row>
    <row r="1306" spans="1:27" x14ac:dyDescent="0.25">
      <c r="A1306" t="s">
        <v>85</v>
      </c>
      <c r="B1306" t="str">
        <f t="shared" si="22"/>
        <v>35</v>
      </c>
      <c r="C1306" s="35">
        <v>2005</v>
      </c>
      <c r="D1306" s="35">
        <v>2005</v>
      </c>
      <c r="E1306" s="36">
        <v>1205</v>
      </c>
      <c r="F1306" s="35">
        <v>856</v>
      </c>
      <c r="G1306" s="35">
        <v>349</v>
      </c>
      <c r="H1306" s="1" t="s">
        <v>2</v>
      </c>
      <c r="I1306" s="1"/>
      <c r="J1306" s="1"/>
      <c r="K1306" s="1"/>
      <c r="AA1306" s="1"/>
    </row>
    <row r="1307" spans="1:27" x14ac:dyDescent="0.25">
      <c r="A1307" t="s">
        <v>85</v>
      </c>
      <c r="B1307" t="str">
        <f t="shared" si="22"/>
        <v>35</v>
      </c>
      <c r="C1307" s="35">
        <v>2006</v>
      </c>
      <c r="D1307" s="1" t="s">
        <v>4</v>
      </c>
      <c r="E1307" s="36">
        <v>1244</v>
      </c>
      <c r="F1307" s="35">
        <v>855</v>
      </c>
      <c r="G1307" s="35">
        <v>389</v>
      </c>
      <c r="H1307" s="1" t="s">
        <v>2</v>
      </c>
      <c r="I1307" s="1"/>
      <c r="J1307" s="1"/>
      <c r="K1307" s="1"/>
      <c r="AA1307" s="1"/>
    </row>
    <row r="1308" spans="1:27" x14ac:dyDescent="0.25">
      <c r="A1308" t="s">
        <v>85</v>
      </c>
      <c r="B1308" t="str">
        <f t="shared" si="22"/>
        <v>35</v>
      </c>
      <c r="C1308" s="35">
        <v>2006</v>
      </c>
      <c r="D1308" s="35">
        <v>2005</v>
      </c>
      <c r="E1308" s="35">
        <v>17</v>
      </c>
      <c r="F1308" s="35">
        <v>14</v>
      </c>
      <c r="G1308" s="35">
        <v>3</v>
      </c>
      <c r="H1308" s="1" t="s">
        <v>2</v>
      </c>
      <c r="I1308" s="1"/>
      <c r="J1308" s="1"/>
      <c r="K1308" s="1"/>
      <c r="AA1308" s="1"/>
    </row>
    <row r="1309" spans="1:27" x14ac:dyDescent="0.25">
      <c r="A1309" t="s">
        <v>85</v>
      </c>
      <c r="B1309" t="str">
        <f t="shared" si="22"/>
        <v>35</v>
      </c>
      <c r="C1309" s="35">
        <v>2006</v>
      </c>
      <c r="D1309" s="35">
        <v>2006</v>
      </c>
      <c r="E1309" s="36">
        <v>1227</v>
      </c>
      <c r="F1309" s="35">
        <v>841</v>
      </c>
      <c r="G1309" s="35">
        <v>386</v>
      </c>
      <c r="H1309" s="1" t="s">
        <v>2</v>
      </c>
      <c r="I1309" s="1"/>
      <c r="J1309" s="1"/>
      <c r="K1309" s="1"/>
      <c r="AA1309" s="1"/>
    </row>
    <row r="1310" spans="1:27" x14ac:dyDescent="0.25">
      <c r="A1310" t="s">
        <v>85</v>
      </c>
      <c r="B1310" t="str">
        <f t="shared" si="22"/>
        <v>35</v>
      </c>
      <c r="C1310" s="35">
        <v>2007</v>
      </c>
      <c r="D1310" s="1" t="s">
        <v>4</v>
      </c>
      <c r="E1310" s="36">
        <v>1260</v>
      </c>
      <c r="F1310" s="35">
        <v>907</v>
      </c>
      <c r="G1310" s="35">
        <v>353</v>
      </c>
      <c r="H1310" s="1" t="s">
        <v>2</v>
      </c>
      <c r="I1310" s="1"/>
      <c r="J1310" s="1"/>
      <c r="K1310" s="1"/>
      <c r="AA1310" s="1"/>
    </row>
    <row r="1311" spans="1:27" x14ac:dyDescent="0.25">
      <c r="A1311" t="s">
        <v>85</v>
      </c>
      <c r="B1311" t="str">
        <f t="shared" si="22"/>
        <v>35</v>
      </c>
      <c r="C1311" s="35">
        <v>2007</v>
      </c>
      <c r="D1311" s="35">
        <v>2006</v>
      </c>
      <c r="E1311" s="35">
        <v>21</v>
      </c>
      <c r="F1311" s="35">
        <v>21</v>
      </c>
      <c r="G1311" s="1" t="s">
        <v>2</v>
      </c>
      <c r="H1311" s="1" t="s">
        <v>2</v>
      </c>
      <c r="I1311" s="1"/>
      <c r="J1311" s="1"/>
      <c r="K1311" s="1"/>
      <c r="AA1311" s="1"/>
    </row>
    <row r="1312" spans="1:27" x14ac:dyDescent="0.25">
      <c r="A1312" t="s">
        <v>85</v>
      </c>
      <c r="B1312" t="str">
        <f t="shared" si="22"/>
        <v>35</v>
      </c>
      <c r="C1312" s="35">
        <v>2007</v>
      </c>
      <c r="D1312" s="35">
        <v>2007</v>
      </c>
      <c r="E1312" s="36">
        <v>1239</v>
      </c>
      <c r="F1312" s="35">
        <v>886</v>
      </c>
      <c r="G1312" s="35">
        <v>353</v>
      </c>
      <c r="H1312" s="1" t="s">
        <v>2</v>
      </c>
      <c r="I1312" s="1"/>
      <c r="J1312" s="1"/>
      <c r="K1312" s="1"/>
      <c r="AA1312" s="1"/>
    </row>
    <row r="1313" spans="1:27" x14ac:dyDescent="0.25">
      <c r="A1313" t="s">
        <v>85</v>
      </c>
      <c r="B1313" t="str">
        <f t="shared" si="22"/>
        <v>35</v>
      </c>
      <c r="C1313" s="35">
        <v>2008</v>
      </c>
      <c r="D1313" s="1" t="s">
        <v>4</v>
      </c>
      <c r="E1313" s="36">
        <v>1297</v>
      </c>
      <c r="F1313" s="35">
        <v>941</v>
      </c>
      <c r="G1313" s="35">
        <v>356</v>
      </c>
      <c r="H1313" s="1" t="s">
        <v>2</v>
      </c>
      <c r="I1313" s="1"/>
      <c r="J1313" s="1"/>
      <c r="K1313" s="1"/>
      <c r="AA1313" s="1"/>
    </row>
    <row r="1314" spans="1:27" x14ac:dyDescent="0.25">
      <c r="A1314" t="s">
        <v>85</v>
      </c>
      <c r="B1314" t="str">
        <f t="shared" si="22"/>
        <v>35</v>
      </c>
      <c r="C1314" s="35">
        <v>2008</v>
      </c>
      <c r="D1314" s="35">
        <v>2004</v>
      </c>
      <c r="E1314" s="35">
        <v>6</v>
      </c>
      <c r="F1314" s="35">
        <v>6</v>
      </c>
      <c r="G1314" s="1" t="s">
        <v>2</v>
      </c>
      <c r="H1314" s="1" t="s">
        <v>2</v>
      </c>
      <c r="I1314" s="1"/>
      <c r="J1314" s="1"/>
      <c r="K1314" s="1"/>
      <c r="AA1314" s="1"/>
    </row>
    <row r="1315" spans="1:27" x14ac:dyDescent="0.25">
      <c r="A1315" t="s">
        <v>85</v>
      </c>
      <c r="B1315" t="str">
        <f t="shared" si="22"/>
        <v>35</v>
      </c>
      <c r="C1315" s="35">
        <v>2008</v>
      </c>
      <c r="D1315" s="35">
        <v>2005</v>
      </c>
      <c r="E1315" s="35">
        <v>8</v>
      </c>
      <c r="F1315" s="35">
        <v>8</v>
      </c>
      <c r="G1315" s="1" t="s">
        <v>2</v>
      </c>
      <c r="H1315" s="1" t="s">
        <v>2</v>
      </c>
      <c r="I1315" s="1"/>
      <c r="J1315" s="1"/>
      <c r="K1315" s="1"/>
      <c r="AA1315" s="1"/>
    </row>
    <row r="1316" spans="1:27" x14ac:dyDescent="0.25">
      <c r="A1316" t="s">
        <v>85</v>
      </c>
      <c r="B1316" t="str">
        <f t="shared" si="22"/>
        <v>35</v>
      </c>
      <c r="C1316" s="35">
        <v>2008</v>
      </c>
      <c r="D1316" s="35">
        <v>2006</v>
      </c>
      <c r="E1316" s="35">
        <v>1</v>
      </c>
      <c r="F1316" s="35">
        <v>1</v>
      </c>
      <c r="G1316" s="1" t="s">
        <v>2</v>
      </c>
      <c r="H1316" s="1" t="s">
        <v>2</v>
      </c>
      <c r="I1316" s="1"/>
      <c r="J1316" s="1"/>
      <c r="K1316" s="1"/>
      <c r="AA1316" s="1"/>
    </row>
    <row r="1317" spans="1:27" x14ac:dyDescent="0.25">
      <c r="A1317" t="s">
        <v>85</v>
      </c>
      <c r="B1317" t="str">
        <f t="shared" si="22"/>
        <v>35</v>
      </c>
      <c r="C1317" s="35">
        <v>2008</v>
      </c>
      <c r="D1317" s="35">
        <v>2007</v>
      </c>
      <c r="E1317" s="35">
        <v>20</v>
      </c>
      <c r="F1317" s="35">
        <v>18</v>
      </c>
      <c r="G1317" s="35">
        <v>2</v>
      </c>
      <c r="H1317" s="1" t="s">
        <v>2</v>
      </c>
      <c r="I1317" s="1"/>
      <c r="J1317" s="1"/>
      <c r="K1317" s="1"/>
      <c r="AA1317" s="1"/>
    </row>
    <row r="1318" spans="1:27" x14ac:dyDescent="0.25">
      <c r="A1318" t="s">
        <v>85</v>
      </c>
      <c r="B1318" t="str">
        <f t="shared" si="22"/>
        <v>35</v>
      </c>
      <c r="C1318" s="35">
        <v>2008</v>
      </c>
      <c r="D1318" s="35">
        <v>2008</v>
      </c>
      <c r="E1318" s="36">
        <v>1262</v>
      </c>
      <c r="F1318" s="35">
        <v>908</v>
      </c>
      <c r="G1318" s="35">
        <v>354</v>
      </c>
      <c r="H1318" s="1" t="s">
        <v>2</v>
      </c>
      <c r="I1318" s="1"/>
      <c r="J1318" s="1"/>
      <c r="K1318" s="1"/>
      <c r="AA1318" s="1"/>
    </row>
    <row r="1319" spans="1:27" x14ac:dyDescent="0.25">
      <c r="A1319" t="s">
        <v>85</v>
      </c>
      <c r="B1319" t="str">
        <f t="shared" si="22"/>
        <v>35</v>
      </c>
      <c r="C1319" s="35">
        <v>2009</v>
      </c>
      <c r="D1319" s="1" t="s">
        <v>4</v>
      </c>
      <c r="E1319" s="36">
        <v>1445</v>
      </c>
      <c r="F1319" s="36">
        <v>1010</v>
      </c>
      <c r="G1319" s="35">
        <v>434</v>
      </c>
      <c r="H1319" s="35">
        <v>1</v>
      </c>
      <c r="I1319" s="1"/>
      <c r="J1319" s="1"/>
      <c r="K1319" s="1"/>
      <c r="AA1319" s="1"/>
    </row>
    <row r="1320" spans="1:27" x14ac:dyDescent="0.25">
      <c r="A1320" t="s">
        <v>85</v>
      </c>
      <c r="B1320" t="str">
        <f t="shared" si="22"/>
        <v>35</v>
      </c>
      <c r="C1320" s="35">
        <v>2009</v>
      </c>
      <c r="D1320" s="35">
        <v>2003</v>
      </c>
      <c r="E1320" s="35">
        <v>1</v>
      </c>
      <c r="F1320" s="35">
        <v>1</v>
      </c>
      <c r="G1320" s="1" t="s">
        <v>2</v>
      </c>
      <c r="H1320" s="1" t="s">
        <v>2</v>
      </c>
      <c r="I1320" s="1"/>
      <c r="J1320" s="1"/>
      <c r="K1320" s="1"/>
      <c r="AA1320" s="1"/>
    </row>
    <row r="1321" spans="1:27" x14ac:dyDescent="0.25">
      <c r="A1321" t="s">
        <v>85</v>
      </c>
      <c r="B1321" t="str">
        <f t="shared" si="22"/>
        <v>35</v>
      </c>
      <c r="C1321" s="35">
        <v>2009</v>
      </c>
      <c r="D1321" s="35">
        <v>2006</v>
      </c>
      <c r="E1321" s="35">
        <v>1</v>
      </c>
      <c r="F1321" s="35">
        <v>1</v>
      </c>
      <c r="G1321" s="1" t="s">
        <v>2</v>
      </c>
      <c r="H1321" s="1" t="s">
        <v>2</v>
      </c>
      <c r="I1321" s="1"/>
      <c r="J1321" s="1"/>
      <c r="K1321" s="1"/>
      <c r="AA1321" s="1"/>
    </row>
    <row r="1322" spans="1:27" x14ac:dyDescent="0.25">
      <c r="A1322" t="s">
        <v>85</v>
      </c>
      <c r="B1322" t="str">
        <f t="shared" si="22"/>
        <v>35</v>
      </c>
      <c r="C1322" s="35">
        <v>2009</v>
      </c>
      <c r="D1322" s="35">
        <v>2008</v>
      </c>
      <c r="E1322" s="35">
        <v>29</v>
      </c>
      <c r="F1322" s="35">
        <v>26</v>
      </c>
      <c r="G1322" s="35">
        <v>3</v>
      </c>
      <c r="H1322" s="1" t="s">
        <v>2</v>
      </c>
      <c r="I1322" s="1"/>
      <c r="J1322" s="1"/>
      <c r="K1322" s="1"/>
      <c r="AA1322" s="1"/>
    </row>
    <row r="1323" spans="1:27" x14ac:dyDescent="0.25">
      <c r="A1323" t="s">
        <v>85</v>
      </c>
      <c r="B1323" t="str">
        <f t="shared" si="22"/>
        <v>35</v>
      </c>
      <c r="C1323" s="35">
        <v>2009</v>
      </c>
      <c r="D1323" s="35">
        <v>2009</v>
      </c>
      <c r="E1323" s="36">
        <v>1414</v>
      </c>
      <c r="F1323" s="35">
        <v>982</v>
      </c>
      <c r="G1323" s="35">
        <v>431</v>
      </c>
      <c r="H1323" s="35">
        <v>1</v>
      </c>
      <c r="I1323" s="1"/>
      <c r="J1323" s="1"/>
      <c r="K1323" s="1"/>
      <c r="AA1323" s="1"/>
    </row>
    <row r="1324" spans="1:27" x14ac:dyDescent="0.25">
      <c r="A1324" t="s">
        <v>85</v>
      </c>
      <c r="B1324" t="str">
        <f t="shared" si="22"/>
        <v>35</v>
      </c>
      <c r="C1324" s="35">
        <v>2010</v>
      </c>
      <c r="D1324" s="1" t="s">
        <v>4</v>
      </c>
      <c r="E1324" s="36">
        <v>1410</v>
      </c>
      <c r="F1324" s="35">
        <v>972</v>
      </c>
      <c r="G1324" s="35">
        <v>438</v>
      </c>
      <c r="H1324" s="1" t="s">
        <v>2</v>
      </c>
      <c r="I1324" s="1"/>
      <c r="J1324" s="1"/>
      <c r="K1324" s="1"/>
      <c r="AA1324" s="1"/>
    </row>
    <row r="1325" spans="1:27" x14ac:dyDescent="0.25">
      <c r="A1325" t="s">
        <v>85</v>
      </c>
      <c r="B1325" t="str">
        <f t="shared" si="22"/>
        <v>35</v>
      </c>
      <c r="C1325" s="35">
        <v>2010</v>
      </c>
      <c r="D1325" s="35">
        <v>2009</v>
      </c>
      <c r="E1325" s="35">
        <v>36</v>
      </c>
      <c r="F1325" s="35">
        <v>30</v>
      </c>
      <c r="G1325" s="35">
        <v>6</v>
      </c>
      <c r="H1325" s="1" t="s">
        <v>2</v>
      </c>
      <c r="I1325" s="1"/>
      <c r="J1325" s="1"/>
      <c r="K1325" s="1"/>
      <c r="AA1325" s="1"/>
    </row>
    <row r="1326" spans="1:27" x14ac:dyDescent="0.25">
      <c r="A1326" t="s">
        <v>85</v>
      </c>
      <c r="B1326" t="str">
        <f t="shared" si="22"/>
        <v>35</v>
      </c>
      <c r="C1326" s="35">
        <v>2010</v>
      </c>
      <c r="D1326" s="35">
        <v>2010</v>
      </c>
      <c r="E1326" s="36">
        <v>1374</v>
      </c>
      <c r="F1326" s="35">
        <v>942</v>
      </c>
      <c r="G1326" s="35">
        <v>432</v>
      </c>
      <c r="H1326" s="1" t="s">
        <v>2</v>
      </c>
      <c r="I1326" s="1"/>
      <c r="J1326" s="1"/>
      <c r="K1326" s="1"/>
      <c r="AA1326" s="1"/>
    </row>
    <row r="1327" spans="1:27" x14ac:dyDescent="0.25">
      <c r="A1327" t="s">
        <v>85</v>
      </c>
      <c r="B1327" t="str">
        <f t="shared" si="22"/>
        <v>35</v>
      </c>
      <c r="C1327" s="35">
        <v>2011</v>
      </c>
      <c r="D1327" s="1" t="s">
        <v>4</v>
      </c>
      <c r="E1327" s="36">
        <v>1350</v>
      </c>
      <c r="F1327" s="35">
        <v>961</v>
      </c>
      <c r="G1327" s="35">
        <v>386</v>
      </c>
      <c r="H1327" s="35">
        <v>3</v>
      </c>
      <c r="I1327" s="1"/>
      <c r="J1327" s="1"/>
      <c r="K1327" s="1"/>
      <c r="AA1327" s="1"/>
    </row>
    <row r="1328" spans="1:27" x14ac:dyDescent="0.25">
      <c r="A1328" t="s">
        <v>85</v>
      </c>
      <c r="B1328" t="str">
        <f t="shared" si="22"/>
        <v>35</v>
      </c>
      <c r="C1328" s="35">
        <v>2011</v>
      </c>
      <c r="D1328" s="35">
        <v>2010</v>
      </c>
      <c r="E1328" s="35">
        <v>45</v>
      </c>
      <c r="F1328" s="35">
        <v>44</v>
      </c>
      <c r="G1328" s="35">
        <v>1</v>
      </c>
      <c r="H1328" s="1" t="s">
        <v>2</v>
      </c>
      <c r="I1328" s="1"/>
      <c r="J1328" s="1"/>
      <c r="K1328" s="1"/>
      <c r="AA1328" s="1"/>
    </row>
    <row r="1329" spans="1:27" x14ac:dyDescent="0.25">
      <c r="A1329" t="s">
        <v>85</v>
      </c>
      <c r="B1329" t="str">
        <f t="shared" si="22"/>
        <v>35</v>
      </c>
      <c r="C1329" s="35">
        <v>2011</v>
      </c>
      <c r="D1329" s="35">
        <v>2011</v>
      </c>
      <c r="E1329" s="36">
        <v>1305</v>
      </c>
      <c r="F1329" s="35">
        <v>917</v>
      </c>
      <c r="G1329" s="35">
        <v>385</v>
      </c>
      <c r="H1329" s="35">
        <v>3</v>
      </c>
      <c r="I1329" s="1"/>
      <c r="J1329" s="1"/>
      <c r="K1329" s="1"/>
      <c r="AA1329" s="1"/>
    </row>
    <row r="1330" spans="1:27" x14ac:dyDescent="0.25">
      <c r="A1330" t="s">
        <v>85</v>
      </c>
      <c r="B1330" t="str">
        <f t="shared" si="22"/>
        <v>35</v>
      </c>
      <c r="C1330" s="35">
        <v>2012</v>
      </c>
      <c r="D1330" s="1" t="s">
        <v>4</v>
      </c>
      <c r="E1330" s="36">
        <v>1345</v>
      </c>
      <c r="F1330" s="35">
        <v>946</v>
      </c>
      <c r="G1330" s="35">
        <v>398</v>
      </c>
      <c r="H1330" s="35">
        <v>1</v>
      </c>
      <c r="I1330" s="1"/>
      <c r="J1330" s="1"/>
      <c r="K1330" s="1"/>
      <c r="AA1330" s="1"/>
    </row>
    <row r="1331" spans="1:27" x14ac:dyDescent="0.25">
      <c r="A1331" t="s">
        <v>85</v>
      </c>
      <c r="B1331" t="str">
        <f t="shared" si="22"/>
        <v>35</v>
      </c>
      <c r="C1331" s="35">
        <v>2012</v>
      </c>
      <c r="D1331" s="35">
        <v>2011</v>
      </c>
      <c r="E1331" s="35">
        <v>34</v>
      </c>
      <c r="F1331" s="35">
        <v>31</v>
      </c>
      <c r="G1331" s="35">
        <v>3</v>
      </c>
      <c r="H1331" s="1" t="s">
        <v>2</v>
      </c>
      <c r="I1331" s="1"/>
      <c r="J1331" s="1"/>
      <c r="K1331" s="1"/>
      <c r="AA1331" s="1"/>
    </row>
    <row r="1332" spans="1:27" x14ac:dyDescent="0.25">
      <c r="A1332" t="s">
        <v>85</v>
      </c>
      <c r="B1332" t="str">
        <f t="shared" si="22"/>
        <v>35</v>
      </c>
      <c r="C1332" s="35">
        <v>2012</v>
      </c>
      <c r="D1332" s="35">
        <v>2012</v>
      </c>
      <c r="E1332" s="36">
        <v>1311</v>
      </c>
      <c r="F1332" s="35">
        <v>915</v>
      </c>
      <c r="G1332" s="35">
        <v>395</v>
      </c>
      <c r="H1332" s="35">
        <v>1</v>
      </c>
      <c r="I1332" s="1"/>
      <c r="J1332" s="1"/>
      <c r="K1332" s="1"/>
      <c r="AA1332" s="1"/>
    </row>
    <row r="1333" spans="1:27" x14ac:dyDescent="0.25">
      <c r="A1333" t="s">
        <v>85</v>
      </c>
      <c r="B1333" t="str">
        <f t="shared" si="22"/>
        <v>35</v>
      </c>
      <c r="C1333" s="35">
        <v>2013</v>
      </c>
      <c r="D1333" s="1" t="s">
        <v>4</v>
      </c>
      <c r="E1333" s="36">
        <v>1301</v>
      </c>
      <c r="F1333" s="35">
        <v>937</v>
      </c>
      <c r="G1333" s="35">
        <v>362</v>
      </c>
      <c r="H1333" s="35">
        <v>2</v>
      </c>
      <c r="I1333" s="1"/>
      <c r="J1333" s="1"/>
      <c r="K1333" s="1"/>
      <c r="AA1333" s="1"/>
    </row>
    <row r="1334" spans="1:27" x14ac:dyDescent="0.25">
      <c r="A1334" t="s">
        <v>85</v>
      </c>
      <c r="B1334" t="str">
        <f t="shared" si="22"/>
        <v>35</v>
      </c>
      <c r="C1334" s="35">
        <v>2013</v>
      </c>
      <c r="D1334" s="35">
        <v>2000</v>
      </c>
      <c r="E1334" s="35">
        <v>1</v>
      </c>
      <c r="F1334" s="35">
        <v>1</v>
      </c>
      <c r="G1334" s="1" t="s">
        <v>2</v>
      </c>
      <c r="H1334" s="1" t="s">
        <v>2</v>
      </c>
      <c r="I1334" s="1"/>
      <c r="J1334" s="1"/>
      <c r="K1334" s="1"/>
      <c r="AA1334" s="1"/>
    </row>
    <row r="1335" spans="1:27" x14ac:dyDescent="0.25">
      <c r="A1335" t="s">
        <v>85</v>
      </c>
      <c r="B1335" t="str">
        <f t="shared" si="22"/>
        <v>35</v>
      </c>
      <c r="C1335" s="35">
        <v>2013</v>
      </c>
      <c r="D1335" s="35">
        <v>2005</v>
      </c>
      <c r="E1335" s="35">
        <v>1</v>
      </c>
      <c r="F1335" s="35">
        <v>1</v>
      </c>
      <c r="G1335" s="1" t="s">
        <v>2</v>
      </c>
      <c r="H1335" s="1" t="s">
        <v>2</v>
      </c>
      <c r="I1335" s="1"/>
      <c r="J1335" s="1"/>
      <c r="K1335" s="1"/>
      <c r="AA1335" s="1"/>
    </row>
    <row r="1336" spans="1:27" x14ac:dyDescent="0.25">
      <c r="A1336" t="s">
        <v>85</v>
      </c>
      <c r="B1336" t="str">
        <f t="shared" si="22"/>
        <v>35</v>
      </c>
      <c r="C1336" s="35">
        <v>2013</v>
      </c>
      <c r="D1336" s="35">
        <v>2011</v>
      </c>
      <c r="E1336" s="35">
        <v>1</v>
      </c>
      <c r="F1336" s="1" t="s">
        <v>2</v>
      </c>
      <c r="G1336" s="1" t="s">
        <v>2</v>
      </c>
      <c r="H1336" s="35">
        <v>1</v>
      </c>
      <c r="I1336" s="1"/>
      <c r="J1336" s="1"/>
      <c r="K1336" s="1"/>
      <c r="AA1336" s="1"/>
    </row>
    <row r="1337" spans="1:27" x14ac:dyDescent="0.25">
      <c r="A1337" t="s">
        <v>85</v>
      </c>
      <c r="B1337" t="str">
        <f t="shared" si="22"/>
        <v>35</v>
      </c>
      <c r="C1337" s="35">
        <v>2013</v>
      </c>
      <c r="D1337" s="35">
        <v>2012</v>
      </c>
      <c r="E1337" s="35">
        <v>31</v>
      </c>
      <c r="F1337" s="35">
        <v>24</v>
      </c>
      <c r="G1337" s="35">
        <v>7</v>
      </c>
      <c r="H1337" s="1" t="s">
        <v>2</v>
      </c>
      <c r="I1337" s="1"/>
      <c r="J1337" s="1"/>
      <c r="K1337" s="1"/>
      <c r="AA1337" s="1"/>
    </row>
    <row r="1338" spans="1:27" x14ac:dyDescent="0.25">
      <c r="A1338" t="s">
        <v>85</v>
      </c>
      <c r="B1338" t="str">
        <f t="shared" si="22"/>
        <v>35</v>
      </c>
      <c r="C1338" s="35">
        <v>2013</v>
      </c>
      <c r="D1338" s="35">
        <v>2013</v>
      </c>
      <c r="E1338" s="36">
        <v>1267</v>
      </c>
      <c r="F1338" s="35">
        <v>911</v>
      </c>
      <c r="G1338" s="35">
        <v>355</v>
      </c>
      <c r="H1338" s="35">
        <v>1</v>
      </c>
      <c r="I1338" s="1"/>
      <c r="J1338" s="1"/>
      <c r="K1338" s="1"/>
      <c r="AA1338" s="1"/>
    </row>
    <row r="1339" spans="1:27" x14ac:dyDescent="0.25">
      <c r="A1339" t="s">
        <v>85</v>
      </c>
      <c r="B1339" t="str">
        <f t="shared" si="22"/>
        <v>35</v>
      </c>
      <c r="C1339" s="35">
        <v>2014</v>
      </c>
      <c r="D1339" s="1" t="s">
        <v>4</v>
      </c>
      <c r="E1339" s="36">
        <v>1349</v>
      </c>
      <c r="F1339" s="35">
        <v>944</v>
      </c>
      <c r="G1339" s="35">
        <v>404</v>
      </c>
      <c r="H1339" s="35">
        <v>1</v>
      </c>
      <c r="I1339" s="1"/>
      <c r="J1339" s="1"/>
      <c r="K1339" s="1"/>
      <c r="AA1339" s="1"/>
    </row>
    <row r="1340" spans="1:27" x14ac:dyDescent="0.25">
      <c r="A1340" t="s">
        <v>85</v>
      </c>
      <c r="B1340" t="str">
        <f t="shared" si="22"/>
        <v>35</v>
      </c>
      <c r="C1340" s="35">
        <v>2014</v>
      </c>
      <c r="D1340" s="35">
        <v>2013</v>
      </c>
      <c r="E1340" s="35">
        <v>42</v>
      </c>
      <c r="F1340" s="35">
        <v>37</v>
      </c>
      <c r="G1340" s="35">
        <v>5</v>
      </c>
      <c r="H1340" s="1" t="s">
        <v>2</v>
      </c>
      <c r="I1340" s="1"/>
      <c r="J1340" s="1"/>
      <c r="K1340" s="1"/>
      <c r="AA1340" s="1"/>
    </row>
    <row r="1341" spans="1:27" x14ac:dyDescent="0.25">
      <c r="A1341" t="s">
        <v>85</v>
      </c>
      <c r="B1341" t="str">
        <f t="shared" si="22"/>
        <v>35</v>
      </c>
      <c r="C1341" s="35">
        <v>2014</v>
      </c>
      <c r="D1341" s="35">
        <v>2014</v>
      </c>
      <c r="E1341" s="36">
        <v>1307</v>
      </c>
      <c r="F1341" s="35">
        <v>907</v>
      </c>
      <c r="G1341" s="35">
        <v>399</v>
      </c>
      <c r="H1341" s="35">
        <v>1</v>
      </c>
      <c r="I1341" s="1"/>
      <c r="J1341" s="1"/>
      <c r="K1341" s="1"/>
      <c r="AA1341" s="1"/>
    </row>
    <row r="1342" spans="1:27" x14ac:dyDescent="0.25">
      <c r="A1342" t="s">
        <v>85</v>
      </c>
      <c r="B1342" t="str">
        <f t="shared" si="22"/>
        <v>35</v>
      </c>
      <c r="C1342" s="35">
        <v>2015</v>
      </c>
      <c r="D1342" s="1" t="s">
        <v>4</v>
      </c>
      <c r="E1342" s="36">
        <v>1318</v>
      </c>
      <c r="F1342" s="35">
        <v>941</v>
      </c>
      <c r="G1342" s="35">
        <v>377</v>
      </c>
      <c r="H1342" s="1" t="s">
        <v>2</v>
      </c>
      <c r="I1342" s="1"/>
      <c r="J1342" s="1"/>
      <c r="K1342" s="1"/>
      <c r="AA1342" s="1"/>
    </row>
    <row r="1343" spans="1:27" x14ac:dyDescent="0.25">
      <c r="A1343" t="s">
        <v>85</v>
      </c>
      <c r="B1343" t="str">
        <f t="shared" si="22"/>
        <v>35</v>
      </c>
      <c r="C1343" s="35">
        <v>2015</v>
      </c>
      <c r="D1343" s="35">
        <v>2013</v>
      </c>
      <c r="E1343" s="35">
        <v>1</v>
      </c>
      <c r="F1343" s="35">
        <v>1</v>
      </c>
      <c r="G1343" s="1" t="s">
        <v>2</v>
      </c>
      <c r="H1343" s="1" t="s">
        <v>2</v>
      </c>
      <c r="I1343" s="1"/>
      <c r="J1343" s="1"/>
      <c r="K1343" s="1"/>
      <c r="AA1343" s="1"/>
    </row>
    <row r="1344" spans="1:27" x14ac:dyDescent="0.25">
      <c r="A1344" t="s">
        <v>85</v>
      </c>
      <c r="B1344" t="str">
        <f t="shared" si="22"/>
        <v>35</v>
      </c>
      <c r="C1344" s="35">
        <v>2015</v>
      </c>
      <c r="D1344" s="35">
        <v>2014</v>
      </c>
      <c r="E1344" s="35">
        <v>28</v>
      </c>
      <c r="F1344" s="35">
        <v>22</v>
      </c>
      <c r="G1344" s="35">
        <v>6</v>
      </c>
      <c r="H1344" s="1" t="s">
        <v>2</v>
      </c>
      <c r="I1344" s="1"/>
      <c r="J1344" s="1"/>
      <c r="K1344" s="1"/>
      <c r="AA1344" s="1"/>
    </row>
    <row r="1345" spans="1:27" x14ac:dyDescent="0.25">
      <c r="A1345" t="s">
        <v>85</v>
      </c>
      <c r="B1345" t="str">
        <f t="shared" si="22"/>
        <v>35</v>
      </c>
      <c r="C1345" s="35">
        <v>2015</v>
      </c>
      <c r="D1345" s="35">
        <v>2015</v>
      </c>
      <c r="E1345" s="36">
        <v>1289</v>
      </c>
      <c r="F1345" s="35">
        <v>918</v>
      </c>
      <c r="G1345" s="35">
        <v>371</v>
      </c>
      <c r="H1345" s="1" t="s">
        <v>2</v>
      </c>
      <c r="I1345" s="1"/>
      <c r="J1345" s="1"/>
      <c r="K1345" s="1"/>
      <c r="AA1345" s="1"/>
    </row>
    <row r="1346" spans="1:27" x14ac:dyDescent="0.25">
      <c r="A1346" t="s">
        <v>85</v>
      </c>
      <c r="B1346" t="str">
        <f t="shared" si="22"/>
        <v>35</v>
      </c>
      <c r="C1346" s="35">
        <v>2016</v>
      </c>
      <c r="D1346" s="1" t="s">
        <v>4</v>
      </c>
      <c r="E1346" s="36">
        <v>1380</v>
      </c>
      <c r="F1346" s="36">
        <v>1001</v>
      </c>
      <c r="G1346" s="35">
        <v>379</v>
      </c>
      <c r="H1346" s="1" t="s">
        <v>2</v>
      </c>
      <c r="I1346" s="1"/>
      <c r="J1346" s="1"/>
      <c r="K1346" s="1"/>
      <c r="AA1346" s="1"/>
    </row>
    <row r="1347" spans="1:27" x14ac:dyDescent="0.25">
      <c r="A1347" t="s">
        <v>85</v>
      </c>
      <c r="B1347" t="str">
        <f t="shared" si="22"/>
        <v>35</v>
      </c>
      <c r="C1347" s="35">
        <v>2016</v>
      </c>
      <c r="D1347" s="35">
        <v>2015</v>
      </c>
      <c r="E1347" s="35">
        <v>16</v>
      </c>
      <c r="F1347" s="35">
        <v>12</v>
      </c>
      <c r="G1347" s="35">
        <v>4</v>
      </c>
      <c r="H1347" s="1" t="s">
        <v>2</v>
      </c>
      <c r="I1347" s="1"/>
      <c r="J1347" s="1"/>
      <c r="K1347" s="1"/>
      <c r="AA1347" s="1"/>
    </row>
    <row r="1348" spans="1:27" x14ac:dyDescent="0.25">
      <c r="A1348" t="s">
        <v>85</v>
      </c>
      <c r="B1348" t="str">
        <f t="shared" si="22"/>
        <v>35</v>
      </c>
      <c r="C1348" s="35">
        <v>2016</v>
      </c>
      <c r="D1348" s="35">
        <v>2016</v>
      </c>
      <c r="E1348" s="36">
        <v>1364</v>
      </c>
      <c r="F1348" s="35">
        <v>989</v>
      </c>
      <c r="G1348" s="35">
        <v>375</v>
      </c>
      <c r="H1348" s="1" t="s">
        <v>2</v>
      </c>
      <c r="I1348" s="1"/>
      <c r="J1348" s="1"/>
      <c r="K1348" s="1"/>
      <c r="AA1348" s="1"/>
    </row>
    <row r="1349" spans="1:27" x14ac:dyDescent="0.25">
      <c r="A1349" t="s">
        <v>85</v>
      </c>
      <c r="B1349" t="str">
        <f t="shared" si="22"/>
        <v>35</v>
      </c>
      <c r="C1349" s="35">
        <v>2017</v>
      </c>
      <c r="D1349" s="1" t="s">
        <v>4</v>
      </c>
      <c r="E1349" s="36">
        <v>1301</v>
      </c>
      <c r="F1349" s="35">
        <v>899</v>
      </c>
      <c r="G1349" s="35">
        <v>402</v>
      </c>
      <c r="H1349" s="1" t="s">
        <v>2</v>
      </c>
      <c r="I1349" s="1"/>
      <c r="J1349" s="1"/>
      <c r="K1349" s="1"/>
      <c r="AA1349" s="1"/>
    </row>
    <row r="1350" spans="1:27" x14ac:dyDescent="0.25">
      <c r="A1350" t="s">
        <v>85</v>
      </c>
      <c r="B1350" t="str">
        <f t="shared" si="22"/>
        <v>35</v>
      </c>
      <c r="C1350" s="35">
        <v>2017</v>
      </c>
      <c r="D1350" s="35">
        <v>2016</v>
      </c>
      <c r="E1350" s="35">
        <v>5</v>
      </c>
      <c r="F1350" s="35">
        <v>5</v>
      </c>
      <c r="G1350" s="1" t="s">
        <v>2</v>
      </c>
      <c r="H1350" s="1" t="s">
        <v>2</v>
      </c>
      <c r="I1350" s="1"/>
      <c r="J1350" s="1"/>
      <c r="K1350" s="1"/>
      <c r="AA1350" s="1"/>
    </row>
    <row r="1351" spans="1:27" x14ac:dyDescent="0.25">
      <c r="A1351" t="s">
        <v>85</v>
      </c>
      <c r="B1351" t="str">
        <f t="shared" ref="B1351:B1414" si="23">IF(A1351="Menores de 1 año",0,LEFT(A1351,2))</f>
        <v>35</v>
      </c>
      <c r="C1351" s="35">
        <v>2017</v>
      </c>
      <c r="D1351" s="35">
        <v>2017</v>
      </c>
      <c r="E1351" s="36">
        <v>1296</v>
      </c>
      <c r="F1351" s="35">
        <v>894</v>
      </c>
      <c r="G1351" s="35">
        <v>402</v>
      </c>
      <c r="H1351" s="1" t="s">
        <v>2</v>
      </c>
      <c r="I1351" s="1"/>
      <c r="J1351" s="1"/>
      <c r="K1351" s="1"/>
      <c r="AA1351" s="1"/>
    </row>
    <row r="1352" spans="1:27" x14ac:dyDescent="0.25">
      <c r="A1352" t="s">
        <v>85</v>
      </c>
      <c r="B1352" t="str">
        <f t="shared" si="23"/>
        <v>35</v>
      </c>
      <c r="C1352" s="35">
        <v>2018</v>
      </c>
      <c r="D1352" s="1" t="s">
        <v>4</v>
      </c>
      <c r="E1352" s="36">
        <v>1319</v>
      </c>
      <c r="F1352" s="35">
        <v>954</v>
      </c>
      <c r="G1352" s="35">
        <v>365</v>
      </c>
      <c r="H1352" s="1" t="s">
        <v>2</v>
      </c>
      <c r="I1352" s="1"/>
      <c r="J1352" s="1"/>
      <c r="K1352" s="1"/>
      <c r="AA1352" s="1"/>
    </row>
    <row r="1353" spans="1:27" x14ac:dyDescent="0.25">
      <c r="A1353" t="s">
        <v>85</v>
      </c>
      <c r="B1353" t="str">
        <f t="shared" si="23"/>
        <v>35</v>
      </c>
      <c r="C1353" s="35">
        <v>2018</v>
      </c>
      <c r="D1353" s="35">
        <v>2017</v>
      </c>
      <c r="E1353" s="35">
        <v>5</v>
      </c>
      <c r="F1353" s="35">
        <v>5</v>
      </c>
      <c r="G1353" s="1" t="s">
        <v>2</v>
      </c>
      <c r="H1353" s="1" t="s">
        <v>2</v>
      </c>
      <c r="I1353" s="1"/>
      <c r="J1353" s="1"/>
      <c r="K1353" s="1"/>
      <c r="AA1353" s="1"/>
    </row>
    <row r="1354" spans="1:27" x14ac:dyDescent="0.25">
      <c r="A1354" t="s">
        <v>85</v>
      </c>
      <c r="B1354" t="str">
        <f t="shared" si="23"/>
        <v>35</v>
      </c>
      <c r="C1354" s="35">
        <v>2018</v>
      </c>
      <c r="D1354" s="35">
        <v>2018</v>
      </c>
      <c r="E1354" s="36">
        <v>1314</v>
      </c>
      <c r="F1354" s="35">
        <v>949</v>
      </c>
      <c r="G1354" s="35">
        <v>365</v>
      </c>
      <c r="H1354" s="1" t="s">
        <v>2</v>
      </c>
      <c r="I1354" s="1"/>
      <c r="J1354" s="1"/>
      <c r="K1354" s="1"/>
      <c r="AA1354" s="1"/>
    </row>
    <row r="1355" spans="1:27" x14ac:dyDescent="0.25">
      <c r="A1355" t="s">
        <v>85</v>
      </c>
      <c r="B1355" t="str">
        <f t="shared" si="23"/>
        <v>35</v>
      </c>
      <c r="C1355" s="35">
        <v>2019</v>
      </c>
      <c r="D1355" s="1" t="s">
        <v>4</v>
      </c>
      <c r="E1355" s="36">
        <v>1320</v>
      </c>
      <c r="F1355" s="35">
        <v>965</v>
      </c>
      <c r="G1355" s="35">
        <v>355</v>
      </c>
      <c r="H1355" s="1" t="s">
        <v>2</v>
      </c>
      <c r="I1355" s="1"/>
      <c r="J1355" s="1"/>
      <c r="K1355" s="1"/>
      <c r="AA1355" s="1"/>
    </row>
    <row r="1356" spans="1:27" x14ac:dyDescent="0.25">
      <c r="A1356" t="s">
        <v>85</v>
      </c>
      <c r="B1356" t="str">
        <f t="shared" si="23"/>
        <v>35</v>
      </c>
      <c r="C1356" s="35">
        <v>2019</v>
      </c>
      <c r="D1356" s="35">
        <v>2012</v>
      </c>
      <c r="E1356" s="35">
        <v>1</v>
      </c>
      <c r="F1356" s="35">
        <v>1</v>
      </c>
      <c r="G1356" s="1" t="s">
        <v>2</v>
      </c>
      <c r="H1356" s="1" t="s">
        <v>2</v>
      </c>
      <c r="I1356" s="1"/>
      <c r="J1356" s="1"/>
      <c r="K1356" s="1"/>
      <c r="AA1356" s="1"/>
    </row>
    <row r="1357" spans="1:27" x14ac:dyDescent="0.25">
      <c r="A1357" t="s">
        <v>85</v>
      </c>
      <c r="B1357" t="str">
        <f t="shared" si="23"/>
        <v>35</v>
      </c>
      <c r="C1357" s="35">
        <v>2019</v>
      </c>
      <c r="D1357" s="35">
        <v>2018</v>
      </c>
      <c r="E1357" s="35">
        <v>5</v>
      </c>
      <c r="F1357" s="35">
        <v>2</v>
      </c>
      <c r="G1357" s="35">
        <v>3</v>
      </c>
      <c r="H1357" s="1" t="s">
        <v>2</v>
      </c>
      <c r="I1357" s="1"/>
      <c r="J1357" s="1"/>
      <c r="K1357" s="1"/>
      <c r="AA1357" s="1"/>
    </row>
    <row r="1358" spans="1:27" x14ac:dyDescent="0.25">
      <c r="A1358" t="s">
        <v>85</v>
      </c>
      <c r="B1358" t="str">
        <f t="shared" si="23"/>
        <v>35</v>
      </c>
      <c r="C1358" s="35">
        <v>2019</v>
      </c>
      <c r="D1358" s="35">
        <v>2019</v>
      </c>
      <c r="E1358" s="36">
        <v>1314</v>
      </c>
      <c r="F1358" s="35">
        <v>962</v>
      </c>
      <c r="G1358" s="35">
        <v>352</v>
      </c>
      <c r="H1358" s="1" t="s">
        <v>2</v>
      </c>
      <c r="I1358" s="1"/>
      <c r="J1358" s="1"/>
      <c r="K1358" s="1"/>
      <c r="AA1358" s="1"/>
    </row>
    <row r="1359" spans="1:27" x14ac:dyDescent="0.25">
      <c r="A1359" t="s">
        <v>85</v>
      </c>
      <c r="B1359" t="str">
        <f t="shared" si="23"/>
        <v>35</v>
      </c>
      <c r="C1359" s="35">
        <v>2020</v>
      </c>
      <c r="D1359" s="1" t="s">
        <v>4</v>
      </c>
      <c r="E1359" s="36">
        <v>2283</v>
      </c>
      <c r="F1359" s="36">
        <v>1672</v>
      </c>
      <c r="G1359" s="35">
        <v>611</v>
      </c>
      <c r="H1359" s="1" t="s">
        <v>2</v>
      </c>
      <c r="I1359" s="1"/>
      <c r="J1359" s="1"/>
      <c r="K1359" s="1"/>
      <c r="AA1359" s="1"/>
    </row>
    <row r="1360" spans="1:27" x14ac:dyDescent="0.25">
      <c r="A1360" t="s">
        <v>85</v>
      </c>
      <c r="B1360" t="str">
        <f t="shared" si="23"/>
        <v>35</v>
      </c>
      <c r="C1360" s="35">
        <v>2020</v>
      </c>
      <c r="D1360" s="35">
        <v>2019</v>
      </c>
      <c r="E1360" s="35">
        <v>4</v>
      </c>
      <c r="F1360" s="35">
        <v>2</v>
      </c>
      <c r="G1360" s="35">
        <v>2</v>
      </c>
      <c r="H1360" s="1" t="s">
        <v>2</v>
      </c>
      <c r="I1360" s="1"/>
      <c r="J1360" s="1"/>
      <c r="K1360" s="1"/>
      <c r="AA1360" s="1"/>
    </row>
    <row r="1361" spans="1:27" x14ac:dyDescent="0.25">
      <c r="A1361" t="s">
        <v>85</v>
      </c>
      <c r="B1361" t="str">
        <f t="shared" si="23"/>
        <v>35</v>
      </c>
      <c r="C1361" s="35">
        <v>2020</v>
      </c>
      <c r="D1361" s="35">
        <v>2020</v>
      </c>
      <c r="E1361" s="36">
        <v>2279</v>
      </c>
      <c r="F1361" s="36">
        <v>1670</v>
      </c>
      <c r="G1361" s="35">
        <v>609</v>
      </c>
      <c r="H1361" s="1" t="s">
        <v>2</v>
      </c>
      <c r="I1361" s="1"/>
      <c r="J1361" s="1"/>
      <c r="K1361" s="1"/>
      <c r="AA1361" s="1"/>
    </row>
    <row r="1362" spans="1:27" x14ac:dyDescent="0.25">
      <c r="A1362" t="s">
        <v>85</v>
      </c>
      <c r="B1362" t="str">
        <f t="shared" si="23"/>
        <v>35</v>
      </c>
      <c r="C1362" s="35">
        <v>2021</v>
      </c>
      <c r="D1362" s="1" t="s">
        <v>4</v>
      </c>
      <c r="E1362" s="36">
        <v>2383</v>
      </c>
      <c r="F1362" s="36">
        <v>1742</v>
      </c>
      <c r="G1362" s="35">
        <v>641</v>
      </c>
      <c r="H1362" s="1" t="s">
        <v>2</v>
      </c>
      <c r="I1362" s="1"/>
      <c r="J1362" s="1"/>
      <c r="K1362" s="1"/>
      <c r="AA1362" s="1"/>
    </row>
    <row r="1363" spans="1:27" x14ac:dyDescent="0.25">
      <c r="A1363" t="s">
        <v>85</v>
      </c>
      <c r="B1363" t="str">
        <f t="shared" si="23"/>
        <v>35</v>
      </c>
      <c r="C1363" s="35">
        <v>2021</v>
      </c>
      <c r="D1363" s="35">
        <v>2020</v>
      </c>
      <c r="E1363" s="35">
        <v>11</v>
      </c>
      <c r="F1363" s="35">
        <v>9</v>
      </c>
      <c r="G1363" s="35">
        <v>2</v>
      </c>
      <c r="H1363" s="1" t="s">
        <v>2</v>
      </c>
      <c r="I1363" s="1"/>
      <c r="J1363" s="1"/>
      <c r="K1363" s="1"/>
      <c r="AA1363" s="1"/>
    </row>
    <row r="1364" spans="1:27" x14ac:dyDescent="0.25">
      <c r="A1364" t="s">
        <v>85</v>
      </c>
      <c r="B1364" t="str">
        <f t="shared" si="23"/>
        <v>35</v>
      </c>
      <c r="C1364" s="35">
        <v>2021</v>
      </c>
      <c r="D1364" s="35">
        <v>2021</v>
      </c>
      <c r="E1364" s="36">
        <v>2372</v>
      </c>
      <c r="F1364" s="36">
        <v>1733</v>
      </c>
      <c r="G1364" s="35">
        <v>639</v>
      </c>
      <c r="H1364" s="1" t="s">
        <v>2</v>
      </c>
      <c r="I1364" s="1"/>
      <c r="J1364" s="1"/>
      <c r="K1364" s="1"/>
      <c r="AA1364" s="1"/>
    </row>
    <row r="1365" spans="1:27" x14ac:dyDescent="0.25">
      <c r="A1365" t="s">
        <v>85</v>
      </c>
      <c r="B1365" t="str">
        <f t="shared" si="23"/>
        <v>35</v>
      </c>
      <c r="C1365" s="35">
        <v>2022</v>
      </c>
      <c r="D1365" s="1" t="s">
        <v>4</v>
      </c>
      <c r="E1365" s="36">
        <v>1362</v>
      </c>
      <c r="F1365" s="35">
        <v>953</v>
      </c>
      <c r="G1365" s="35">
        <v>409</v>
      </c>
      <c r="H1365" s="1" t="s">
        <v>2</v>
      </c>
      <c r="I1365" s="1"/>
      <c r="J1365" s="1"/>
      <c r="K1365" s="1"/>
      <c r="AA1365" s="1"/>
    </row>
    <row r="1366" spans="1:27" x14ac:dyDescent="0.25">
      <c r="A1366" t="s">
        <v>85</v>
      </c>
      <c r="B1366" t="str">
        <f t="shared" si="23"/>
        <v>35</v>
      </c>
      <c r="C1366" s="35">
        <v>2022</v>
      </c>
      <c r="D1366" s="35">
        <v>2006</v>
      </c>
      <c r="E1366" s="35">
        <v>2</v>
      </c>
      <c r="F1366" s="35">
        <v>1</v>
      </c>
      <c r="G1366" s="35">
        <v>1</v>
      </c>
      <c r="H1366" s="1" t="s">
        <v>2</v>
      </c>
      <c r="I1366" s="1"/>
      <c r="J1366" s="1"/>
      <c r="K1366" s="1"/>
      <c r="AA1366" s="1"/>
    </row>
    <row r="1367" spans="1:27" x14ac:dyDescent="0.25">
      <c r="A1367" t="s">
        <v>85</v>
      </c>
      <c r="B1367" t="str">
        <f t="shared" si="23"/>
        <v>35</v>
      </c>
      <c r="C1367" s="35">
        <v>2022</v>
      </c>
      <c r="D1367" s="35">
        <v>2008</v>
      </c>
      <c r="E1367" s="35">
        <v>2</v>
      </c>
      <c r="F1367" s="35">
        <v>2</v>
      </c>
      <c r="G1367" s="1" t="s">
        <v>2</v>
      </c>
      <c r="H1367" s="1" t="s">
        <v>2</v>
      </c>
      <c r="I1367" s="1"/>
      <c r="J1367" s="1"/>
      <c r="K1367" s="1"/>
      <c r="AA1367" s="1"/>
    </row>
    <row r="1368" spans="1:27" x14ac:dyDescent="0.25">
      <c r="A1368" t="s">
        <v>85</v>
      </c>
      <c r="B1368" t="str">
        <f t="shared" si="23"/>
        <v>35</v>
      </c>
      <c r="C1368" s="35">
        <v>2022</v>
      </c>
      <c r="D1368" s="35">
        <v>2021</v>
      </c>
      <c r="E1368" s="35">
        <v>3</v>
      </c>
      <c r="F1368" s="35">
        <v>2</v>
      </c>
      <c r="G1368" s="35">
        <v>1</v>
      </c>
      <c r="H1368" s="1" t="s">
        <v>2</v>
      </c>
      <c r="I1368" s="1"/>
      <c r="J1368" s="1"/>
      <c r="K1368" s="1"/>
      <c r="AA1368" s="1"/>
    </row>
    <row r="1369" spans="1:27" x14ac:dyDescent="0.25">
      <c r="A1369" t="s">
        <v>85</v>
      </c>
      <c r="B1369" t="str">
        <f t="shared" si="23"/>
        <v>35</v>
      </c>
      <c r="C1369" s="35">
        <v>2022</v>
      </c>
      <c r="D1369" s="35">
        <v>2022</v>
      </c>
      <c r="E1369" s="36">
        <v>1355</v>
      </c>
      <c r="F1369" s="35">
        <v>948</v>
      </c>
      <c r="G1369" s="35">
        <v>407</v>
      </c>
      <c r="H1369" s="1" t="s">
        <v>2</v>
      </c>
      <c r="I1369" s="1"/>
      <c r="J1369" s="1"/>
      <c r="K1369" s="1"/>
      <c r="AA1369" s="1"/>
    </row>
    <row r="1370" spans="1:27" x14ac:dyDescent="0.25">
      <c r="A1370" t="s">
        <v>85</v>
      </c>
      <c r="B1370" t="str">
        <f t="shared" si="23"/>
        <v>35</v>
      </c>
      <c r="C1370" s="35">
        <v>2023</v>
      </c>
      <c r="D1370" s="1" t="s">
        <v>4</v>
      </c>
      <c r="E1370" s="36">
        <v>1327</v>
      </c>
      <c r="F1370" s="35">
        <v>913</v>
      </c>
      <c r="G1370" s="35">
        <v>414</v>
      </c>
      <c r="H1370" s="1" t="s">
        <v>2</v>
      </c>
      <c r="I1370" s="1"/>
      <c r="J1370" s="1"/>
      <c r="K1370" s="1"/>
      <c r="AA1370" s="1"/>
    </row>
    <row r="1371" spans="1:27" x14ac:dyDescent="0.25">
      <c r="A1371" t="s">
        <v>85</v>
      </c>
      <c r="B1371" t="str">
        <f t="shared" si="23"/>
        <v>35</v>
      </c>
      <c r="C1371" s="35">
        <v>2023</v>
      </c>
      <c r="D1371" s="35">
        <v>2022</v>
      </c>
      <c r="E1371" s="35">
        <v>7</v>
      </c>
      <c r="F1371" s="35">
        <v>6</v>
      </c>
      <c r="G1371" s="35">
        <v>1</v>
      </c>
      <c r="H1371" s="1" t="s">
        <v>2</v>
      </c>
      <c r="I1371" s="1"/>
      <c r="J1371" s="1"/>
      <c r="K1371" s="1"/>
      <c r="AA1371" s="1"/>
    </row>
    <row r="1372" spans="1:27" x14ac:dyDescent="0.25">
      <c r="A1372" t="s">
        <v>85</v>
      </c>
      <c r="B1372" t="str">
        <f t="shared" si="23"/>
        <v>35</v>
      </c>
      <c r="C1372" s="35">
        <v>2023</v>
      </c>
      <c r="D1372" s="35">
        <v>2023</v>
      </c>
      <c r="E1372" s="36">
        <v>1320</v>
      </c>
      <c r="F1372" s="35">
        <v>907</v>
      </c>
      <c r="G1372" s="35">
        <v>413</v>
      </c>
      <c r="H1372" s="1" t="s">
        <v>2</v>
      </c>
      <c r="I1372" s="1"/>
      <c r="J1372" s="1"/>
      <c r="K1372" s="1"/>
      <c r="AA1372" s="1"/>
    </row>
    <row r="1373" spans="1:27" x14ac:dyDescent="0.25">
      <c r="A1373" t="s">
        <v>85</v>
      </c>
      <c r="B1373" t="str">
        <f t="shared" si="23"/>
        <v>35</v>
      </c>
      <c r="C1373" s="35">
        <v>2024</v>
      </c>
      <c r="D1373" s="1" t="s">
        <v>4</v>
      </c>
      <c r="E1373" s="36">
        <v>1338</v>
      </c>
      <c r="F1373" s="35">
        <v>952</v>
      </c>
      <c r="G1373" s="35">
        <v>386</v>
      </c>
      <c r="H1373" s="1" t="s">
        <v>2</v>
      </c>
      <c r="I1373" s="1"/>
      <c r="J1373" s="1"/>
      <c r="K1373" s="1"/>
      <c r="AA1373" s="1"/>
    </row>
    <row r="1374" spans="1:27" x14ac:dyDescent="0.25">
      <c r="A1374" t="s">
        <v>85</v>
      </c>
      <c r="B1374" t="str">
        <f t="shared" si="23"/>
        <v>35</v>
      </c>
      <c r="C1374" s="35">
        <v>2024</v>
      </c>
      <c r="D1374" s="35">
        <v>2021</v>
      </c>
      <c r="E1374" s="35">
        <v>1</v>
      </c>
      <c r="F1374" s="35">
        <v>1</v>
      </c>
      <c r="G1374" s="1" t="s">
        <v>2</v>
      </c>
      <c r="H1374" s="1" t="s">
        <v>2</v>
      </c>
      <c r="I1374" s="1"/>
      <c r="J1374" s="1"/>
      <c r="K1374" s="1"/>
      <c r="AA1374" s="1"/>
    </row>
    <row r="1375" spans="1:27" x14ac:dyDescent="0.25">
      <c r="A1375" t="s">
        <v>85</v>
      </c>
      <c r="B1375" t="str">
        <f t="shared" si="23"/>
        <v>35</v>
      </c>
      <c r="C1375" s="35">
        <v>2024</v>
      </c>
      <c r="D1375" s="35">
        <v>2023</v>
      </c>
      <c r="E1375" s="35">
        <v>6</v>
      </c>
      <c r="F1375" s="35">
        <v>6</v>
      </c>
      <c r="G1375" s="1" t="s">
        <v>2</v>
      </c>
      <c r="H1375" s="1" t="s">
        <v>2</v>
      </c>
      <c r="I1375" s="1"/>
      <c r="J1375" s="1"/>
      <c r="K1375" s="1"/>
      <c r="AA1375" s="1"/>
    </row>
    <row r="1376" spans="1:27" x14ac:dyDescent="0.25">
      <c r="A1376" t="s">
        <v>85</v>
      </c>
      <c r="B1376" t="str">
        <f t="shared" si="23"/>
        <v>35</v>
      </c>
      <c r="C1376" s="35">
        <v>2024</v>
      </c>
      <c r="D1376" s="35">
        <v>2024</v>
      </c>
      <c r="E1376" s="36">
        <v>1331</v>
      </c>
      <c r="F1376" s="35">
        <v>945</v>
      </c>
      <c r="G1376" s="35">
        <v>386</v>
      </c>
      <c r="H1376" s="1" t="s">
        <v>2</v>
      </c>
      <c r="I1376" s="1"/>
      <c r="J1376" s="1"/>
      <c r="K1376" s="1"/>
      <c r="AA1376" s="1"/>
    </row>
    <row r="1377" spans="1:27" x14ac:dyDescent="0.25">
      <c r="A1377" t="s">
        <v>86</v>
      </c>
      <c r="B1377" t="str">
        <f t="shared" si="23"/>
        <v>40</v>
      </c>
      <c r="C1377" s="35">
        <v>1990</v>
      </c>
      <c r="D1377" s="1" t="s">
        <v>4</v>
      </c>
      <c r="E1377" s="36">
        <v>1436</v>
      </c>
      <c r="F1377" s="35">
        <v>944</v>
      </c>
      <c r="G1377" s="35">
        <v>492</v>
      </c>
      <c r="H1377" s="1" t="s">
        <v>2</v>
      </c>
      <c r="I1377" s="1"/>
      <c r="J1377" s="1"/>
      <c r="K1377" s="1"/>
      <c r="AA1377" s="1"/>
    </row>
    <row r="1378" spans="1:27" x14ac:dyDescent="0.25">
      <c r="A1378" t="s">
        <v>86</v>
      </c>
      <c r="B1378" t="str">
        <f t="shared" si="23"/>
        <v>40</v>
      </c>
      <c r="C1378" s="35">
        <v>1990</v>
      </c>
      <c r="D1378" s="35">
        <v>1990</v>
      </c>
      <c r="E1378" s="36">
        <v>1427</v>
      </c>
      <c r="F1378" s="35">
        <v>936</v>
      </c>
      <c r="G1378" s="35">
        <v>491</v>
      </c>
      <c r="H1378" s="1" t="s">
        <v>2</v>
      </c>
      <c r="I1378" s="1"/>
      <c r="J1378" s="1"/>
      <c r="K1378" s="1"/>
      <c r="AA1378" s="1"/>
    </row>
    <row r="1379" spans="1:27" x14ac:dyDescent="0.25">
      <c r="A1379" t="s">
        <v>86</v>
      </c>
      <c r="B1379" t="str">
        <f t="shared" si="23"/>
        <v>40</v>
      </c>
      <c r="C1379" s="35">
        <v>1990</v>
      </c>
      <c r="D1379" s="1" t="s">
        <v>24</v>
      </c>
      <c r="E1379" s="35">
        <v>9</v>
      </c>
      <c r="F1379" s="35">
        <v>8</v>
      </c>
      <c r="G1379" s="35">
        <v>1</v>
      </c>
      <c r="H1379" s="1" t="s">
        <v>2</v>
      </c>
      <c r="I1379" s="1"/>
      <c r="J1379" s="1"/>
      <c r="K1379" s="1"/>
      <c r="AA1379" s="1"/>
    </row>
    <row r="1380" spans="1:27" x14ac:dyDescent="0.25">
      <c r="A1380" t="s">
        <v>86</v>
      </c>
      <c r="B1380" t="str">
        <f t="shared" si="23"/>
        <v>40</v>
      </c>
      <c r="C1380" s="35">
        <v>1991</v>
      </c>
      <c r="D1380" s="1" t="s">
        <v>4</v>
      </c>
      <c r="E1380" s="36">
        <v>1538</v>
      </c>
      <c r="F1380" s="36">
        <v>1036</v>
      </c>
      <c r="G1380" s="35">
        <v>502</v>
      </c>
      <c r="H1380" s="1" t="s">
        <v>2</v>
      </c>
      <c r="I1380" s="1"/>
      <c r="J1380" s="1"/>
      <c r="K1380" s="1"/>
      <c r="AA1380" s="1"/>
    </row>
    <row r="1381" spans="1:27" x14ac:dyDescent="0.25">
      <c r="A1381" t="s">
        <v>86</v>
      </c>
      <c r="B1381" t="str">
        <f t="shared" si="23"/>
        <v>40</v>
      </c>
      <c r="C1381" s="35">
        <v>1991</v>
      </c>
      <c r="D1381" s="35">
        <v>1991</v>
      </c>
      <c r="E1381" s="36">
        <v>1527</v>
      </c>
      <c r="F1381" s="36">
        <v>1029</v>
      </c>
      <c r="G1381" s="35">
        <v>498</v>
      </c>
      <c r="H1381" s="1" t="s">
        <v>2</v>
      </c>
      <c r="I1381" s="1"/>
      <c r="J1381" s="1"/>
      <c r="K1381" s="1"/>
      <c r="AA1381" s="1"/>
    </row>
    <row r="1382" spans="1:27" x14ac:dyDescent="0.25">
      <c r="A1382" t="s">
        <v>86</v>
      </c>
      <c r="B1382" t="str">
        <f t="shared" si="23"/>
        <v>40</v>
      </c>
      <c r="C1382" s="35">
        <v>1991</v>
      </c>
      <c r="D1382" s="1" t="s">
        <v>24</v>
      </c>
      <c r="E1382" s="35">
        <v>11</v>
      </c>
      <c r="F1382" s="35">
        <v>7</v>
      </c>
      <c r="G1382" s="35">
        <v>4</v>
      </c>
      <c r="H1382" s="1" t="s">
        <v>2</v>
      </c>
      <c r="I1382" s="1"/>
      <c r="J1382" s="1"/>
      <c r="K1382" s="1"/>
      <c r="AA1382" s="1"/>
    </row>
    <row r="1383" spans="1:27" x14ac:dyDescent="0.25">
      <c r="A1383" t="s">
        <v>86</v>
      </c>
      <c r="B1383" t="str">
        <f t="shared" si="23"/>
        <v>40</v>
      </c>
      <c r="C1383" s="35">
        <v>1992</v>
      </c>
      <c r="D1383" s="1" t="s">
        <v>4</v>
      </c>
      <c r="E1383" s="36">
        <v>1584</v>
      </c>
      <c r="F1383" s="36">
        <v>1030</v>
      </c>
      <c r="G1383" s="35">
        <v>554</v>
      </c>
      <c r="H1383" s="1" t="s">
        <v>2</v>
      </c>
      <c r="I1383" s="1"/>
      <c r="J1383" s="1"/>
      <c r="K1383" s="1"/>
      <c r="AA1383" s="1"/>
    </row>
    <row r="1384" spans="1:27" x14ac:dyDescent="0.25">
      <c r="A1384" t="s">
        <v>86</v>
      </c>
      <c r="B1384" t="str">
        <f t="shared" si="23"/>
        <v>40</v>
      </c>
      <c r="C1384" s="35">
        <v>1992</v>
      </c>
      <c r="D1384" s="35">
        <v>1992</v>
      </c>
      <c r="E1384" s="36">
        <v>1576</v>
      </c>
      <c r="F1384" s="36">
        <v>1025</v>
      </c>
      <c r="G1384" s="35">
        <v>551</v>
      </c>
      <c r="H1384" s="1" t="s">
        <v>2</v>
      </c>
      <c r="I1384" s="1"/>
      <c r="J1384" s="1"/>
      <c r="K1384" s="1"/>
      <c r="AA1384" s="1"/>
    </row>
    <row r="1385" spans="1:27" x14ac:dyDescent="0.25">
      <c r="A1385" t="s">
        <v>86</v>
      </c>
      <c r="B1385" t="str">
        <f t="shared" si="23"/>
        <v>40</v>
      </c>
      <c r="C1385" s="35">
        <v>1992</v>
      </c>
      <c r="D1385" s="1" t="s">
        <v>24</v>
      </c>
      <c r="E1385" s="35">
        <v>8</v>
      </c>
      <c r="F1385" s="35">
        <v>5</v>
      </c>
      <c r="G1385" s="35">
        <v>3</v>
      </c>
      <c r="H1385" s="1" t="s">
        <v>2</v>
      </c>
      <c r="I1385" s="1"/>
      <c r="J1385" s="1"/>
      <c r="K1385" s="1"/>
      <c r="AA1385" s="1"/>
    </row>
    <row r="1386" spans="1:27" x14ac:dyDescent="0.25">
      <c r="A1386" t="s">
        <v>86</v>
      </c>
      <c r="B1386" t="str">
        <f t="shared" si="23"/>
        <v>40</v>
      </c>
      <c r="C1386" s="35">
        <v>1993</v>
      </c>
      <c r="D1386" s="1" t="s">
        <v>4</v>
      </c>
      <c r="E1386" s="36">
        <v>1533</v>
      </c>
      <c r="F1386" s="36">
        <v>1048</v>
      </c>
      <c r="G1386" s="35">
        <v>484</v>
      </c>
      <c r="H1386" s="35">
        <v>1</v>
      </c>
      <c r="I1386" s="1"/>
      <c r="J1386" s="1"/>
      <c r="K1386" s="1"/>
      <c r="AA1386" s="1"/>
    </row>
    <row r="1387" spans="1:27" x14ac:dyDescent="0.25">
      <c r="A1387" t="s">
        <v>86</v>
      </c>
      <c r="B1387" t="str">
        <f t="shared" si="23"/>
        <v>40</v>
      </c>
      <c r="C1387" s="35">
        <v>1993</v>
      </c>
      <c r="D1387" s="35">
        <v>1983</v>
      </c>
      <c r="E1387" s="35">
        <v>1</v>
      </c>
      <c r="F1387" s="1" t="s">
        <v>2</v>
      </c>
      <c r="G1387" s="35">
        <v>1</v>
      </c>
      <c r="H1387" s="1" t="s">
        <v>2</v>
      </c>
      <c r="I1387" s="1"/>
      <c r="J1387" s="1"/>
      <c r="K1387" s="1"/>
      <c r="AA1387" s="1"/>
    </row>
    <row r="1388" spans="1:27" x14ac:dyDescent="0.25">
      <c r="A1388" t="s">
        <v>86</v>
      </c>
      <c r="B1388" t="str">
        <f t="shared" si="23"/>
        <v>40</v>
      </c>
      <c r="C1388" s="35">
        <v>1993</v>
      </c>
      <c r="D1388" s="35">
        <v>1992</v>
      </c>
      <c r="E1388" s="35">
        <v>8</v>
      </c>
      <c r="F1388" s="35">
        <v>7</v>
      </c>
      <c r="G1388" s="35">
        <v>1</v>
      </c>
      <c r="H1388" s="1" t="s">
        <v>2</v>
      </c>
      <c r="I1388" s="1"/>
      <c r="J1388" s="1"/>
      <c r="K1388" s="1"/>
      <c r="AA1388" s="1"/>
    </row>
    <row r="1389" spans="1:27" x14ac:dyDescent="0.25">
      <c r="A1389" t="s">
        <v>86</v>
      </c>
      <c r="B1389" t="str">
        <f t="shared" si="23"/>
        <v>40</v>
      </c>
      <c r="C1389" s="35">
        <v>1993</v>
      </c>
      <c r="D1389" s="35">
        <v>1993</v>
      </c>
      <c r="E1389" s="36">
        <v>1517</v>
      </c>
      <c r="F1389" s="36">
        <v>1035</v>
      </c>
      <c r="G1389" s="35">
        <v>481</v>
      </c>
      <c r="H1389" s="35">
        <v>1</v>
      </c>
      <c r="I1389" s="1"/>
      <c r="J1389" s="1"/>
      <c r="K1389" s="1"/>
      <c r="AA1389" s="1"/>
    </row>
    <row r="1390" spans="1:27" x14ac:dyDescent="0.25">
      <c r="A1390" t="s">
        <v>86</v>
      </c>
      <c r="B1390" t="str">
        <f t="shared" si="23"/>
        <v>40</v>
      </c>
      <c r="C1390" s="35">
        <v>1993</v>
      </c>
      <c r="D1390" s="1" t="s">
        <v>24</v>
      </c>
      <c r="E1390" s="35">
        <v>7</v>
      </c>
      <c r="F1390" s="35">
        <v>6</v>
      </c>
      <c r="G1390" s="35">
        <v>1</v>
      </c>
      <c r="H1390" s="1" t="s">
        <v>2</v>
      </c>
      <c r="I1390" s="1"/>
      <c r="J1390" s="1"/>
      <c r="K1390" s="1"/>
      <c r="AA1390" s="1"/>
    </row>
    <row r="1391" spans="1:27" x14ac:dyDescent="0.25">
      <c r="A1391" t="s">
        <v>86</v>
      </c>
      <c r="B1391" t="str">
        <f t="shared" si="23"/>
        <v>40</v>
      </c>
      <c r="C1391" s="35">
        <v>1994</v>
      </c>
      <c r="D1391" s="1" t="s">
        <v>4</v>
      </c>
      <c r="E1391" s="36">
        <v>1579</v>
      </c>
      <c r="F1391" s="36">
        <v>1065</v>
      </c>
      <c r="G1391" s="35">
        <v>514</v>
      </c>
      <c r="H1391" s="1" t="s">
        <v>2</v>
      </c>
      <c r="I1391" s="1"/>
      <c r="J1391" s="1"/>
      <c r="K1391" s="1"/>
      <c r="AA1391" s="1"/>
    </row>
    <row r="1392" spans="1:27" x14ac:dyDescent="0.25">
      <c r="A1392" t="s">
        <v>86</v>
      </c>
      <c r="B1392" t="str">
        <f t="shared" si="23"/>
        <v>40</v>
      </c>
      <c r="C1392" s="35">
        <v>1994</v>
      </c>
      <c r="D1392" s="35">
        <v>1992</v>
      </c>
      <c r="E1392" s="35">
        <v>1</v>
      </c>
      <c r="F1392" s="1" t="s">
        <v>2</v>
      </c>
      <c r="G1392" s="35">
        <v>1</v>
      </c>
      <c r="H1392" s="1" t="s">
        <v>2</v>
      </c>
      <c r="I1392" s="1"/>
      <c r="J1392" s="1"/>
      <c r="K1392" s="1"/>
      <c r="AA1392" s="1"/>
    </row>
    <row r="1393" spans="1:27" x14ac:dyDescent="0.25">
      <c r="A1393" t="s">
        <v>86</v>
      </c>
      <c r="B1393" t="str">
        <f t="shared" si="23"/>
        <v>40</v>
      </c>
      <c r="C1393" s="35">
        <v>1994</v>
      </c>
      <c r="D1393" s="35">
        <v>1993</v>
      </c>
      <c r="E1393" s="35">
        <v>7</v>
      </c>
      <c r="F1393" s="35">
        <v>3</v>
      </c>
      <c r="G1393" s="35">
        <v>4</v>
      </c>
      <c r="H1393" s="1" t="s">
        <v>2</v>
      </c>
      <c r="I1393" s="1"/>
      <c r="J1393" s="1"/>
      <c r="K1393" s="1"/>
      <c r="AA1393" s="1"/>
    </row>
    <row r="1394" spans="1:27" x14ac:dyDescent="0.25">
      <c r="A1394" t="s">
        <v>86</v>
      </c>
      <c r="B1394" t="str">
        <f t="shared" si="23"/>
        <v>40</v>
      </c>
      <c r="C1394" s="35">
        <v>1994</v>
      </c>
      <c r="D1394" s="35">
        <v>1994</v>
      </c>
      <c r="E1394" s="36">
        <v>1571</v>
      </c>
      <c r="F1394" s="36">
        <v>1062</v>
      </c>
      <c r="G1394" s="35">
        <v>509</v>
      </c>
      <c r="H1394" s="1" t="s">
        <v>2</v>
      </c>
      <c r="I1394" s="1"/>
      <c r="J1394" s="1"/>
      <c r="K1394" s="1"/>
      <c r="AA1394" s="1"/>
    </row>
    <row r="1395" spans="1:27" x14ac:dyDescent="0.25">
      <c r="A1395" t="s">
        <v>86</v>
      </c>
      <c r="B1395" t="str">
        <f t="shared" si="23"/>
        <v>40</v>
      </c>
      <c r="C1395" s="35">
        <v>1995</v>
      </c>
      <c r="D1395" s="1" t="s">
        <v>4</v>
      </c>
      <c r="E1395" s="36">
        <v>1678</v>
      </c>
      <c r="F1395" s="36">
        <v>1162</v>
      </c>
      <c r="G1395" s="35">
        <v>516</v>
      </c>
      <c r="H1395" s="1" t="s">
        <v>2</v>
      </c>
      <c r="I1395" s="1"/>
      <c r="J1395" s="1"/>
      <c r="K1395" s="1"/>
      <c r="AA1395" s="1"/>
    </row>
    <row r="1396" spans="1:27" x14ac:dyDescent="0.25">
      <c r="A1396" t="s">
        <v>86</v>
      </c>
      <c r="B1396" t="str">
        <f t="shared" si="23"/>
        <v>40</v>
      </c>
      <c r="C1396" s="35">
        <v>1995</v>
      </c>
      <c r="D1396" s="35">
        <v>1991</v>
      </c>
      <c r="E1396" s="35">
        <v>1</v>
      </c>
      <c r="F1396" s="35">
        <v>1</v>
      </c>
      <c r="G1396" s="1" t="s">
        <v>2</v>
      </c>
      <c r="H1396" s="1" t="s">
        <v>2</v>
      </c>
      <c r="I1396" s="1"/>
      <c r="J1396" s="1"/>
      <c r="K1396" s="1"/>
      <c r="AA1396" s="1"/>
    </row>
    <row r="1397" spans="1:27" x14ac:dyDescent="0.25">
      <c r="A1397" t="s">
        <v>86</v>
      </c>
      <c r="B1397" t="str">
        <f t="shared" si="23"/>
        <v>40</v>
      </c>
      <c r="C1397" s="35">
        <v>1995</v>
      </c>
      <c r="D1397" s="35">
        <v>1993</v>
      </c>
      <c r="E1397" s="35">
        <v>1</v>
      </c>
      <c r="F1397" s="35">
        <v>1</v>
      </c>
      <c r="G1397" s="1" t="s">
        <v>2</v>
      </c>
      <c r="H1397" s="1" t="s">
        <v>2</v>
      </c>
      <c r="I1397" s="1"/>
      <c r="J1397" s="1"/>
      <c r="K1397" s="1"/>
      <c r="AA1397" s="1"/>
    </row>
    <row r="1398" spans="1:27" x14ac:dyDescent="0.25">
      <c r="A1398" t="s">
        <v>86</v>
      </c>
      <c r="B1398" t="str">
        <f t="shared" si="23"/>
        <v>40</v>
      </c>
      <c r="C1398" s="35">
        <v>1995</v>
      </c>
      <c r="D1398" s="35">
        <v>1994</v>
      </c>
      <c r="E1398" s="35">
        <v>5</v>
      </c>
      <c r="F1398" s="35">
        <v>5</v>
      </c>
      <c r="G1398" s="1" t="s">
        <v>2</v>
      </c>
      <c r="H1398" s="1" t="s">
        <v>2</v>
      </c>
      <c r="I1398" s="1"/>
      <c r="J1398" s="1"/>
      <c r="K1398" s="1"/>
      <c r="AA1398" s="1"/>
    </row>
    <row r="1399" spans="1:27" x14ac:dyDescent="0.25">
      <c r="A1399" t="s">
        <v>86</v>
      </c>
      <c r="B1399" t="str">
        <f t="shared" si="23"/>
        <v>40</v>
      </c>
      <c r="C1399" s="35">
        <v>1995</v>
      </c>
      <c r="D1399" s="35">
        <v>1995</v>
      </c>
      <c r="E1399" s="36">
        <v>1671</v>
      </c>
      <c r="F1399" s="36">
        <v>1155</v>
      </c>
      <c r="G1399" s="35">
        <v>516</v>
      </c>
      <c r="H1399" s="1" t="s">
        <v>2</v>
      </c>
      <c r="I1399" s="1"/>
      <c r="J1399" s="1"/>
      <c r="K1399" s="1"/>
      <c r="AA1399" s="1"/>
    </row>
    <row r="1400" spans="1:27" x14ac:dyDescent="0.25">
      <c r="A1400" t="s">
        <v>86</v>
      </c>
      <c r="B1400" t="str">
        <f t="shared" si="23"/>
        <v>40</v>
      </c>
      <c r="C1400" s="35">
        <v>1996</v>
      </c>
      <c r="D1400" s="1" t="s">
        <v>4</v>
      </c>
      <c r="E1400" s="36">
        <v>1580</v>
      </c>
      <c r="F1400" s="36">
        <v>1053</v>
      </c>
      <c r="G1400" s="35">
        <v>527</v>
      </c>
      <c r="H1400" s="1" t="s">
        <v>2</v>
      </c>
      <c r="I1400" s="1"/>
      <c r="J1400" s="1"/>
      <c r="K1400" s="1"/>
      <c r="AA1400" s="1"/>
    </row>
    <row r="1401" spans="1:27" x14ac:dyDescent="0.25">
      <c r="A1401" t="s">
        <v>86</v>
      </c>
      <c r="B1401" t="str">
        <f t="shared" si="23"/>
        <v>40</v>
      </c>
      <c r="C1401" s="35">
        <v>1996</v>
      </c>
      <c r="D1401" s="35">
        <v>1993</v>
      </c>
      <c r="E1401" s="35">
        <v>1</v>
      </c>
      <c r="F1401" s="35">
        <v>1</v>
      </c>
      <c r="G1401" s="1" t="s">
        <v>2</v>
      </c>
      <c r="H1401" s="1" t="s">
        <v>2</v>
      </c>
      <c r="I1401" s="1"/>
      <c r="J1401" s="1"/>
      <c r="K1401" s="1"/>
      <c r="AA1401" s="1"/>
    </row>
    <row r="1402" spans="1:27" x14ac:dyDescent="0.25">
      <c r="A1402" t="s">
        <v>86</v>
      </c>
      <c r="B1402" t="str">
        <f t="shared" si="23"/>
        <v>40</v>
      </c>
      <c r="C1402" s="35">
        <v>1996</v>
      </c>
      <c r="D1402" s="35">
        <v>1995</v>
      </c>
      <c r="E1402" s="35">
        <v>14</v>
      </c>
      <c r="F1402" s="35">
        <v>12</v>
      </c>
      <c r="G1402" s="35">
        <v>2</v>
      </c>
      <c r="H1402" s="1" t="s">
        <v>2</v>
      </c>
      <c r="I1402" s="1"/>
      <c r="J1402" s="1"/>
      <c r="K1402" s="1"/>
      <c r="AA1402" s="1"/>
    </row>
    <row r="1403" spans="1:27" x14ac:dyDescent="0.25">
      <c r="A1403" t="s">
        <v>86</v>
      </c>
      <c r="B1403" t="str">
        <f t="shared" si="23"/>
        <v>40</v>
      </c>
      <c r="C1403" s="35">
        <v>1996</v>
      </c>
      <c r="D1403" s="35">
        <v>1996</v>
      </c>
      <c r="E1403" s="36">
        <v>1565</v>
      </c>
      <c r="F1403" s="36">
        <v>1040</v>
      </c>
      <c r="G1403" s="35">
        <v>525</v>
      </c>
      <c r="H1403" s="1" t="s">
        <v>2</v>
      </c>
      <c r="I1403" s="1"/>
      <c r="J1403" s="1"/>
      <c r="K1403" s="1"/>
      <c r="AA1403" s="1"/>
    </row>
    <row r="1404" spans="1:27" x14ac:dyDescent="0.25">
      <c r="A1404" t="s">
        <v>86</v>
      </c>
      <c r="B1404" t="str">
        <f t="shared" si="23"/>
        <v>40</v>
      </c>
      <c r="C1404" s="35">
        <v>1997</v>
      </c>
      <c r="D1404" s="1" t="s">
        <v>4</v>
      </c>
      <c r="E1404" s="36">
        <v>1634</v>
      </c>
      <c r="F1404" s="36">
        <v>1108</v>
      </c>
      <c r="G1404" s="35">
        <v>525</v>
      </c>
      <c r="H1404" s="35">
        <v>1</v>
      </c>
      <c r="I1404" s="1"/>
      <c r="J1404" s="1"/>
      <c r="K1404" s="1"/>
      <c r="AA1404" s="1"/>
    </row>
    <row r="1405" spans="1:27" x14ac:dyDescent="0.25">
      <c r="A1405" t="s">
        <v>86</v>
      </c>
      <c r="B1405" t="str">
        <f t="shared" si="23"/>
        <v>40</v>
      </c>
      <c r="C1405" s="35">
        <v>1997</v>
      </c>
      <c r="D1405" s="35">
        <v>1907</v>
      </c>
      <c r="E1405" s="35">
        <v>1</v>
      </c>
      <c r="F1405" s="35">
        <v>1</v>
      </c>
      <c r="G1405" s="1" t="s">
        <v>2</v>
      </c>
      <c r="H1405" s="1" t="s">
        <v>2</v>
      </c>
      <c r="I1405" s="1"/>
      <c r="J1405" s="1"/>
      <c r="K1405" s="1"/>
      <c r="AA1405" s="1"/>
    </row>
    <row r="1406" spans="1:27" x14ac:dyDescent="0.25">
      <c r="A1406" t="s">
        <v>86</v>
      </c>
      <c r="B1406" t="str">
        <f t="shared" si="23"/>
        <v>40</v>
      </c>
      <c r="C1406" s="35">
        <v>1997</v>
      </c>
      <c r="D1406" s="35">
        <v>1996</v>
      </c>
      <c r="E1406" s="35">
        <v>6</v>
      </c>
      <c r="F1406" s="35">
        <v>2</v>
      </c>
      <c r="G1406" s="35">
        <v>4</v>
      </c>
      <c r="H1406" s="1" t="s">
        <v>2</v>
      </c>
      <c r="I1406" s="1"/>
      <c r="J1406" s="1"/>
      <c r="K1406" s="1"/>
      <c r="AA1406" s="1"/>
    </row>
    <row r="1407" spans="1:27" x14ac:dyDescent="0.25">
      <c r="A1407" t="s">
        <v>86</v>
      </c>
      <c r="B1407" t="str">
        <f t="shared" si="23"/>
        <v>40</v>
      </c>
      <c r="C1407" s="35">
        <v>1997</v>
      </c>
      <c r="D1407" s="35">
        <v>1997</v>
      </c>
      <c r="E1407" s="36">
        <v>1627</v>
      </c>
      <c r="F1407" s="36">
        <v>1105</v>
      </c>
      <c r="G1407" s="35">
        <v>521</v>
      </c>
      <c r="H1407" s="35">
        <v>1</v>
      </c>
      <c r="I1407" s="1"/>
      <c r="J1407" s="1"/>
      <c r="K1407" s="1"/>
      <c r="AA1407" s="1"/>
    </row>
    <row r="1408" spans="1:27" x14ac:dyDescent="0.25">
      <c r="A1408" t="s">
        <v>86</v>
      </c>
      <c r="B1408" t="str">
        <f t="shared" si="23"/>
        <v>40</v>
      </c>
      <c r="C1408" s="35">
        <v>1998</v>
      </c>
      <c r="D1408" s="1" t="s">
        <v>4</v>
      </c>
      <c r="E1408" s="36">
        <v>1604</v>
      </c>
      <c r="F1408" s="36">
        <v>1067</v>
      </c>
      <c r="G1408" s="35">
        <v>537</v>
      </c>
      <c r="H1408" s="1" t="s">
        <v>2</v>
      </c>
      <c r="I1408" s="1"/>
      <c r="J1408" s="1"/>
      <c r="K1408" s="1"/>
      <c r="AA1408" s="1"/>
    </row>
    <row r="1409" spans="1:27" x14ac:dyDescent="0.25">
      <c r="A1409" t="s">
        <v>86</v>
      </c>
      <c r="B1409" t="str">
        <f t="shared" si="23"/>
        <v>40</v>
      </c>
      <c r="C1409" s="35">
        <v>1998</v>
      </c>
      <c r="D1409" s="35">
        <v>1958</v>
      </c>
      <c r="E1409" s="35">
        <v>3</v>
      </c>
      <c r="F1409" s="35">
        <v>1</v>
      </c>
      <c r="G1409" s="35">
        <v>2</v>
      </c>
      <c r="H1409" s="1" t="s">
        <v>2</v>
      </c>
      <c r="I1409" s="1"/>
      <c r="J1409" s="1"/>
      <c r="K1409" s="1"/>
      <c r="AA1409" s="1"/>
    </row>
    <row r="1410" spans="1:27" x14ac:dyDescent="0.25">
      <c r="A1410" t="s">
        <v>86</v>
      </c>
      <c r="B1410" t="str">
        <f t="shared" si="23"/>
        <v>40</v>
      </c>
      <c r="C1410" s="35">
        <v>1998</v>
      </c>
      <c r="D1410" s="35">
        <v>1982</v>
      </c>
      <c r="E1410" s="35">
        <v>1</v>
      </c>
      <c r="F1410" s="1" t="s">
        <v>2</v>
      </c>
      <c r="G1410" s="35">
        <v>1</v>
      </c>
      <c r="H1410" s="1" t="s">
        <v>2</v>
      </c>
      <c r="I1410" s="1"/>
      <c r="J1410" s="1"/>
      <c r="K1410" s="1"/>
      <c r="AA1410" s="1"/>
    </row>
    <row r="1411" spans="1:27" x14ac:dyDescent="0.25">
      <c r="A1411" t="s">
        <v>86</v>
      </c>
      <c r="B1411" t="str">
        <f t="shared" si="23"/>
        <v>40</v>
      </c>
      <c r="C1411" s="35">
        <v>1998</v>
      </c>
      <c r="D1411" s="35">
        <v>1997</v>
      </c>
      <c r="E1411" s="35">
        <v>12</v>
      </c>
      <c r="F1411" s="35">
        <v>10</v>
      </c>
      <c r="G1411" s="35">
        <v>2</v>
      </c>
      <c r="H1411" s="1" t="s">
        <v>2</v>
      </c>
      <c r="I1411" s="1"/>
      <c r="J1411" s="1"/>
      <c r="K1411" s="1"/>
      <c r="AA1411" s="1"/>
    </row>
    <row r="1412" spans="1:27" x14ac:dyDescent="0.25">
      <c r="A1412" t="s">
        <v>86</v>
      </c>
      <c r="B1412" t="str">
        <f t="shared" si="23"/>
        <v>40</v>
      </c>
      <c r="C1412" s="35">
        <v>1998</v>
      </c>
      <c r="D1412" s="35">
        <v>1998</v>
      </c>
      <c r="E1412" s="36">
        <v>1588</v>
      </c>
      <c r="F1412" s="36">
        <v>1056</v>
      </c>
      <c r="G1412" s="35">
        <v>532</v>
      </c>
      <c r="H1412" s="1" t="s">
        <v>2</v>
      </c>
      <c r="I1412" s="1"/>
      <c r="J1412" s="1"/>
      <c r="K1412" s="1"/>
      <c r="AA1412" s="1"/>
    </row>
    <row r="1413" spans="1:27" x14ac:dyDescent="0.25">
      <c r="A1413" t="s">
        <v>86</v>
      </c>
      <c r="B1413" t="str">
        <f t="shared" si="23"/>
        <v>40</v>
      </c>
      <c r="C1413" s="35">
        <v>1999</v>
      </c>
      <c r="D1413" s="1" t="s">
        <v>4</v>
      </c>
      <c r="E1413" s="36">
        <v>1544</v>
      </c>
      <c r="F1413" s="36">
        <v>1007</v>
      </c>
      <c r="G1413" s="35">
        <v>537</v>
      </c>
      <c r="H1413" s="1" t="s">
        <v>2</v>
      </c>
      <c r="I1413" s="1"/>
      <c r="J1413" s="1"/>
      <c r="K1413" s="1"/>
      <c r="AA1413" s="1"/>
    </row>
    <row r="1414" spans="1:27" x14ac:dyDescent="0.25">
      <c r="A1414" t="s">
        <v>86</v>
      </c>
      <c r="B1414" t="str">
        <f t="shared" si="23"/>
        <v>40</v>
      </c>
      <c r="C1414" s="35">
        <v>1999</v>
      </c>
      <c r="D1414" s="35">
        <v>1998</v>
      </c>
      <c r="E1414" s="35">
        <v>16</v>
      </c>
      <c r="F1414" s="35">
        <v>11</v>
      </c>
      <c r="G1414" s="35">
        <v>5</v>
      </c>
      <c r="H1414" s="1" t="s">
        <v>2</v>
      </c>
      <c r="I1414" s="1"/>
      <c r="J1414" s="1"/>
      <c r="K1414" s="1"/>
      <c r="AA1414" s="1"/>
    </row>
    <row r="1415" spans="1:27" x14ac:dyDescent="0.25">
      <c r="A1415" t="s">
        <v>86</v>
      </c>
      <c r="B1415" t="str">
        <f t="shared" ref="B1415:B1478" si="24">IF(A1415="Menores de 1 año",0,LEFT(A1415,2))</f>
        <v>40</v>
      </c>
      <c r="C1415" s="35">
        <v>1999</v>
      </c>
      <c r="D1415" s="35">
        <v>1999</v>
      </c>
      <c r="E1415" s="36">
        <v>1528</v>
      </c>
      <c r="F1415" s="35">
        <v>996</v>
      </c>
      <c r="G1415" s="35">
        <v>532</v>
      </c>
      <c r="H1415" s="1" t="s">
        <v>2</v>
      </c>
      <c r="I1415" s="1"/>
      <c r="J1415" s="1"/>
      <c r="K1415" s="1"/>
      <c r="AA1415" s="1"/>
    </row>
    <row r="1416" spans="1:27" x14ac:dyDescent="0.25">
      <c r="A1416" t="s">
        <v>86</v>
      </c>
      <c r="B1416" t="str">
        <f t="shared" si="24"/>
        <v>40</v>
      </c>
      <c r="C1416" s="35">
        <v>2000</v>
      </c>
      <c r="D1416" s="1" t="s">
        <v>4</v>
      </c>
      <c r="E1416" s="36">
        <v>1587</v>
      </c>
      <c r="F1416" s="36">
        <v>1041</v>
      </c>
      <c r="G1416" s="35">
        <v>546</v>
      </c>
      <c r="H1416" s="1" t="s">
        <v>2</v>
      </c>
      <c r="I1416" s="1"/>
      <c r="J1416" s="1"/>
      <c r="K1416" s="1"/>
      <c r="AA1416" s="1"/>
    </row>
    <row r="1417" spans="1:27" x14ac:dyDescent="0.25">
      <c r="A1417" t="s">
        <v>86</v>
      </c>
      <c r="B1417" t="str">
        <f t="shared" si="24"/>
        <v>40</v>
      </c>
      <c r="C1417" s="35">
        <v>2000</v>
      </c>
      <c r="D1417" s="35">
        <v>1999</v>
      </c>
      <c r="E1417" s="35">
        <v>12</v>
      </c>
      <c r="F1417" s="35">
        <v>10</v>
      </c>
      <c r="G1417" s="35">
        <v>2</v>
      </c>
      <c r="H1417" s="1" t="s">
        <v>2</v>
      </c>
      <c r="I1417" s="1"/>
      <c r="J1417" s="1"/>
      <c r="K1417" s="1"/>
      <c r="AA1417" s="1"/>
    </row>
    <row r="1418" spans="1:27" x14ac:dyDescent="0.25">
      <c r="A1418" t="s">
        <v>86</v>
      </c>
      <c r="B1418" t="str">
        <f t="shared" si="24"/>
        <v>40</v>
      </c>
      <c r="C1418" s="35">
        <v>2000</v>
      </c>
      <c r="D1418" s="35">
        <v>2000</v>
      </c>
      <c r="E1418" s="36">
        <v>1575</v>
      </c>
      <c r="F1418" s="36">
        <v>1031</v>
      </c>
      <c r="G1418" s="35">
        <v>544</v>
      </c>
      <c r="H1418" s="1" t="s">
        <v>2</v>
      </c>
      <c r="I1418" s="1"/>
      <c r="J1418" s="1"/>
      <c r="K1418" s="1"/>
      <c r="AA1418" s="1"/>
    </row>
    <row r="1419" spans="1:27" x14ac:dyDescent="0.25">
      <c r="A1419" t="s">
        <v>86</v>
      </c>
      <c r="B1419" t="str">
        <f t="shared" si="24"/>
        <v>40</v>
      </c>
      <c r="C1419" s="35">
        <v>2001</v>
      </c>
      <c r="D1419" s="1" t="s">
        <v>4</v>
      </c>
      <c r="E1419" s="36">
        <v>1560</v>
      </c>
      <c r="F1419" s="36">
        <v>1020</v>
      </c>
      <c r="G1419" s="35">
        <v>540</v>
      </c>
      <c r="H1419" s="1" t="s">
        <v>2</v>
      </c>
      <c r="I1419" s="1"/>
      <c r="J1419" s="1"/>
      <c r="K1419" s="1"/>
      <c r="AA1419" s="1"/>
    </row>
    <row r="1420" spans="1:27" x14ac:dyDescent="0.25">
      <c r="A1420" t="s">
        <v>86</v>
      </c>
      <c r="B1420" t="str">
        <f t="shared" si="24"/>
        <v>40</v>
      </c>
      <c r="C1420" s="35">
        <v>2001</v>
      </c>
      <c r="D1420" s="35">
        <v>2000</v>
      </c>
      <c r="E1420" s="35">
        <v>9</v>
      </c>
      <c r="F1420" s="35">
        <v>6</v>
      </c>
      <c r="G1420" s="35">
        <v>3</v>
      </c>
      <c r="H1420" s="1" t="s">
        <v>2</v>
      </c>
      <c r="I1420" s="1"/>
      <c r="J1420" s="1"/>
      <c r="K1420" s="1"/>
      <c r="AA1420" s="1"/>
    </row>
    <row r="1421" spans="1:27" x14ac:dyDescent="0.25">
      <c r="A1421" t="s">
        <v>86</v>
      </c>
      <c r="B1421" t="str">
        <f t="shared" si="24"/>
        <v>40</v>
      </c>
      <c r="C1421" s="35">
        <v>2001</v>
      </c>
      <c r="D1421" s="35">
        <v>2001</v>
      </c>
      <c r="E1421" s="36">
        <v>1551</v>
      </c>
      <c r="F1421" s="36">
        <v>1014</v>
      </c>
      <c r="G1421" s="35">
        <v>537</v>
      </c>
      <c r="H1421" s="1" t="s">
        <v>2</v>
      </c>
      <c r="I1421" s="1"/>
      <c r="J1421" s="1"/>
      <c r="K1421" s="1"/>
      <c r="AA1421" s="1"/>
    </row>
    <row r="1422" spans="1:27" x14ac:dyDescent="0.25">
      <c r="A1422" t="s">
        <v>86</v>
      </c>
      <c r="B1422" t="str">
        <f t="shared" si="24"/>
        <v>40</v>
      </c>
      <c r="C1422" s="35">
        <v>2002</v>
      </c>
      <c r="D1422" s="1" t="s">
        <v>4</v>
      </c>
      <c r="E1422" s="36">
        <v>1565</v>
      </c>
      <c r="F1422" s="36">
        <v>1049</v>
      </c>
      <c r="G1422" s="35">
        <v>516</v>
      </c>
      <c r="H1422" s="1" t="s">
        <v>2</v>
      </c>
      <c r="I1422" s="1"/>
      <c r="J1422" s="1"/>
      <c r="K1422" s="1"/>
      <c r="AA1422" s="1"/>
    </row>
    <row r="1423" spans="1:27" x14ac:dyDescent="0.25">
      <c r="A1423" t="s">
        <v>86</v>
      </c>
      <c r="B1423" t="str">
        <f t="shared" si="24"/>
        <v>40</v>
      </c>
      <c r="C1423" s="35">
        <v>2002</v>
      </c>
      <c r="D1423" s="35">
        <v>2000</v>
      </c>
      <c r="E1423" s="35">
        <v>1</v>
      </c>
      <c r="F1423" s="1" t="s">
        <v>2</v>
      </c>
      <c r="G1423" s="35">
        <v>1</v>
      </c>
      <c r="H1423" s="1" t="s">
        <v>2</v>
      </c>
      <c r="I1423" s="1"/>
      <c r="J1423" s="1"/>
      <c r="K1423" s="1"/>
      <c r="AA1423" s="1"/>
    </row>
    <row r="1424" spans="1:27" x14ac:dyDescent="0.25">
      <c r="A1424" t="s">
        <v>86</v>
      </c>
      <c r="B1424" t="str">
        <f t="shared" si="24"/>
        <v>40</v>
      </c>
      <c r="C1424" s="35">
        <v>2002</v>
      </c>
      <c r="D1424" s="35">
        <v>2001</v>
      </c>
      <c r="E1424" s="35">
        <v>7</v>
      </c>
      <c r="F1424" s="35">
        <v>5</v>
      </c>
      <c r="G1424" s="35">
        <v>2</v>
      </c>
      <c r="H1424" s="1" t="s">
        <v>2</v>
      </c>
      <c r="I1424" s="1"/>
      <c r="J1424" s="1"/>
      <c r="K1424" s="1"/>
      <c r="AA1424" s="1"/>
    </row>
    <row r="1425" spans="1:27" x14ac:dyDescent="0.25">
      <c r="A1425" t="s">
        <v>86</v>
      </c>
      <c r="B1425" t="str">
        <f t="shared" si="24"/>
        <v>40</v>
      </c>
      <c r="C1425" s="35">
        <v>2002</v>
      </c>
      <c r="D1425" s="35">
        <v>2002</v>
      </c>
      <c r="E1425" s="36">
        <v>1557</v>
      </c>
      <c r="F1425" s="36">
        <v>1044</v>
      </c>
      <c r="G1425" s="35">
        <v>513</v>
      </c>
      <c r="H1425" s="1" t="s">
        <v>2</v>
      </c>
      <c r="I1425" s="1"/>
      <c r="J1425" s="1"/>
      <c r="K1425" s="1"/>
      <c r="AA1425" s="1"/>
    </row>
    <row r="1426" spans="1:27" x14ac:dyDescent="0.25">
      <c r="A1426" t="s">
        <v>86</v>
      </c>
      <c r="B1426" t="str">
        <f t="shared" si="24"/>
        <v>40</v>
      </c>
      <c r="C1426" s="35">
        <v>2003</v>
      </c>
      <c r="D1426" s="1" t="s">
        <v>4</v>
      </c>
      <c r="E1426" s="36">
        <v>1633</v>
      </c>
      <c r="F1426" s="36">
        <v>1086</v>
      </c>
      <c r="G1426" s="35">
        <v>547</v>
      </c>
      <c r="H1426" s="1" t="s">
        <v>2</v>
      </c>
      <c r="I1426" s="1"/>
      <c r="J1426" s="1"/>
      <c r="K1426" s="1"/>
      <c r="AA1426" s="1"/>
    </row>
    <row r="1427" spans="1:27" x14ac:dyDescent="0.25">
      <c r="A1427" t="s">
        <v>86</v>
      </c>
      <c r="B1427" t="str">
        <f t="shared" si="24"/>
        <v>40</v>
      </c>
      <c r="C1427" s="35">
        <v>2003</v>
      </c>
      <c r="D1427" s="35">
        <v>2002</v>
      </c>
      <c r="E1427" s="35">
        <v>13</v>
      </c>
      <c r="F1427" s="35">
        <v>11</v>
      </c>
      <c r="G1427" s="35">
        <v>2</v>
      </c>
      <c r="H1427" s="1" t="s">
        <v>2</v>
      </c>
      <c r="I1427" s="1"/>
      <c r="J1427" s="1"/>
      <c r="K1427" s="1"/>
      <c r="AA1427" s="1"/>
    </row>
    <row r="1428" spans="1:27" x14ac:dyDescent="0.25">
      <c r="A1428" t="s">
        <v>86</v>
      </c>
      <c r="B1428" t="str">
        <f t="shared" si="24"/>
        <v>40</v>
      </c>
      <c r="C1428" s="35">
        <v>2003</v>
      </c>
      <c r="D1428" s="35">
        <v>2003</v>
      </c>
      <c r="E1428" s="36">
        <v>1620</v>
      </c>
      <c r="F1428" s="36">
        <v>1075</v>
      </c>
      <c r="G1428" s="35">
        <v>545</v>
      </c>
      <c r="H1428" s="1" t="s">
        <v>2</v>
      </c>
      <c r="I1428" s="1"/>
      <c r="J1428" s="1"/>
      <c r="K1428" s="1"/>
      <c r="AA1428" s="1"/>
    </row>
    <row r="1429" spans="1:27" x14ac:dyDescent="0.25">
      <c r="A1429" t="s">
        <v>86</v>
      </c>
      <c r="B1429" t="str">
        <f t="shared" si="24"/>
        <v>40</v>
      </c>
      <c r="C1429" s="35">
        <v>2004</v>
      </c>
      <c r="D1429" s="1" t="s">
        <v>4</v>
      </c>
      <c r="E1429" s="36">
        <v>1570</v>
      </c>
      <c r="F1429" s="36">
        <v>1044</v>
      </c>
      <c r="G1429" s="35">
        <v>526</v>
      </c>
      <c r="H1429" s="1" t="s">
        <v>2</v>
      </c>
      <c r="I1429" s="1"/>
      <c r="J1429" s="1"/>
      <c r="K1429" s="1"/>
      <c r="AA1429" s="1"/>
    </row>
    <row r="1430" spans="1:27" x14ac:dyDescent="0.25">
      <c r="A1430" t="s">
        <v>86</v>
      </c>
      <c r="B1430" t="str">
        <f t="shared" si="24"/>
        <v>40</v>
      </c>
      <c r="C1430" s="35">
        <v>2004</v>
      </c>
      <c r="D1430" s="35">
        <v>2001</v>
      </c>
      <c r="E1430" s="35">
        <v>1</v>
      </c>
      <c r="F1430" s="1" t="s">
        <v>2</v>
      </c>
      <c r="G1430" s="35">
        <v>1</v>
      </c>
      <c r="H1430" s="1" t="s">
        <v>2</v>
      </c>
      <c r="I1430" s="1"/>
      <c r="J1430" s="1"/>
      <c r="K1430" s="1"/>
      <c r="AA1430" s="1"/>
    </row>
    <row r="1431" spans="1:27" x14ac:dyDescent="0.25">
      <c r="A1431" t="s">
        <v>86</v>
      </c>
      <c r="B1431" t="str">
        <f t="shared" si="24"/>
        <v>40</v>
      </c>
      <c r="C1431" s="35">
        <v>2004</v>
      </c>
      <c r="D1431" s="35">
        <v>2002</v>
      </c>
      <c r="E1431" s="35">
        <v>2</v>
      </c>
      <c r="F1431" s="35">
        <v>1</v>
      </c>
      <c r="G1431" s="35">
        <v>1</v>
      </c>
      <c r="H1431" s="1" t="s">
        <v>2</v>
      </c>
      <c r="I1431" s="1"/>
      <c r="J1431" s="1"/>
      <c r="K1431" s="1"/>
      <c r="AA1431" s="1"/>
    </row>
    <row r="1432" spans="1:27" x14ac:dyDescent="0.25">
      <c r="A1432" t="s">
        <v>86</v>
      </c>
      <c r="B1432" t="str">
        <f t="shared" si="24"/>
        <v>40</v>
      </c>
      <c r="C1432" s="35">
        <v>2004</v>
      </c>
      <c r="D1432" s="35">
        <v>2003</v>
      </c>
      <c r="E1432" s="35">
        <v>12</v>
      </c>
      <c r="F1432" s="35">
        <v>12</v>
      </c>
      <c r="G1432" s="1" t="s">
        <v>2</v>
      </c>
      <c r="H1432" s="1" t="s">
        <v>2</v>
      </c>
      <c r="I1432" s="1"/>
      <c r="J1432" s="1"/>
      <c r="K1432" s="1"/>
      <c r="AA1432" s="1"/>
    </row>
    <row r="1433" spans="1:27" x14ac:dyDescent="0.25">
      <c r="A1433" t="s">
        <v>86</v>
      </c>
      <c r="B1433" t="str">
        <f t="shared" si="24"/>
        <v>40</v>
      </c>
      <c r="C1433" s="35">
        <v>2004</v>
      </c>
      <c r="D1433" s="35">
        <v>2004</v>
      </c>
      <c r="E1433" s="36">
        <v>1555</v>
      </c>
      <c r="F1433" s="36">
        <v>1031</v>
      </c>
      <c r="G1433" s="35">
        <v>524</v>
      </c>
      <c r="H1433" s="1" t="s">
        <v>2</v>
      </c>
      <c r="I1433" s="1"/>
      <c r="J1433" s="1"/>
      <c r="K1433" s="1"/>
      <c r="AA1433" s="1"/>
    </row>
    <row r="1434" spans="1:27" x14ac:dyDescent="0.25">
      <c r="A1434" t="s">
        <v>86</v>
      </c>
      <c r="B1434" t="str">
        <f t="shared" si="24"/>
        <v>40</v>
      </c>
      <c r="C1434" s="35">
        <v>2005</v>
      </c>
      <c r="D1434" s="1" t="s">
        <v>4</v>
      </c>
      <c r="E1434" s="36">
        <v>1595</v>
      </c>
      <c r="F1434" s="36">
        <v>1050</v>
      </c>
      <c r="G1434" s="35">
        <v>545</v>
      </c>
      <c r="H1434" s="1" t="s">
        <v>2</v>
      </c>
      <c r="I1434" s="1"/>
      <c r="J1434" s="1"/>
      <c r="K1434" s="1"/>
      <c r="AA1434" s="1"/>
    </row>
    <row r="1435" spans="1:27" x14ac:dyDescent="0.25">
      <c r="A1435" t="s">
        <v>86</v>
      </c>
      <c r="B1435" t="str">
        <f t="shared" si="24"/>
        <v>40</v>
      </c>
      <c r="C1435" s="35">
        <v>2005</v>
      </c>
      <c r="D1435" s="35">
        <v>2004</v>
      </c>
      <c r="E1435" s="35">
        <v>7</v>
      </c>
      <c r="F1435" s="35">
        <v>6</v>
      </c>
      <c r="G1435" s="35">
        <v>1</v>
      </c>
      <c r="H1435" s="1" t="s">
        <v>2</v>
      </c>
      <c r="I1435" s="1"/>
      <c r="J1435" s="1"/>
      <c r="K1435" s="1"/>
      <c r="AA1435" s="1"/>
    </row>
    <row r="1436" spans="1:27" x14ac:dyDescent="0.25">
      <c r="A1436" t="s">
        <v>86</v>
      </c>
      <c r="B1436" t="str">
        <f t="shared" si="24"/>
        <v>40</v>
      </c>
      <c r="C1436" s="35">
        <v>2005</v>
      </c>
      <c r="D1436" s="35">
        <v>2005</v>
      </c>
      <c r="E1436" s="36">
        <v>1588</v>
      </c>
      <c r="F1436" s="36">
        <v>1044</v>
      </c>
      <c r="G1436" s="35">
        <v>544</v>
      </c>
      <c r="H1436" s="1" t="s">
        <v>2</v>
      </c>
      <c r="I1436" s="1"/>
      <c r="J1436" s="1"/>
      <c r="K1436" s="1"/>
      <c r="AA1436" s="1"/>
    </row>
    <row r="1437" spans="1:27" x14ac:dyDescent="0.25">
      <c r="A1437" t="s">
        <v>86</v>
      </c>
      <c r="B1437" t="str">
        <f t="shared" si="24"/>
        <v>40</v>
      </c>
      <c r="C1437" s="35">
        <v>2006</v>
      </c>
      <c r="D1437" s="1" t="s">
        <v>4</v>
      </c>
      <c r="E1437" s="36">
        <v>1607</v>
      </c>
      <c r="F1437" s="36">
        <v>1081</v>
      </c>
      <c r="G1437" s="35">
        <v>526</v>
      </c>
      <c r="H1437" s="1" t="s">
        <v>2</v>
      </c>
      <c r="I1437" s="1"/>
      <c r="J1437" s="1"/>
      <c r="K1437" s="1"/>
      <c r="AA1437" s="1"/>
    </row>
    <row r="1438" spans="1:27" x14ac:dyDescent="0.25">
      <c r="A1438" t="s">
        <v>86</v>
      </c>
      <c r="B1438" t="str">
        <f t="shared" si="24"/>
        <v>40</v>
      </c>
      <c r="C1438" s="35">
        <v>2006</v>
      </c>
      <c r="D1438" s="35">
        <v>2005</v>
      </c>
      <c r="E1438" s="35">
        <v>19</v>
      </c>
      <c r="F1438" s="35">
        <v>13</v>
      </c>
      <c r="G1438" s="35">
        <v>6</v>
      </c>
      <c r="H1438" s="1" t="s">
        <v>2</v>
      </c>
      <c r="I1438" s="1"/>
      <c r="J1438" s="1"/>
      <c r="K1438" s="1"/>
      <c r="AA1438" s="1"/>
    </row>
    <row r="1439" spans="1:27" x14ac:dyDescent="0.25">
      <c r="A1439" t="s">
        <v>86</v>
      </c>
      <c r="B1439" t="str">
        <f t="shared" si="24"/>
        <v>40</v>
      </c>
      <c r="C1439" s="35">
        <v>2006</v>
      </c>
      <c r="D1439" s="35">
        <v>2006</v>
      </c>
      <c r="E1439" s="36">
        <v>1588</v>
      </c>
      <c r="F1439" s="36">
        <v>1068</v>
      </c>
      <c r="G1439" s="35">
        <v>520</v>
      </c>
      <c r="H1439" s="1" t="s">
        <v>2</v>
      </c>
      <c r="I1439" s="1"/>
      <c r="J1439" s="1"/>
      <c r="K1439" s="1"/>
      <c r="AA1439" s="1"/>
    </row>
    <row r="1440" spans="1:27" x14ac:dyDescent="0.25">
      <c r="A1440" t="s">
        <v>86</v>
      </c>
      <c r="B1440" t="str">
        <f t="shared" si="24"/>
        <v>40</v>
      </c>
      <c r="C1440" s="35">
        <v>2007</v>
      </c>
      <c r="D1440" s="1" t="s">
        <v>4</v>
      </c>
      <c r="E1440" s="36">
        <v>1637</v>
      </c>
      <c r="F1440" s="36">
        <v>1093</v>
      </c>
      <c r="G1440" s="35">
        <v>544</v>
      </c>
      <c r="H1440" s="1" t="s">
        <v>2</v>
      </c>
      <c r="I1440" s="1"/>
      <c r="J1440" s="1"/>
      <c r="K1440" s="1"/>
      <c r="AA1440" s="1"/>
    </row>
    <row r="1441" spans="1:27" x14ac:dyDescent="0.25">
      <c r="A1441" t="s">
        <v>86</v>
      </c>
      <c r="B1441" t="str">
        <f t="shared" si="24"/>
        <v>40</v>
      </c>
      <c r="C1441" s="35">
        <v>2007</v>
      </c>
      <c r="D1441" s="35">
        <v>2006</v>
      </c>
      <c r="E1441" s="35">
        <v>30</v>
      </c>
      <c r="F1441" s="35">
        <v>24</v>
      </c>
      <c r="G1441" s="35">
        <v>6</v>
      </c>
      <c r="H1441" s="1" t="s">
        <v>2</v>
      </c>
      <c r="I1441" s="1"/>
      <c r="J1441" s="1"/>
      <c r="K1441" s="1"/>
      <c r="AA1441" s="1"/>
    </row>
    <row r="1442" spans="1:27" x14ac:dyDescent="0.25">
      <c r="A1442" t="s">
        <v>86</v>
      </c>
      <c r="B1442" t="str">
        <f t="shared" si="24"/>
        <v>40</v>
      </c>
      <c r="C1442" s="35">
        <v>2007</v>
      </c>
      <c r="D1442" s="35">
        <v>2007</v>
      </c>
      <c r="E1442" s="36">
        <v>1607</v>
      </c>
      <c r="F1442" s="36">
        <v>1069</v>
      </c>
      <c r="G1442" s="35">
        <v>538</v>
      </c>
      <c r="H1442" s="1" t="s">
        <v>2</v>
      </c>
      <c r="I1442" s="1"/>
      <c r="J1442" s="1"/>
      <c r="K1442" s="1"/>
      <c r="AA1442" s="1"/>
    </row>
    <row r="1443" spans="1:27" x14ac:dyDescent="0.25">
      <c r="A1443" t="s">
        <v>86</v>
      </c>
      <c r="B1443" t="str">
        <f t="shared" si="24"/>
        <v>40</v>
      </c>
      <c r="C1443" s="35">
        <v>2008</v>
      </c>
      <c r="D1443" s="1" t="s">
        <v>4</v>
      </c>
      <c r="E1443" s="36">
        <v>1652</v>
      </c>
      <c r="F1443" s="36">
        <v>1112</v>
      </c>
      <c r="G1443" s="35">
        <v>540</v>
      </c>
      <c r="H1443" s="1" t="s">
        <v>2</v>
      </c>
      <c r="I1443" s="1"/>
      <c r="J1443" s="1"/>
      <c r="K1443" s="1"/>
      <c r="AA1443" s="1"/>
    </row>
    <row r="1444" spans="1:27" x14ac:dyDescent="0.25">
      <c r="A1444" t="s">
        <v>86</v>
      </c>
      <c r="B1444" t="str">
        <f t="shared" si="24"/>
        <v>40</v>
      </c>
      <c r="C1444" s="35">
        <v>2008</v>
      </c>
      <c r="D1444" s="35">
        <v>2004</v>
      </c>
      <c r="E1444" s="35">
        <v>6</v>
      </c>
      <c r="F1444" s="35">
        <v>5</v>
      </c>
      <c r="G1444" s="35">
        <v>1</v>
      </c>
      <c r="H1444" s="1" t="s">
        <v>2</v>
      </c>
      <c r="I1444" s="1"/>
      <c r="J1444" s="1"/>
      <c r="K1444" s="1"/>
      <c r="AA1444" s="1"/>
    </row>
    <row r="1445" spans="1:27" x14ac:dyDescent="0.25">
      <c r="A1445" t="s">
        <v>86</v>
      </c>
      <c r="B1445" t="str">
        <f t="shared" si="24"/>
        <v>40</v>
      </c>
      <c r="C1445" s="35">
        <v>2008</v>
      </c>
      <c r="D1445" s="35">
        <v>2005</v>
      </c>
      <c r="E1445" s="35">
        <v>9</v>
      </c>
      <c r="F1445" s="35">
        <v>8</v>
      </c>
      <c r="G1445" s="35">
        <v>1</v>
      </c>
      <c r="H1445" s="1" t="s">
        <v>2</v>
      </c>
      <c r="I1445" s="1"/>
      <c r="J1445" s="1"/>
      <c r="K1445" s="1"/>
      <c r="AA1445" s="1"/>
    </row>
    <row r="1446" spans="1:27" x14ac:dyDescent="0.25">
      <c r="A1446" t="s">
        <v>86</v>
      </c>
      <c r="B1446" t="str">
        <f t="shared" si="24"/>
        <v>40</v>
      </c>
      <c r="C1446" s="35">
        <v>2008</v>
      </c>
      <c r="D1446" s="35">
        <v>2007</v>
      </c>
      <c r="E1446" s="35">
        <v>21</v>
      </c>
      <c r="F1446" s="35">
        <v>20</v>
      </c>
      <c r="G1446" s="35">
        <v>1</v>
      </c>
      <c r="H1446" s="1" t="s">
        <v>2</v>
      </c>
      <c r="I1446" s="1"/>
      <c r="J1446" s="1"/>
      <c r="K1446" s="1"/>
      <c r="AA1446" s="1"/>
    </row>
    <row r="1447" spans="1:27" x14ac:dyDescent="0.25">
      <c r="A1447" t="s">
        <v>86</v>
      </c>
      <c r="B1447" t="str">
        <f t="shared" si="24"/>
        <v>40</v>
      </c>
      <c r="C1447" s="35">
        <v>2008</v>
      </c>
      <c r="D1447" s="35">
        <v>2008</v>
      </c>
      <c r="E1447" s="36">
        <v>1616</v>
      </c>
      <c r="F1447" s="36">
        <v>1079</v>
      </c>
      <c r="G1447" s="35">
        <v>537</v>
      </c>
      <c r="H1447" s="1" t="s">
        <v>2</v>
      </c>
      <c r="I1447" s="1"/>
      <c r="J1447" s="1"/>
      <c r="K1447" s="1"/>
      <c r="AA1447" s="1"/>
    </row>
    <row r="1448" spans="1:27" x14ac:dyDescent="0.25">
      <c r="A1448" t="s">
        <v>86</v>
      </c>
      <c r="B1448" t="str">
        <f t="shared" si="24"/>
        <v>40</v>
      </c>
      <c r="C1448" s="35">
        <v>2009</v>
      </c>
      <c r="D1448" s="1" t="s">
        <v>4</v>
      </c>
      <c r="E1448" s="36">
        <v>1713</v>
      </c>
      <c r="F1448" s="36">
        <v>1151</v>
      </c>
      <c r="G1448" s="35">
        <v>562</v>
      </c>
      <c r="H1448" s="1" t="s">
        <v>2</v>
      </c>
      <c r="I1448" s="1"/>
      <c r="J1448" s="1"/>
      <c r="K1448" s="1"/>
      <c r="AA1448" s="1"/>
    </row>
    <row r="1449" spans="1:27" x14ac:dyDescent="0.25">
      <c r="A1449" t="s">
        <v>86</v>
      </c>
      <c r="B1449" t="str">
        <f t="shared" si="24"/>
        <v>40</v>
      </c>
      <c r="C1449" s="35">
        <v>2009</v>
      </c>
      <c r="D1449" s="35">
        <v>2004</v>
      </c>
      <c r="E1449" s="35">
        <v>2</v>
      </c>
      <c r="F1449" s="35">
        <v>1</v>
      </c>
      <c r="G1449" s="35">
        <v>1</v>
      </c>
      <c r="H1449" s="1" t="s">
        <v>2</v>
      </c>
      <c r="I1449" s="1"/>
      <c r="J1449" s="1"/>
      <c r="K1449" s="1"/>
      <c r="AA1449" s="1"/>
    </row>
    <row r="1450" spans="1:27" x14ac:dyDescent="0.25">
      <c r="A1450" t="s">
        <v>86</v>
      </c>
      <c r="B1450" t="str">
        <f t="shared" si="24"/>
        <v>40</v>
      </c>
      <c r="C1450" s="35">
        <v>2009</v>
      </c>
      <c r="D1450" s="35">
        <v>2006</v>
      </c>
      <c r="E1450" s="35">
        <v>2</v>
      </c>
      <c r="F1450" s="1" t="s">
        <v>2</v>
      </c>
      <c r="G1450" s="35">
        <v>2</v>
      </c>
      <c r="H1450" s="1" t="s">
        <v>2</v>
      </c>
      <c r="I1450" s="1"/>
      <c r="J1450" s="1"/>
      <c r="K1450" s="1"/>
      <c r="AA1450" s="1"/>
    </row>
    <row r="1451" spans="1:27" x14ac:dyDescent="0.25">
      <c r="A1451" t="s">
        <v>86</v>
      </c>
      <c r="B1451" t="str">
        <f t="shared" si="24"/>
        <v>40</v>
      </c>
      <c r="C1451" s="35">
        <v>2009</v>
      </c>
      <c r="D1451" s="35">
        <v>2008</v>
      </c>
      <c r="E1451" s="35">
        <v>32</v>
      </c>
      <c r="F1451" s="35">
        <v>28</v>
      </c>
      <c r="G1451" s="35">
        <v>4</v>
      </c>
      <c r="H1451" s="1" t="s">
        <v>2</v>
      </c>
      <c r="I1451" s="1"/>
      <c r="J1451" s="1"/>
      <c r="K1451" s="1"/>
      <c r="AA1451" s="1"/>
    </row>
    <row r="1452" spans="1:27" x14ac:dyDescent="0.25">
      <c r="A1452" t="s">
        <v>86</v>
      </c>
      <c r="B1452" t="str">
        <f t="shared" si="24"/>
        <v>40</v>
      </c>
      <c r="C1452" s="35">
        <v>2009</v>
      </c>
      <c r="D1452" s="35">
        <v>2009</v>
      </c>
      <c r="E1452" s="36">
        <v>1676</v>
      </c>
      <c r="F1452" s="36">
        <v>1121</v>
      </c>
      <c r="G1452" s="35">
        <v>555</v>
      </c>
      <c r="H1452" s="1" t="s">
        <v>2</v>
      </c>
      <c r="I1452" s="1"/>
      <c r="J1452" s="1"/>
      <c r="K1452" s="1"/>
      <c r="AA1452" s="1"/>
    </row>
    <row r="1453" spans="1:27" x14ac:dyDescent="0.25">
      <c r="A1453" t="s">
        <v>86</v>
      </c>
      <c r="B1453" t="str">
        <f t="shared" si="24"/>
        <v>40</v>
      </c>
      <c r="C1453" s="35">
        <v>2009</v>
      </c>
      <c r="D1453" s="1" t="s">
        <v>24</v>
      </c>
      <c r="E1453" s="35">
        <v>1</v>
      </c>
      <c r="F1453" s="35">
        <v>1</v>
      </c>
      <c r="G1453" s="1" t="s">
        <v>2</v>
      </c>
      <c r="H1453" s="1" t="s">
        <v>2</v>
      </c>
      <c r="I1453" s="1"/>
      <c r="J1453" s="1"/>
      <c r="K1453" s="1"/>
      <c r="AA1453" s="1"/>
    </row>
    <row r="1454" spans="1:27" x14ac:dyDescent="0.25">
      <c r="A1454" t="s">
        <v>86</v>
      </c>
      <c r="B1454" t="str">
        <f t="shared" si="24"/>
        <v>40</v>
      </c>
      <c r="C1454" s="35">
        <v>2010</v>
      </c>
      <c r="D1454" s="1" t="s">
        <v>4</v>
      </c>
      <c r="E1454" s="36">
        <v>1644</v>
      </c>
      <c r="F1454" s="36">
        <v>1092</v>
      </c>
      <c r="G1454" s="35">
        <v>552</v>
      </c>
      <c r="H1454" s="1" t="s">
        <v>2</v>
      </c>
      <c r="I1454" s="1"/>
      <c r="J1454" s="1"/>
      <c r="K1454" s="1"/>
      <c r="AA1454" s="1"/>
    </row>
    <row r="1455" spans="1:27" x14ac:dyDescent="0.25">
      <c r="A1455" t="s">
        <v>86</v>
      </c>
      <c r="B1455" t="str">
        <f t="shared" si="24"/>
        <v>40</v>
      </c>
      <c r="C1455" s="35">
        <v>2010</v>
      </c>
      <c r="D1455" s="35">
        <v>2009</v>
      </c>
      <c r="E1455" s="35">
        <v>27</v>
      </c>
      <c r="F1455" s="35">
        <v>23</v>
      </c>
      <c r="G1455" s="35">
        <v>4</v>
      </c>
      <c r="H1455" s="1" t="s">
        <v>2</v>
      </c>
      <c r="I1455" s="1"/>
      <c r="J1455" s="1"/>
      <c r="K1455" s="1"/>
      <c r="AA1455" s="1"/>
    </row>
    <row r="1456" spans="1:27" x14ac:dyDescent="0.25">
      <c r="A1456" t="s">
        <v>86</v>
      </c>
      <c r="B1456" t="str">
        <f t="shared" si="24"/>
        <v>40</v>
      </c>
      <c r="C1456" s="35">
        <v>2010</v>
      </c>
      <c r="D1456" s="35">
        <v>2010</v>
      </c>
      <c r="E1456" s="36">
        <v>1617</v>
      </c>
      <c r="F1456" s="36">
        <v>1069</v>
      </c>
      <c r="G1456" s="35">
        <v>548</v>
      </c>
      <c r="H1456" s="1" t="s">
        <v>2</v>
      </c>
      <c r="I1456" s="1"/>
      <c r="J1456" s="1"/>
      <c r="K1456" s="1"/>
      <c r="AA1456" s="1"/>
    </row>
    <row r="1457" spans="1:27" x14ac:dyDescent="0.25">
      <c r="A1457" t="s">
        <v>86</v>
      </c>
      <c r="B1457" t="str">
        <f t="shared" si="24"/>
        <v>40</v>
      </c>
      <c r="C1457" s="35">
        <v>2011</v>
      </c>
      <c r="D1457" s="1" t="s">
        <v>4</v>
      </c>
      <c r="E1457" s="36">
        <v>1661</v>
      </c>
      <c r="F1457" s="36">
        <v>1127</v>
      </c>
      <c r="G1457" s="35">
        <v>531</v>
      </c>
      <c r="H1457" s="35">
        <v>3</v>
      </c>
      <c r="I1457" s="1"/>
      <c r="J1457" s="1"/>
      <c r="K1457" s="1"/>
      <c r="AA1457" s="1"/>
    </row>
    <row r="1458" spans="1:27" x14ac:dyDescent="0.25">
      <c r="A1458" t="s">
        <v>86</v>
      </c>
      <c r="B1458" t="str">
        <f t="shared" si="24"/>
        <v>40</v>
      </c>
      <c r="C1458" s="35">
        <v>2011</v>
      </c>
      <c r="D1458" s="35">
        <v>2010</v>
      </c>
      <c r="E1458" s="35">
        <v>40</v>
      </c>
      <c r="F1458" s="35">
        <v>36</v>
      </c>
      <c r="G1458" s="35">
        <v>3</v>
      </c>
      <c r="H1458" s="35">
        <v>1</v>
      </c>
      <c r="I1458" s="1"/>
      <c r="J1458" s="1"/>
      <c r="K1458" s="1"/>
      <c r="AA1458" s="1"/>
    </row>
    <row r="1459" spans="1:27" x14ac:dyDescent="0.25">
      <c r="A1459" t="s">
        <v>86</v>
      </c>
      <c r="B1459" t="str">
        <f t="shared" si="24"/>
        <v>40</v>
      </c>
      <c r="C1459" s="35">
        <v>2011</v>
      </c>
      <c r="D1459" s="35">
        <v>2011</v>
      </c>
      <c r="E1459" s="36">
        <v>1621</v>
      </c>
      <c r="F1459" s="36">
        <v>1091</v>
      </c>
      <c r="G1459" s="35">
        <v>528</v>
      </c>
      <c r="H1459" s="35">
        <v>2</v>
      </c>
      <c r="I1459" s="1"/>
      <c r="J1459" s="1"/>
      <c r="K1459" s="1"/>
      <c r="AA1459" s="1"/>
    </row>
    <row r="1460" spans="1:27" x14ac:dyDescent="0.25">
      <c r="A1460" t="s">
        <v>86</v>
      </c>
      <c r="B1460" t="str">
        <f t="shared" si="24"/>
        <v>40</v>
      </c>
      <c r="C1460" s="35">
        <v>2012</v>
      </c>
      <c r="D1460" s="1" t="s">
        <v>4</v>
      </c>
      <c r="E1460" s="36">
        <v>1728</v>
      </c>
      <c r="F1460" s="36">
        <v>1176</v>
      </c>
      <c r="G1460" s="35">
        <v>551</v>
      </c>
      <c r="H1460" s="35">
        <v>1</v>
      </c>
      <c r="I1460" s="1"/>
      <c r="J1460" s="1"/>
      <c r="K1460" s="1"/>
      <c r="AA1460" s="1"/>
    </row>
    <row r="1461" spans="1:27" x14ac:dyDescent="0.25">
      <c r="A1461" t="s">
        <v>86</v>
      </c>
      <c r="B1461" t="str">
        <f t="shared" si="24"/>
        <v>40</v>
      </c>
      <c r="C1461" s="35">
        <v>2012</v>
      </c>
      <c r="D1461" s="35">
        <v>1976</v>
      </c>
      <c r="E1461" s="35">
        <v>1</v>
      </c>
      <c r="F1461" s="1" t="s">
        <v>2</v>
      </c>
      <c r="G1461" s="35">
        <v>1</v>
      </c>
      <c r="H1461" s="1" t="s">
        <v>2</v>
      </c>
      <c r="I1461" s="1"/>
      <c r="J1461" s="1"/>
      <c r="K1461" s="1"/>
      <c r="AA1461" s="1"/>
    </row>
    <row r="1462" spans="1:27" x14ac:dyDescent="0.25">
      <c r="A1462" t="s">
        <v>86</v>
      </c>
      <c r="B1462" t="str">
        <f t="shared" si="24"/>
        <v>40</v>
      </c>
      <c r="C1462" s="35">
        <v>2012</v>
      </c>
      <c r="D1462" s="35">
        <v>2010</v>
      </c>
      <c r="E1462" s="35">
        <v>1</v>
      </c>
      <c r="F1462" s="1" t="s">
        <v>2</v>
      </c>
      <c r="G1462" s="35">
        <v>1</v>
      </c>
      <c r="H1462" s="1" t="s">
        <v>2</v>
      </c>
      <c r="I1462" s="1"/>
      <c r="J1462" s="1"/>
      <c r="K1462" s="1"/>
      <c r="AA1462" s="1"/>
    </row>
    <row r="1463" spans="1:27" x14ac:dyDescent="0.25">
      <c r="A1463" t="s">
        <v>86</v>
      </c>
      <c r="B1463" t="str">
        <f t="shared" si="24"/>
        <v>40</v>
      </c>
      <c r="C1463" s="35">
        <v>2012</v>
      </c>
      <c r="D1463" s="35">
        <v>2011</v>
      </c>
      <c r="E1463" s="35">
        <v>39</v>
      </c>
      <c r="F1463" s="35">
        <v>33</v>
      </c>
      <c r="G1463" s="35">
        <v>6</v>
      </c>
      <c r="H1463" s="1" t="s">
        <v>2</v>
      </c>
      <c r="I1463" s="1"/>
      <c r="J1463" s="1"/>
      <c r="K1463" s="1"/>
      <c r="AA1463" s="1"/>
    </row>
    <row r="1464" spans="1:27" x14ac:dyDescent="0.25">
      <c r="A1464" t="s">
        <v>86</v>
      </c>
      <c r="B1464" t="str">
        <f t="shared" si="24"/>
        <v>40</v>
      </c>
      <c r="C1464" s="35">
        <v>2012</v>
      </c>
      <c r="D1464" s="35">
        <v>2012</v>
      </c>
      <c r="E1464" s="36">
        <v>1687</v>
      </c>
      <c r="F1464" s="36">
        <v>1143</v>
      </c>
      <c r="G1464" s="35">
        <v>543</v>
      </c>
      <c r="H1464" s="35">
        <v>1</v>
      </c>
      <c r="I1464" s="1"/>
      <c r="J1464" s="1"/>
      <c r="K1464" s="1"/>
      <c r="AA1464" s="1"/>
    </row>
    <row r="1465" spans="1:27" x14ac:dyDescent="0.25">
      <c r="A1465" t="s">
        <v>86</v>
      </c>
      <c r="B1465" t="str">
        <f t="shared" si="24"/>
        <v>40</v>
      </c>
      <c r="C1465" s="35">
        <v>2013</v>
      </c>
      <c r="D1465" s="1" t="s">
        <v>4</v>
      </c>
      <c r="E1465" s="36">
        <v>1679</v>
      </c>
      <c r="F1465" s="36">
        <v>1175</v>
      </c>
      <c r="G1465" s="35">
        <v>503</v>
      </c>
      <c r="H1465" s="35">
        <v>1</v>
      </c>
      <c r="I1465" s="1"/>
      <c r="J1465" s="1"/>
      <c r="K1465" s="1"/>
      <c r="AA1465" s="1"/>
    </row>
    <row r="1466" spans="1:27" x14ac:dyDescent="0.25">
      <c r="A1466" t="s">
        <v>86</v>
      </c>
      <c r="B1466" t="str">
        <f t="shared" si="24"/>
        <v>40</v>
      </c>
      <c r="C1466" s="35">
        <v>2013</v>
      </c>
      <c r="D1466" s="35">
        <v>2011</v>
      </c>
      <c r="E1466" s="35">
        <v>1</v>
      </c>
      <c r="F1466" s="35">
        <v>1</v>
      </c>
      <c r="G1466" s="1" t="s">
        <v>2</v>
      </c>
      <c r="H1466" s="1" t="s">
        <v>2</v>
      </c>
      <c r="I1466" s="1"/>
      <c r="J1466" s="1"/>
      <c r="K1466" s="1"/>
      <c r="AA1466" s="1"/>
    </row>
    <row r="1467" spans="1:27" x14ac:dyDescent="0.25">
      <c r="A1467" t="s">
        <v>86</v>
      </c>
      <c r="B1467" t="str">
        <f t="shared" si="24"/>
        <v>40</v>
      </c>
      <c r="C1467" s="35">
        <v>2013</v>
      </c>
      <c r="D1467" s="35">
        <v>2012</v>
      </c>
      <c r="E1467" s="35">
        <v>56</v>
      </c>
      <c r="F1467" s="35">
        <v>46</v>
      </c>
      <c r="G1467" s="35">
        <v>9</v>
      </c>
      <c r="H1467" s="35">
        <v>1</v>
      </c>
      <c r="I1467" s="1"/>
      <c r="J1467" s="1"/>
      <c r="K1467" s="1"/>
      <c r="AA1467" s="1"/>
    </row>
    <row r="1468" spans="1:27" x14ac:dyDescent="0.25">
      <c r="A1468" t="s">
        <v>86</v>
      </c>
      <c r="B1468" t="str">
        <f t="shared" si="24"/>
        <v>40</v>
      </c>
      <c r="C1468" s="35">
        <v>2013</v>
      </c>
      <c r="D1468" s="35">
        <v>2013</v>
      </c>
      <c r="E1468" s="36">
        <v>1622</v>
      </c>
      <c r="F1468" s="36">
        <v>1128</v>
      </c>
      <c r="G1468" s="35">
        <v>494</v>
      </c>
      <c r="H1468" s="1" t="s">
        <v>2</v>
      </c>
      <c r="I1468" s="1"/>
      <c r="J1468" s="1"/>
      <c r="K1468" s="1"/>
      <c r="AA1468" s="1"/>
    </row>
    <row r="1469" spans="1:27" x14ac:dyDescent="0.25">
      <c r="A1469" t="s">
        <v>86</v>
      </c>
      <c r="B1469" t="str">
        <f t="shared" si="24"/>
        <v>40</v>
      </c>
      <c r="C1469" s="35">
        <v>2014</v>
      </c>
      <c r="D1469" s="1" t="s">
        <v>4</v>
      </c>
      <c r="E1469" s="36">
        <v>1864</v>
      </c>
      <c r="F1469" s="36">
        <v>1279</v>
      </c>
      <c r="G1469" s="35">
        <v>584</v>
      </c>
      <c r="H1469" s="35">
        <v>1</v>
      </c>
      <c r="I1469" s="1"/>
      <c r="J1469" s="1"/>
      <c r="K1469" s="1"/>
      <c r="AA1469" s="1"/>
    </row>
    <row r="1470" spans="1:27" x14ac:dyDescent="0.25">
      <c r="A1470" t="s">
        <v>86</v>
      </c>
      <c r="B1470" t="str">
        <f t="shared" si="24"/>
        <v>40</v>
      </c>
      <c r="C1470" s="35">
        <v>2014</v>
      </c>
      <c r="D1470" s="35">
        <v>2013</v>
      </c>
      <c r="E1470" s="35">
        <v>35</v>
      </c>
      <c r="F1470" s="35">
        <v>26</v>
      </c>
      <c r="G1470" s="35">
        <v>9</v>
      </c>
      <c r="H1470" s="1" t="s">
        <v>2</v>
      </c>
      <c r="I1470" s="1"/>
      <c r="J1470" s="1"/>
      <c r="K1470" s="1"/>
      <c r="AA1470" s="1"/>
    </row>
    <row r="1471" spans="1:27" x14ac:dyDescent="0.25">
      <c r="A1471" t="s">
        <v>86</v>
      </c>
      <c r="B1471" t="str">
        <f t="shared" si="24"/>
        <v>40</v>
      </c>
      <c r="C1471" s="35">
        <v>2014</v>
      </c>
      <c r="D1471" s="35">
        <v>2014</v>
      </c>
      <c r="E1471" s="36">
        <v>1829</v>
      </c>
      <c r="F1471" s="36">
        <v>1253</v>
      </c>
      <c r="G1471" s="35">
        <v>575</v>
      </c>
      <c r="H1471" s="35">
        <v>1</v>
      </c>
      <c r="I1471" s="1"/>
      <c r="J1471" s="1"/>
      <c r="K1471" s="1"/>
      <c r="AA1471" s="1"/>
    </row>
    <row r="1472" spans="1:27" x14ac:dyDescent="0.25">
      <c r="A1472" t="s">
        <v>86</v>
      </c>
      <c r="B1472" t="str">
        <f t="shared" si="24"/>
        <v>40</v>
      </c>
      <c r="C1472" s="35">
        <v>2015</v>
      </c>
      <c r="D1472" s="1" t="s">
        <v>4</v>
      </c>
      <c r="E1472" s="36">
        <v>1893</v>
      </c>
      <c r="F1472" s="36">
        <v>1300</v>
      </c>
      <c r="G1472" s="35">
        <v>593</v>
      </c>
      <c r="H1472" s="1" t="s">
        <v>2</v>
      </c>
      <c r="I1472" s="1"/>
      <c r="J1472" s="1"/>
      <c r="K1472" s="1"/>
      <c r="AA1472" s="1"/>
    </row>
    <row r="1473" spans="1:27" x14ac:dyDescent="0.25">
      <c r="A1473" t="s">
        <v>86</v>
      </c>
      <c r="B1473" t="str">
        <f t="shared" si="24"/>
        <v>40</v>
      </c>
      <c r="C1473" s="35">
        <v>2015</v>
      </c>
      <c r="D1473" s="35">
        <v>2013</v>
      </c>
      <c r="E1473" s="35">
        <v>1</v>
      </c>
      <c r="F1473" s="35">
        <v>1</v>
      </c>
      <c r="G1473" s="1" t="s">
        <v>2</v>
      </c>
      <c r="H1473" s="1" t="s">
        <v>2</v>
      </c>
      <c r="I1473" s="1"/>
      <c r="J1473" s="1"/>
      <c r="K1473" s="1"/>
      <c r="AA1473" s="1"/>
    </row>
    <row r="1474" spans="1:27" x14ac:dyDescent="0.25">
      <c r="A1474" t="s">
        <v>86</v>
      </c>
      <c r="B1474" t="str">
        <f t="shared" si="24"/>
        <v>40</v>
      </c>
      <c r="C1474" s="35">
        <v>2015</v>
      </c>
      <c r="D1474" s="35">
        <v>2014</v>
      </c>
      <c r="E1474" s="35">
        <v>38</v>
      </c>
      <c r="F1474" s="35">
        <v>33</v>
      </c>
      <c r="G1474" s="35">
        <v>5</v>
      </c>
      <c r="H1474" s="1" t="s">
        <v>2</v>
      </c>
      <c r="I1474" s="1"/>
      <c r="J1474" s="1"/>
      <c r="K1474" s="1"/>
      <c r="AA1474" s="1"/>
    </row>
    <row r="1475" spans="1:27" x14ac:dyDescent="0.25">
      <c r="A1475" t="s">
        <v>86</v>
      </c>
      <c r="B1475" t="str">
        <f t="shared" si="24"/>
        <v>40</v>
      </c>
      <c r="C1475" s="35">
        <v>2015</v>
      </c>
      <c r="D1475" s="35">
        <v>2015</v>
      </c>
      <c r="E1475" s="36">
        <v>1854</v>
      </c>
      <c r="F1475" s="36">
        <v>1266</v>
      </c>
      <c r="G1475" s="35">
        <v>588</v>
      </c>
      <c r="H1475" s="1" t="s">
        <v>2</v>
      </c>
      <c r="I1475" s="1"/>
      <c r="J1475" s="1"/>
      <c r="K1475" s="1"/>
      <c r="AA1475" s="1"/>
    </row>
    <row r="1476" spans="1:27" x14ac:dyDescent="0.25">
      <c r="A1476" t="s">
        <v>86</v>
      </c>
      <c r="B1476" t="str">
        <f t="shared" si="24"/>
        <v>40</v>
      </c>
      <c r="C1476" s="35">
        <v>2016</v>
      </c>
      <c r="D1476" s="1" t="s">
        <v>4</v>
      </c>
      <c r="E1476" s="36">
        <v>1939</v>
      </c>
      <c r="F1476" s="36">
        <v>1345</v>
      </c>
      <c r="G1476" s="35">
        <v>593</v>
      </c>
      <c r="H1476" s="35">
        <v>1</v>
      </c>
      <c r="I1476" s="1"/>
      <c r="J1476" s="1"/>
      <c r="K1476" s="1"/>
      <c r="AA1476" s="1"/>
    </row>
    <row r="1477" spans="1:27" x14ac:dyDescent="0.25">
      <c r="A1477" t="s">
        <v>86</v>
      </c>
      <c r="B1477" t="str">
        <f t="shared" si="24"/>
        <v>40</v>
      </c>
      <c r="C1477" s="35">
        <v>2016</v>
      </c>
      <c r="D1477" s="35">
        <v>2009</v>
      </c>
      <c r="E1477" s="35">
        <v>1</v>
      </c>
      <c r="F1477" s="35">
        <v>1</v>
      </c>
      <c r="G1477" s="1" t="s">
        <v>2</v>
      </c>
      <c r="H1477" s="1" t="s">
        <v>2</v>
      </c>
      <c r="I1477" s="1"/>
      <c r="J1477" s="1"/>
      <c r="K1477" s="1"/>
      <c r="AA1477" s="1"/>
    </row>
    <row r="1478" spans="1:27" x14ac:dyDescent="0.25">
      <c r="A1478" t="s">
        <v>86</v>
      </c>
      <c r="B1478" t="str">
        <f t="shared" si="24"/>
        <v>40</v>
      </c>
      <c r="C1478" s="35">
        <v>2016</v>
      </c>
      <c r="D1478" s="35">
        <v>2010</v>
      </c>
      <c r="E1478" s="35">
        <v>2</v>
      </c>
      <c r="F1478" s="35">
        <v>1</v>
      </c>
      <c r="G1478" s="35">
        <v>1</v>
      </c>
      <c r="H1478" s="1" t="s">
        <v>2</v>
      </c>
      <c r="I1478" s="1"/>
      <c r="J1478" s="1"/>
      <c r="K1478" s="1"/>
      <c r="AA1478" s="1"/>
    </row>
    <row r="1479" spans="1:27" x14ac:dyDescent="0.25">
      <c r="A1479" t="s">
        <v>86</v>
      </c>
      <c r="B1479" t="str">
        <f t="shared" ref="B1479:B1542" si="25">IF(A1479="Menores de 1 año",0,LEFT(A1479,2))</f>
        <v>40</v>
      </c>
      <c r="C1479" s="35">
        <v>2016</v>
      </c>
      <c r="D1479" s="35">
        <v>2014</v>
      </c>
      <c r="E1479" s="35">
        <v>1</v>
      </c>
      <c r="F1479" s="35">
        <v>1</v>
      </c>
      <c r="G1479" s="1" t="s">
        <v>2</v>
      </c>
      <c r="H1479" s="1" t="s">
        <v>2</v>
      </c>
      <c r="I1479" s="1"/>
      <c r="J1479" s="1"/>
      <c r="K1479" s="1"/>
      <c r="AA1479" s="1"/>
    </row>
    <row r="1480" spans="1:27" x14ac:dyDescent="0.25">
      <c r="A1480" t="s">
        <v>86</v>
      </c>
      <c r="B1480" t="str">
        <f t="shared" si="25"/>
        <v>40</v>
      </c>
      <c r="C1480" s="35">
        <v>2016</v>
      </c>
      <c r="D1480" s="35">
        <v>2015</v>
      </c>
      <c r="E1480" s="35">
        <v>30</v>
      </c>
      <c r="F1480" s="35">
        <v>24</v>
      </c>
      <c r="G1480" s="35">
        <v>6</v>
      </c>
      <c r="H1480" s="1" t="s">
        <v>2</v>
      </c>
      <c r="I1480" s="1"/>
      <c r="J1480" s="1"/>
      <c r="K1480" s="1"/>
      <c r="AA1480" s="1"/>
    </row>
    <row r="1481" spans="1:27" x14ac:dyDescent="0.25">
      <c r="A1481" t="s">
        <v>86</v>
      </c>
      <c r="B1481" t="str">
        <f t="shared" si="25"/>
        <v>40</v>
      </c>
      <c r="C1481" s="35">
        <v>2016</v>
      </c>
      <c r="D1481" s="35">
        <v>2016</v>
      </c>
      <c r="E1481" s="36">
        <v>1905</v>
      </c>
      <c r="F1481" s="36">
        <v>1318</v>
      </c>
      <c r="G1481" s="35">
        <v>586</v>
      </c>
      <c r="H1481" s="35">
        <v>1</v>
      </c>
      <c r="I1481" s="1"/>
      <c r="J1481" s="1"/>
      <c r="K1481" s="1"/>
      <c r="AA1481" s="1"/>
    </row>
    <row r="1482" spans="1:27" x14ac:dyDescent="0.25">
      <c r="A1482" t="s">
        <v>86</v>
      </c>
      <c r="B1482" t="str">
        <f t="shared" si="25"/>
        <v>40</v>
      </c>
      <c r="C1482" s="35">
        <v>2017</v>
      </c>
      <c r="D1482" s="1" t="s">
        <v>4</v>
      </c>
      <c r="E1482" s="36">
        <v>1806</v>
      </c>
      <c r="F1482" s="36">
        <v>1225</v>
      </c>
      <c r="G1482" s="35">
        <v>581</v>
      </c>
      <c r="H1482" s="1" t="s">
        <v>2</v>
      </c>
      <c r="I1482" s="1"/>
      <c r="J1482" s="1"/>
      <c r="K1482" s="1"/>
      <c r="AA1482" s="1"/>
    </row>
    <row r="1483" spans="1:27" x14ac:dyDescent="0.25">
      <c r="A1483" t="s">
        <v>86</v>
      </c>
      <c r="B1483" t="str">
        <f t="shared" si="25"/>
        <v>40</v>
      </c>
      <c r="C1483" s="35">
        <v>2017</v>
      </c>
      <c r="D1483" s="35">
        <v>2016</v>
      </c>
      <c r="E1483" s="35">
        <v>7</v>
      </c>
      <c r="F1483" s="35">
        <v>6</v>
      </c>
      <c r="G1483" s="35">
        <v>1</v>
      </c>
      <c r="H1483" s="1" t="s">
        <v>2</v>
      </c>
      <c r="I1483" s="1"/>
      <c r="J1483" s="1"/>
      <c r="K1483" s="1"/>
      <c r="AA1483" s="1"/>
    </row>
    <row r="1484" spans="1:27" x14ac:dyDescent="0.25">
      <c r="A1484" t="s">
        <v>86</v>
      </c>
      <c r="B1484" t="str">
        <f t="shared" si="25"/>
        <v>40</v>
      </c>
      <c r="C1484" s="35">
        <v>2017</v>
      </c>
      <c r="D1484" s="35">
        <v>2017</v>
      </c>
      <c r="E1484" s="36">
        <v>1799</v>
      </c>
      <c r="F1484" s="36">
        <v>1219</v>
      </c>
      <c r="G1484" s="35">
        <v>580</v>
      </c>
      <c r="H1484" s="1" t="s">
        <v>2</v>
      </c>
      <c r="I1484" s="1"/>
      <c r="J1484" s="1"/>
      <c r="K1484" s="1"/>
      <c r="AA1484" s="1"/>
    </row>
    <row r="1485" spans="1:27" x14ac:dyDescent="0.25">
      <c r="A1485" t="s">
        <v>86</v>
      </c>
      <c r="B1485" t="str">
        <f t="shared" si="25"/>
        <v>40</v>
      </c>
      <c r="C1485" s="35">
        <v>2018</v>
      </c>
      <c r="D1485" s="1" t="s">
        <v>4</v>
      </c>
      <c r="E1485" s="36">
        <v>1848</v>
      </c>
      <c r="F1485" s="36">
        <v>1266</v>
      </c>
      <c r="G1485" s="35">
        <v>582</v>
      </c>
      <c r="H1485" s="1" t="s">
        <v>2</v>
      </c>
      <c r="I1485" s="1"/>
      <c r="J1485" s="1"/>
      <c r="K1485" s="1"/>
      <c r="AA1485" s="1"/>
    </row>
    <row r="1486" spans="1:27" x14ac:dyDescent="0.25">
      <c r="A1486" t="s">
        <v>86</v>
      </c>
      <c r="B1486" t="str">
        <f t="shared" si="25"/>
        <v>40</v>
      </c>
      <c r="C1486" s="35">
        <v>2018</v>
      </c>
      <c r="D1486" s="35">
        <v>2014</v>
      </c>
      <c r="E1486" s="35">
        <v>1</v>
      </c>
      <c r="F1486" s="35">
        <v>1</v>
      </c>
      <c r="G1486" s="1" t="s">
        <v>2</v>
      </c>
      <c r="H1486" s="1" t="s">
        <v>2</v>
      </c>
      <c r="I1486" s="1"/>
      <c r="J1486" s="1"/>
      <c r="K1486" s="1"/>
      <c r="AA1486" s="1"/>
    </row>
    <row r="1487" spans="1:27" x14ac:dyDescent="0.25">
      <c r="A1487" t="s">
        <v>86</v>
      </c>
      <c r="B1487" t="str">
        <f t="shared" si="25"/>
        <v>40</v>
      </c>
      <c r="C1487" s="35">
        <v>2018</v>
      </c>
      <c r="D1487" s="35">
        <v>2017</v>
      </c>
      <c r="E1487" s="35">
        <v>13</v>
      </c>
      <c r="F1487" s="35">
        <v>8</v>
      </c>
      <c r="G1487" s="35">
        <v>5</v>
      </c>
      <c r="H1487" s="1" t="s">
        <v>2</v>
      </c>
      <c r="I1487" s="1"/>
      <c r="J1487" s="1"/>
      <c r="K1487" s="1"/>
      <c r="AA1487" s="1"/>
    </row>
    <row r="1488" spans="1:27" x14ac:dyDescent="0.25">
      <c r="A1488" t="s">
        <v>86</v>
      </c>
      <c r="B1488" t="str">
        <f t="shared" si="25"/>
        <v>40</v>
      </c>
      <c r="C1488" s="35">
        <v>2018</v>
      </c>
      <c r="D1488" s="35">
        <v>2018</v>
      </c>
      <c r="E1488" s="36">
        <v>1834</v>
      </c>
      <c r="F1488" s="36">
        <v>1257</v>
      </c>
      <c r="G1488" s="35">
        <v>577</v>
      </c>
      <c r="H1488" s="1" t="s">
        <v>2</v>
      </c>
      <c r="I1488" s="1"/>
      <c r="J1488" s="1"/>
      <c r="K1488" s="1"/>
      <c r="AA1488" s="1"/>
    </row>
    <row r="1489" spans="1:27" x14ac:dyDescent="0.25">
      <c r="A1489" t="s">
        <v>86</v>
      </c>
      <c r="B1489" t="str">
        <f t="shared" si="25"/>
        <v>40</v>
      </c>
      <c r="C1489" s="35">
        <v>2019</v>
      </c>
      <c r="D1489" s="1" t="s">
        <v>4</v>
      </c>
      <c r="E1489" s="36">
        <v>1824</v>
      </c>
      <c r="F1489" s="36">
        <v>1220</v>
      </c>
      <c r="G1489" s="35">
        <v>604</v>
      </c>
      <c r="H1489" s="1" t="s">
        <v>2</v>
      </c>
      <c r="I1489" s="1"/>
      <c r="J1489" s="1"/>
      <c r="K1489" s="1"/>
      <c r="AA1489" s="1"/>
    </row>
    <row r="1490" spans="1:27" x14ac:dyDescent="0.25">
      <c r="A1490" t="s">
        <v>86</v>
      </c>
      <c r="B1490" t="str">
        <f t="shared" si="25"/>
        <v>40</v>
      </c>
      <c r="C1490" s="35">
        <v>2019</v>
      </c>
      <c r="D1490" s="35">
        <v>2017</v>
      </c>
      <c r="E1490" s="35">
        <v>1</v>
      </c>
      <c r="F1490" s="35">
        <v>1</v>
      </c>
      <c r="G1490" s="1" t="s">
        <v>2</v>
      </c>
      <c r="H1490" s="1" t="s">
        <v>2</v>
      </c>
      <c r="I1490" s="1"/>
      <c r="J1490" s="1"/>
      <c r="K1490" s="1"/>
      <c r="AA1490" s="1"/>
    </row>
    <row r="1491" spans="1:27" x14ac:dyDescent="0.25">
      <c r="A1491" t="s">
        <v>86</v>
      </c>
      <c r="B1491" t="str">
        <f t="shared" si="25"/>
        <v>40</v>
      </c>
      <c r="C1491" s="35">
        <v>2019</v>
      </c>
      <c r="D1491" s="35">
        <v>2018</v>
      </c>
      <c r="E1491" s="35">
        <v>13</v>
      </c>
      <c r="F1491" s="35">
        <v>10</v>
      </c>
      <c r="G1491" s="35">
        <v>3</v>
      </c>
      <c r="H1491" s="1" t="s">
        <v>2</v>
      </c>
      <c r="I1491" s="1"/>
      <c r="J1491" s="1"/>
      <c r="K1491" s="1"/>
      <c r="AA1491" s="1"/>
    </row>
    <row r="1492" spans="1:27" x14ac:dyDescent="0.25">
      <c r="A1492" t="s">
        <v>86</v>
      </c>
      <c r="B1492" t="str">
        <f t="shared" si="25"/>
        <v>40</v>
      </c>
      <c r="C1492" s="35">
        <v>2019</v>
      </c>
      <c r="D1492" s="35">
        <v>2019</v>
      </c>
      <c r="E1492" s="36">
        <v>1810</v>
      </c>
      <c r="F1492" s="36">
        <v>1209</v>
      </c>
      <c r="G1492" s="35">
        <v>601</v>
      </c>
      <c r="H1492" s="1" t="s">
        <v>2</v>
      </c>
      <c r="I1492" s="1"/>
      <c r="J1492" s="1"/>
      <c r="K1492" s="1"/>
      <c r="AA1492" s="1"/>
    </row>
    <row r="1493" spans="1:27" x14ac:dyDescent="0.25">
      <c r="A1493" t="s">
        <v>86</v>
      </c>
      <c r="B1493" t="str">
        <f t="shared" si="25"/>
        <v>40</v>
      </c>
      <c r="C1493" s="35">
        <v>2020</v>
      </c>
      <c r="D1493" s="1" t="s">
        <v>4</v>
      </c>
      <c r="E1493" s="36">
        <v>3404</v>
      </c>
      <c r="F1493" s="36">
        <v>2437</v>
      </c>
      <c r="G1493" s="35">
        <v>967</v>
      </c>
      <c r="H1493" s="1" t="s">
        <v>2</v>
      </c>
      <c r="I1493" s="1"/>
      <c r="J1493" s="1"/>
      <c r="K1493" s="1"/>
      <c r="AA1493" s="1"/>
    </row>
    <row r="1494" spans="1:27" x14ac:dyDescent="0.25">
      <c r="A1494" t="s">
        <v>86</v>
      </c>
      <c r="B1494" t="str">
        <f t="shared" si="25"/>
        <v>40</v>
      </c>
      <c r="C1494" s="35">
        <v>2020</v>
      </c>
      <c r="D1494" s="35">
        <v>2019</v>
      </c>
      <c r="E1494" s="35">
        <v>14</v>
      </c>
      <c r="F1494" s="35">
        <v>10</v>
      </c>
      <c r="G1494" s="35">
        <v>4</v>
      </c>
      <c r="H1494" s="1" t="s">
        <v>2</v>
      </c>
      <c r="I1494" s="1"/>
      <c r="J1494" s="1"/>
      <c r="K1494" s="1"/>
      <c r="AA1494" s="1"/>
    </row>
    <row r="1495" spans="1:27" x14ac:dyDescent="0.25">
      <c r="A1495" t="s">
        <v>86</v>
      </c>
      <c r="B1495" t="str">
        <f t="shared" si="25"/>
        <v>40</v>
      </c>
      <c r="C1495" s="35">
        <v>2020</v>
      </c>
      <c r="D1495" s="35">
        <v>2020</v>
      </c>
      <c r="E1495" s="36">
        <v>3390</v>
      </c>
      <c r="F1495" s="36">
        <v>2427</v>
      </c>
      <c r="G1495" s="35">
        <v>963</v>
      </c>
      <c r="H1495" s="1" t="s">
        <v>2</v>
      </c>
      <c r="I1495" s="1"/>
      <c r="J1495" s="1"/>
      <c r="K1495" s="1"/>
      <c r="AA1495" s="1"/>
    </row>
    <row r="1496" spans="1:27" x14ac:dyDescent="0.25">
      <c r="A1496" t="s">
        <v>86</v>
      </c>
      <c r="B1496" t="str">
        <f t="shared" si="25"/>
        <v>40</v>
      </c>
      <c r="C1496" s="35">
        <v>2021</v>
      </c>
      <c r="D1496" s="1" t="s">
        <v>4</v>
      </c>
      <c r="E1496" s="36">
        <v>3166</v>
      </c>
      <c r="F1496" s="36">
        <v>2181</v>
      </c>
      <c r="G1496" s="35">
        <v>985</v>
      </c>
      <c r="H1496" s="1" t="s">
        <v>2</v>
      </c>
      <c r="I1496" s="1"/>
      <c r="J1496" s="1"/>
      <c r="K1496" s="1"/>
      <c r="AA1496" s="1"/>
    </row>
    <row r="1497" spans="1:27" x14ac:dyDescent="0.25">
      <c r="A1497" t="s">
        <v>86</v>
      </c>
      <c r="B1497" t="str">
        <f t="shared" si="25"/>
        <v>40</v>
      </c>
      <c r="C1497" s="35">
        <v>2021</v>
      </c>
      <c r="D1497" s="35">
        <v>2020</v>
      </c>
      <c r="E1497" s="35">
        <v>14</v>
      </c>
      <c r="F1497" s="35">
        <v>11</v>
      </c>
      <c r="G1497" s="35">
        <v>3</v>
      </c>
      <c r="H1497" s="1" t="s">
        <v>2</v>
      </c>
      <c r="I1497" s="1"/>
      <c r="J1497" s="1"/>
      <c r="K1497" s="1"/>
      <c r="AA1497" s="1"/>
    </row>
    <row r="1498" spans="1:27" x14ac:dyDescent="0.25">
      <c r="A1498" t="s">
        <v>86</v>
      </c>
      <c r="B1498" t="str">
        <f t="shared" si="25"/>
        <v>40</v>
      </c>
      <c r="C1498" s="35">
        <v>2021</v>
      </c>
      <c r="D1498" s="35">
        <v>2021</v>
      </c>
      <c r="E1498" s="36">
        <v>3152</v>
      </c>
      <c r="F1498" s="36">
        <v>2170</v>
      </c>
      <c r="G1498" s="35">
        <v>982</v>
      </c>
      <c r="H1498" s="1" t="s">
        <v>2</v>
      </c>
      <c r="I1498" s="1"/>
      <c r="J1498" s="1"/>
      <c r="K1498" s="1"/>
      <c r="AA1498" s="1"/>
    </row>
    <row r="1499" spans="1:27" x14ac:dyDescent="0.25">
      <c r="A1499" t="s">
        <v>86</v>
      </c>
      <c r="B1499" t="str">
        <f t="shared" si="25"/>
        <v>40</v>
      </c>
      <c r="C1499" s="35">
        <v>2022</v>
      </c>
      <c r="D1499" s="1" t="s">
        <v>4</v>
      </c>
      <c r="E1499" s="36">
        <v>1663</v>
      </c>
      <c r="F1499" s="36">
        <v>1128</v>
      </c>
      <c r="G1499" s="35">
        <v>535</v>
      </c>
      <c r="H1499" s="1" t="s">
        <v>2</v>
      </c>
      <c r="I1499" s="1"/>
      <c r="J1499" s="1"/>
      <c r="K1499" s="1"/>
      <c r="AA1499" s="1"/>
    </row>
    <row r="1500" spans="1:27" x14ac:dyDescent="0.25">
      <c r="A1500" t="s">
        <v>86</v>
      </c>
      <c r="B1500" t="str">
        <f t="shared" si="25"/>
        <v>40</v>
      </c>
      <c r="C1500" s="35">
        <v>2022</v>
      </c>
      <c r="D1500" s="35">
        <v>2006</v>
      </c>
      <c r="E1500" s="35">
        <v>3</v>
      </c>
      <c r="F1500" s="35">
        <v>3</v>
      </c>
      <c r="G1500" s="1" t="s">
        <v>2</v>
      </c>
      <c r="H1500" s="1" t="s">
        <v>2</v>
      </c>
      <c r="I1500" s="1"/>
      <c r="J1500" s="1"/>
      <c r="K1500" s="1"/>
      <c r="AA1500" s="1"/>
    </row>
    <row r="1501" spans="1:27" x14ac:dyDescent="0.25">
      <c r="A1501" t="s">
        <v>86</v>
      </c>
      <c r="B1501" t="str">
        <f t="shared" si="25"/>
        <v>40</v>
      </c>
      <c r="C1501" s="35">
        <v>2022</v>
      </c>
      <c r="D1501" s="35">
        <v>2009</v>
      </c>
      <c r="E1501" s="35">
        <v>2</v>
      </c>
      <c r="F1501" s="35">
        <v>2</v>
      </c>
      <c r="G1501" s="1" t="s">
        <v>2</v>
      </c>
      <c r="H1501" s="1" t="s">
        <v>2</v>
      </c>
      <c r="I1501" s="1"/>
      <c r="J1501" s="1"/>
      <c r="K1501" s="1"/>
      <c r="AA1501" s="1"/>
    </row>
    <row r="1502" spans="1:27" x14ac:dyDescent="0.25">
      <c r="A1502" t="s">
        <v>86</v>
      </c>
      <c r="B1502" t="str">
        <f t="shared" si="25"/>
        <v>40</v>
      </c>
      <c r="C1502" s="35">
        <v>2022</v>
      </c>
      <c r="D1502" s="35">
        <v>2021</v>
      </c>
      <c r="E1502" s="35">
        <v>5</v>
      </c>
      <c r="F1502" s="35">
        <v>1</v>
      </c>
      <c r="G1502" s="35">
        <v>4</v>
      </c>
      <c r="H1502" s="1" t="s">
        <v>2</v>
      </c>
      <c r="I1502" s="1"/>
      <c r="J1502" s="1"/>
      <c r="K1502" s="1"/>
      <c r="AA1502" s="1"/>
    </row>
    <row r="1503" spans="1:27" x14ac:dyDescent="0.25">
      <c r="A1503" t="s">
        <v>86</v>
      </c>
      <c r="B1503" t="str">
        <f t="shared" si="25"/>
        <v>40</v>
      </c>
      <c r="C1503" s="35">
        <v>2022</v>
      </c>
      <c r="D1503" s="35">
        <v>2022</v>
      </c>
      <c r="E1503" s="36">
        <v>1653</v>
      </c>
      <c r="F1503" s="36">
        <v>1122</v>
      </c>
      <c r="G1503" s="35">
        <v>531</v>
      </c>
      <c r="H1503" s="1" t="s">
        <v>2</v>
      </c>
      <c r="I1503" s="1"/>
      <c r="J1503" s="1"/>
      <c r="K1503" s="1"/>
      <c r="AA1503" s="1"/>
    </row>
    <row r="1504" spans="1:27" x14ac:dyDescent="0.25">
      <c r="A1504" t="s">
        <v>86</v>
      </c>
      <c r="B1504" t="str">
        <f t="shared" si="25"/>
        <v>40</v>
      </c>
      <c r="C1504" s="35">
        <v>2023</v>
      </c>
      <c r="D1504" s="1" t="s">
        <v>4</v>
      </c>
      <c r="E1504" s="36">
        <v>1670</v>
      </c>
      <c r="F1504" s="36">
        <v>1131</v>
      </c>
      <c r="G1504" s="35">
        <v>539</v>
      </c>
      <c r="H1504" s="1" t="s">
        <v>2</v>
      </c>
      <c r="I1504" s="1"/>
      <c r="J1504" s="1"/>
      <c r="K1504" s="1"/>
      <c r="AA1504" s="1"/>
    </row>
    <row r="1505" spans="1:27" x14ac:dyDescent="0.25">
      <c r="A1505" t="s">
        <v>86</v>
      </c>
      <c r="B1505" t="str">
        <f t="shared" si="25"/>
        <v>40</v>
      </c>
      <c r="C1505" s="35">
        <v>2023</v>
      </c>
      <c r="D1505" s="35">
        <v>2022</v>
      </c>
      <c r="E1505" s="35">
        <v>3</v>
      </c>
      <c r="F1505" s="35">
        <v>2</v>
      </c>
      <c r="G1505" s="35">
        <v>1</v>
      </c>
      <c r="H1505" s="1" t="s">
        <v>2</v>
      </c>
      <c r="I1505" s="1"/>
      <c r="J1505" s="1"/>
      <c r="K1505" s="1"/>
      <c r="AA1505" s="1"/>
    </row>
    <row r="1506" spans="1:27" x14ac:dyDescent="0.25">
      <c r="A1506" t="s">
        <v>86</v>
      </c>
      <c r="B1506" t="str">
        <f t="shared" si="25"/>
        <v>40</v>
      </c>
      <c r="C1506" s="35">
        <v>2023</v>
      </c>
      <c r="D1506" s="35">
        <v>2023</v>
      </c>
      <c r="E1506" s="36">
        <v>1667</v>
      </c>
      <c r="F1506" s="36">
        <v>1129</v>
      </c>
      <c r="G1506" s="35">
        <v>538</v>
      </c>
      <c r="H1506" s="1" t="s">
        <v>2</v>
      </c>
      <c r="I1506" s="1"/>
      <c r="J1506" s="1"/>
      <c r="K1506" s="1"/>
      <c r="AA1506" s="1"/>
    </row>
    <row r="1507" spans="1:27" x14ac:dyDescent="0.25">
      <c r="A1507" t="s">
        <v>86</v>
      </c>
      <c r="B1507" t="str">
        <f t="shared" si="25"/>
        <v>40</v>
      </c>
      <c r="C1507" s="35">
        <v>2024</v>
      </c>
      <c r="D1507" s="1" t="s">
        <v>4</v>
      </c>
      <c r="E1507" s="36">
        <v>1719</v>
      </c>
      <c r="F1507" s="36">
        <v>1154</v>
      </c>
      <c r="G1507" s="35">
        <v>565</v>
      </c>
      <c r="H1507" s="1" t="s">
        <v>2</v>
      </c>
      <c r="I1507" s="1"/>
      <c r="J1507" s="1"/>
      <c r="K1507" s="1"/>
      <c r="AA1507" s="1"/>
    </row>
    <row r="1508" spans="1:27" x14ac:dyDescent="0.25">
      <c r="A1508" t="s">
        <v>86</v>
      </c>
      <c r="B1508" t="str">
        <f t="shared" si="25"/>
        <v>40</v>
      </c>
      <c r="C1508" s="35">
        <v>2024</v>
      </c>
      <c r="D1508" s="35">
        <v>2020</v>
      </c>
      <c r="E1508" s="35">
        <v>1</v>
      </c>
      <c r="F1508" s="35">
        <v>1</v>
      </c>
      <c r="G1508" s="1" t="s">
        <v>2</v>
      </c>
      <c r="H1508" s="1" t="s">
        <v>2</v>
      </c>
      <c r="I1508" s="1"/>
      <c r="J1508" s="1"/>
      <c r="K1508" s="1"/>
      <c r="AA1508" s="1"/>
    </row>
    <row r="1509" spans="1:27" x14ac:dyDescent="0.25">
      <c r="A1509" t="s">
        <v>86</v>
      </c>
      <c r="B1509" t="str">
        <f t="shared" si="25"/>
        <v>40</v>
      </c>
      <c r="C1509" s="35">
        <v>2024</v>
      </c>
      <c r="D1509" s="35">
        <v>2022</v>
      </c>
      <c r="E1509" s="35">
        <v>1</v>
      </c>
      <c r="F1509" s="35">
        <v>1</v>
      </c>
      <c r="G1509" s="1" t="s">
        <v>2</v>
      </c>
      <c r="H1509" s="1" t="s">
        <v>2</v>
      </c>
      <c r="I1509" s="1"/>
      <c r="J1509" s="1"/>
      <c r="K1509" s="1"/>
      <c r="AA1509" s="1"/>
    </row>
    <row r="1510" spans="1:27" x14ac:dyDescent="0.25">
      <c r="A1510" t="s">
        <v>86</v>
      </c>
      <c r="B1510" t="str">
        <f t="shared" si="25"/>
        <v>40</v>
      </c>
      <c r="C1510" s="35">
        <v>2024</v>
      </c>
      <c r="D1510" s="35">
        <v>2023</v>
      </c>
      <c r="E1510" s="35">
        <v>5</v>
      </c>
      <c r="F1510" s="35">
        <v>3</v>
      </c>
      <c r="G1510" s="35">
        <v>2</v>
      </c>
      <c r="H1510" s="1" t="s">
        <v>2</v>
      </c>
      <c r="I1510" s="1"/>
      <c r="J1510" s="1"/>
      <c r="K1510" s="1"/>
      <c r="AA1510" s="1"/>
    </row>
    <row r="1511" spans="1:27" x14ac:dyDescent="0.25">
      <c r="A1511" t="s">
        <v>86</v>
      </c>
      <c r="B1511" t="str">
        <f t="shared" si="25"/>
        <v>40</v>
      </c>
      <c r="C1511" s="35">
        <v>2024</v>
      </c>
      <c r="D1511" s="35">
        <v>2024</v>
      </c>
      <c r="E1511" s="36">
        <v>1712</v>
      </c>
      <c r="F1511" s="36">
        <v>1149</v>
      </c>
      <c r="G1511" s="35">
        <v>563</v>
      </c>
      <c r="H1511" s="1" t="s">
        <v>2</v>
      </c>
      <c r="I1511" s="1"/>
      <c r="J1511" s="1"/>
      <c r="K1511" s="1"/>
      <c r="AA1511" s="1"/>
    </row>
    <row r="1512" spans="1:27" x14ac:dyDescent="0.25">
      <c r="A1512" t="s">
        <v>87</v>
      </c>
      <c r="B1512" t="str">
        <f t="shared" si="25"/>
        <v>45</v>
      </c>
      <c r="C1512" s="35">
        <v>1990</v>
      </c>
      <c r="D1512" s="1" t="s">
        <v>4</v>
      </c>
      <c r="E1512" s="36">
        <v>1811</v>
      </c>
      <c r="F1512" s="36">
        <v>1137</v>
      </c>
      <c r="G1512" s="35">
        <v>673</v>
      </c>
      <c r="H1512" s="35">
        <v>1</v>
      </c>
      <c r="I1512" s="1"/>
      <c r="J1512" s="1"/>
      <c r="K1512" s="1"/>
      <c r="AA1512" s="1"/>
    </row>
    <row r="1513" spans="1:27" x14ac:dyDescent="0.25">
      <c r="A1513" t="s">
        <v>87</v>
      </c>
      <c r="B1513" t="str">
        <f t="shared" si="25"/>
        <v>45</v>
      </c>
      <c r="C1513" s="35">
        <v>1990</v>
      </c>
      <c r="D1513" s="35">
        <v>1990</v>
      </c>
      <c r="E1513" s="36">
        <v>1801</v>
      </c>
      <c r="F1513" s="36">
        <v>1127</v>
      </c>
      <c r="G1513" s="35">
        <v>673</v>
      </c>
      <c r="H1513" s="35">
        <v>1</v>
      </c>
      <c r="I1513" s="1"/>
      <c r="J1513" s="1"/>
      <c r="K1513" s="1"/>
      <c r="AA1513" s="1"/>
    </row>
    <row r="1514" spans="1:27" x14ac:dyDescent="0.25">
      <c r="A1514" t="s">
        <v>87</v>
      </c>
      <c r="B1514" t="str">
        <f t="shared" si="25"/>
        <v>45</v>
      </c>
      <c r="C1514" s="35">
        <v>1990</v>
      </c>
      <c r="D1514" s="1" t="s">
        <v>24</v>
      </c>
      <c r="E1514" s="35">
        <v>10</v>
      </c>
      <c r="F1514" s="35">
        <v>10</v>
      </c>
      <c r="G1514" s="1" t="s">
        <v>2</v>
      </c>
      <c r="H1514" s="1" t="s">
        <v>2</v>
      </c>
      <c r="I1514" s="1"/>
      <c r="J1514" s="1"/>
      <c r="K1514" s="1"/>
      <c r="AA1514" s="1"/>
    </row>
    <row r="1515" spans="1:27" x14ac:dyDescent="0.25">
      <c r="A1515" t="s">
        <v>87</v>
      </c>
      <c r="B1515" t="str">
        <f t="shared" si="25"/>
        <v>45</v>
      </c>
      <c r="C1515" s="35">
        <v>1991</v>
      </c>
      <c r="D1515" s="1" t="s">
        <v>4</v>
      </c>
      <c r="E1515" s="36">
        <v>1658</v>
      </c>
      <c r="F1515" s="36">
        <v>1042</v>
      </c>
      <c r="G1515" s="35">
        <v>615</v>
      </c>
      <c r="H1515" s="35">
        <v>1</v>
      </c>
      <c r="I1515" s="1"/>
      <c r="J1515" s="1"/>
      <c r="K1515" s="1"/>
      <c r="AA1515" s="1"/>
    </row>
    <row r="1516" spans="1:27" x14ac:dyDescent="0.25">
      <c r="A1516" t="s">
        <v>87</v>
      </c>
      <c r="B1516" t="str">
        <f t="shared" si="25"/>
        <v>45</v>
      </c>
      <c r="C1516" s="35">
        <v>1991</v>
      </c>
      <c r="D1516" s="35">
        <v>1991</v>
      </c>
      <c r="E1516" s="36">
        <v>1652</v>
      </c>
      <c r="F1516" s="36">
        <v>1037</v>
      </c>
      <c r="G1516" s="35">
        <v>615</v>
      </c>
      <c r="H1516" s="1" t="s">
        <v>2</v>
      </c>
      <c r="I1516" s="1"/>
      <c r="J1516" s="1"/>
      <c r="K1516" s="1"/>
      <c r="AA1516" s="1"/>
    </row>
    <row r="1517" spans="1:27" x14ac:dyDescent="0.25">
      <c r="A1517" t="s">
        <v>87</v>
      </c>
      <c r="B1517" t="str">
        <f t="shared" si="25"/>
        <v>45</v>
      </c>
      <c r="C1517" s="35">
        <v>1991</v>
      </c>
      <c r="D1517" s="1" t="s">
        <v>24</v>
      </c>
      <c r="E1517" s="35">
        <v>6</v>
      </c>
      <c r="F1517" s="35">
        <v>5</v>
      </c>
      <c r="G1517" s="1" t="s">
        <v>2</v>
      </c>
      <c r="H1517" s="35">
        <v>1</v>
      </c>
      <c r="I1517" s="1"/>
      <c r="J1517" s="1"/>
      <c r="K1517" s="1"/>
      <c r="AA1517" s="1"/>
    </row>
    <row r="1518" spans="1:27" x14ac:dyDescent="0.25">
      <c r="A1518" t="s">
        <v>87</v>
      </c>
      <c r="B1518" t="str">
        <f t="shared" si="25"/>
        <v>45</v>
      </c>
      <c r="C1518" s="35">
        <v>1992</v>
      </c>
      <c r="D1518" s="1" t="s">
        <v>4</v>
      </c>
      <c r="E1518" s="36">
        <v>1849</v>
      </c>
      <c r="F1518" s="36">
        <v>1146</v>
      </c>
      <c r="G1518" s="35">
        <v>703</v>
      </c>
      <c r="H1518" s="1" t="s">
        <v>2</v>
      </c>
      <c r="I1518" s="1"/>
      <c r="J1518" s="1"/>
      <c r="K1518" s="1"/>
      <c r="AA1518" s="1"/>
    </row>
    <row r="1519" spans="1:27" x14ac:dyDescent="0.25">
      <c r="A1519" t="s">
        <v>87</v>
      </c>
      <c r="B1519" t="str">
        <f t="shared" si="25"/>
        <v>45</v>
      </c>
      <c r="C1519" s="35">
        <v>1992</v>
      </c>
      <c r="D1519" s="35">
        <v>1992</v>
      </c>
      <c r="E1519" s="36">
        <v>1844</v>
      </c>
      <c r="F1519" s="36">
        <v>1142</v>
      </c>
      <c r="G1519" s="35">
        <v>702</v>
      </c>
      <c r="H1519" s="1" t="s">
        <v>2</v>
      </c>
      <c r="I1519" s="1"/>
      <c r="J1519" s="1"/>
      <c r="K1519" s="1"/>
      <c r="AA1519" s="1"/>
    </row>
    <row r="1520" spans="1:27" x14ac:dyDescent="0.25">
      <c r="A1520" t="s">
        <v>87</v>
      </c>
      <c r="B1520" t="str">
        <f t="shared" si="25"/>
        <v>45</v>
      </c>
      <c r="C1520" s="35">
        <v>1992</v>
      </c>
      <c r="D1520" s="1" t="s">
        <v>24</v>
      </c>
      <c r="E1520" s="35">
        <v>5</v>
      </c>
      <c r="F1520" s="35">
        <v>4</v>
      </c>
      <c r="G1520" s="35">
        <v>1</v>
      </c>
      <c r="H1520" s="1" t="s">
        <v>2</v>
      </c>
      <c r="I1520" s="1"/>
      <c r="J1520" s="1"/>
      <c r="K1520" s="1"/>
      <c r="AA1520" s="1"/>
    </row>
    <row r="1521" spans="1:27" x14ac:dyDescent="0.25">
      <c r="A1521" t="s">
        <v>87</v>
      </c>
      <c r="B1521" t="str">
        <f t="shared" si="25"/>
        <v>45</v>
      </c>
      <c r="C1521" s="35">
        <v>1993</v>
      </c>
      <c r="D1521" s="1" t="s">
        <v>4</v>
      </c>
      <c r="E1521" s="36">
        <v>1943</v>
      </c>
      <c r="F1521" s="36">
        <v>1210</v>
      </c>
      <c r="G1521" s="35">
        <v>733</v>
      </c>
      <c r="H1521" s="1" t="s">
        <v>2</v>
      </c>
      <c r="I1521" s="1"/>
      <c r="J1521" s="1"/>
      <c r="K1521" s="1"/>
      <c r="AA1521" s="1"/>
    </row>
    <row r="1522" spans="1:27" x14ac:dyDescent="0.25">
      <c r="A1522" t="s">
        <v>87</v>
      </c>
      <c r="B1522" t="str">
        <f t="shared" si="25"/>
        <v>45</v>
      </c>
      <c r="C1522" s="35">
        <v>1993</v>
      </c>
      <c r="D1522" s="35">
        <v>1943</v>
      </c>
      <c r="E1522" s="35">
        <v>1</v>
      </c>
      <c r="F1522" s="35">
        <v>1</v>
      </c>
      <c r="G1522" s="1" t="s">
        <v>2</v>
      </c>
      <c r="H1522" s="1" t="s">
        <v>2</v>
      </c>
      <c r="I1522" s="1"/>
      <c r="J1522" s="1"/>
      <c r="K1522" s="1"/>
      <c r="AA1522" s="1"/>
    </row>
    <row r="1523" spans="1:27" x14ac:dyDescent="0.25">
      <c r="A1523" t="s">
        <v>87</v>
      </c>
      <c r="B1523" t="str">
        <f t="shared" si="25"/>
        <v>45</v>
      </c>
      <c r="C1523" s="35">
        <v>1993</v>
      </c>
      <c r="D1523" s="35">
        <v>1973</v>
      </c>
      <c r="E1523" s="35">
        <v>1</v>
      </c>
      <c r="F1523" s="1" t="s">
        <v>2</v>
      </c>
      <c r="G1523" s="35">
        <v>1</v>
      </c>
      <c r="H1523" s="1" t="s">
        <v>2</v>
      </c>
      <c r="I1523" s="1"/>
      <c r="J1523" s="1"/>
      <c r="K1523" s="1"/>
      <c r="AA1523" s="1"/>
    </row>
    <row r="1524" spans="1:27" x14ac:dyDescent="0.25">
      <c r="A1524" t="s">
        <v>87</v>
      </c>
      <c r="B1524" t="str">
        <f t="shared" si="25"/>
        <v>45</v>
      </c>
      <c r="C1524" s="35">
        <v>1993</v>
      </c>
      <c r="D1524" s="35">
        <v>1983</v>
      </c>
      <c r="E1524" s="35">
        <v>1</v>
      </c>
      <c r="F1524" s="1" t="s">
        <v>2</v>
      </c>
      <c r="G1524" s="35">
        <v>1</v>
      </c>
      <c r="H1524" s="1" t="s">
        <v>2</v>
      </c>
      <c r="I1524" s="1"/>
      <c r="J1524" s="1"/>
      <c r="K1524" s="1"/>
      <c r="AA1524" s="1"/>
    </row>
    <row r="1525" spans="1:27" x14ac:dyDescent="0.25">
      <c r="A1525" t="s">
        <v>87</v>
      </c>
      <c r="B1525" t="str">
        <f t="shared" si="25"/>
        <v>45</v>
      </c>
      <c r="C1525" s="35">
        <v>1993</v>
      </c>
      <c r="D1525" s="35">
        <v>1992</v>
      </c>
      <c r="E1525" s="35">
        <v>3</v>
      </c>
      <c r="F1525" s="35">
        <v>3</v>
      </c>
      <c r="G1525" s="1" t="s">
        <v>2</v>
      </c>
      <c r="H1525" s="1" t="s">
        <v>2</v>
      </c>
      <c r="I1525" s="1"/>
      <c r="J1525" s="1"/>
      <c r="K1525" s="1"/>
      <c r="AA1525" s="1"/>
    </row>
    <row r="1526" spans="1:27" x14ac:dyDescent="0.25">
      <c r="A1526" t="s">
        <v>87</v>
      </c>
      <c r="B1526" t="str">
        <f t="shared" si="25"/>
        <v>45</v>
      </c>
      <c r="C1526" s="35">
        <v>1993</v>
      </c>
      <c r="D1526" s="35">
        <v>1993</v>
      </c>
      <c r="E1526" s="36">
        <v>1928</v>
      </c>
      <c r="F1526" s="36">
        <v>1198</v>
      </c>
      <c r="G1526" s="35">
        <v>730</v>
      </c>
      <c r="H1526" s="1" t="s">
        <v>2</v>
      </c>
      <c r="I1526" s="1"/>
      <c r="J1526" s="1"/>
      <c r="K1526" s="1"/>
      <c r="AA1526" s="1"/>
    </row>
    <row r="1527" spans="1:27" x14ac:dyDescent="0.25">
      <c r="A1527" t="s">
        <v>87</v>
      </c>
      <c r="B1527" t="str">
        <f t="shared" si="25"/>
        <v>45</v>
      </c>
      <c r="C1527" s="35">
        <v>1993</v>
      </c>
      <c r="D1527" s="1" t="s">
        <v>24</v>
      </c>
      <c r="E1527" s="35">
        <v>9</v>
      </c>
      <c r="F1527" s="35">
        <v>8</v>
      </c>
      <c r="G1527" s="35">
        <v>1</v>
      </c>
      <c r="H1527" s="1" t="s">
        <v>2</v>
      </c>
      <c r="I1527" s="1"/>
      <c r="J1527" s="1"/>
      <c r="K1527" s="1"/>
      <c r="AA1527" s="1"/>
    </row>
    <row r="1528" spans="1:27" x14ac:dyDescent="0.25">
      <c r="A1528" t="s">
        <v>87</v>
      </c>
      <c r="B1528" t="str">
        <f t="shared" si="25"/>
        <v>45</v>
      </c>
      <c r="C1528" s="35">
        <v>1994</v>
      </c>
      <c r="D1528" s="1" t="s">
        <v>4</v>
      </c>
      <c r="E1528" s="36">
        <v>1844</v>
      </c>
      <c r="F1528" s="36">
        <v>1173</v>
      </c>
      <c r="G1528" s="35">
        <v>671</v>
      </c>
      <c r="H1528" s="1" t="s">
        <v>2</v>
      </c>
      <c r="I1528" s="1"/>
      <c r="J1528" s="1"/>
      <c r="K1528" s="1"/>
      <c r="AA1528" s="1"/>
    </row>
    <row r="1529" spans="1:27" x14ac:dyDescent="0.25">
      <c r="A1529" t="s">
        <v>87</v>
      </c>
      <c r="B1529" t="str">
        <f t="shared" si="25"/>
        <v>45</v>
      </c>
      <c r="C1529" s="35">
        <v>1994</v>
      </c>
      <c r="D1529" s="35">
        <v>1993</v>
      </c>
      <c r="E1529" s="35">
        <v>10</v>
      </c>
      <c r="F1529" s="35">
        <v>5</v>
      </c>
      <c r="G1529" s="35">
        <v>5</v>
      </c>
      <c r="H1529" s="1" t="s">
        <v>2</v>
      </c>
      <c r="I1529" s="1"/>
      <c r="J1529" s="1"/>
      <c r="K1529" s="1"/>
      <c r="AA1529" s="1"/>
    </row>
    <row r="1530" spans="1:27" x14ac:dyDescent="0.25">
      <c r="A1530" t="s">
        <v>87</v>
      </c>
      <c r="B1530" t="str">
        <f t="shared" si="25"/>
        <v>45</v>
      </c>
      <c r="C1530" s="35">
        <v>1994</v>
      </c>
      <c r="D1530" s="35">
        <v>1994</v>
      </c>
      <c r="E1530" s="36">
        <v>1834</v>
      </c>
      <c r="F1530" s="36">
        <v>1168</v>
      </c>
      <c r="G1530" s="35">
        <v>666</v>
      </c>
      <c r="H1530" s="1" t="s">
        <v>2</v>
      </c>
      <c r="I1530" s="1"/>
      <c r="J1530" s="1"/>
      <c r="K1530" s="1"/>
      <c r="AA1530" s="1"/>
    </row>
    <row r="1531" spans="1:27" x14ac:dyDescent="0.25">
      <c r="A1531" t="s">
        <v>87</v>
      </c>
      <c r="B1531" t="str">
        <f t="shared" si="25"/>
        <v>45</v>
      </c>
      <c r="C1531" s="35">
        <v>1995</v>
      </c>
      <c r="D1531" s="1" t="s">
        <v>4</v>
      </c>
      <c r="E1531" s="36">
        <v>1876</v>
      </c>
      <c r="F1531" s="36">
        <v>1181</v>
      </c>
      <c r="G1531" s="35">
        <v>695</v>
      </c>
      <c r="H1531" s="1" t="s">
        <v>2</v>
      </c>
      <c r="I1531" s="1"/>
      <c r="J1531" s="1"/>
      <c r="K1531" s="1"/>
      <c r="AA1531" s="1"/>
    </row>
    <row r="1532" spans="1:27" x14ac:dyDescent="0.25">
      <c r="A1532" t="s">
        <v>87</v>
      </c>
      <c r="B1532" t="str">
        <f t="shared" si="25"/>
        <v>45</v>
      </c>
      <c r="C1532" s="35">
        <v>1995</v>
      </c>
      <c r="D1532" s="35">
        <v>1945</v>
      </c>
      <c r="E1532" s="35">
        <v>1</v>
      </c>
      <c r="F1532" s="35">
        <v>1</v>
      </c>
      <c r="G1532" s="1" t="s">
        <v>2</v>
      </c>
      <c r="H1532" s="1" t="s">
        <v>2</v>
      </c>
      <c r="I1532" s="1"/>
      <c r="J1532" s="1"/>
      <c r="K1532" s="1"/>
      <c r="AA1532" s="1"/>
    </row>
    <row r="1533" spans="1:27" x14ac:dyDescent="0.25">
      <c r="A1533" t="s">
        <v>87</v>
      </c>
      <c r="B1533" t="str">
        <f t="shared" si="25"/>
        <v>45</v>
      </c>
      <c r="C1533" s="35">
        <v>1995</v>
      </c>
      <c r="D1533" s="35">
        <v>1949</v>
      </c>
      <c r="E1533" s="35">
        <v>1</v>
      </c>
      <c r="F1533" s="35">
        <v>1</v>
      </c>
      <c r="G1533" s="1" t="s">
        <v>2</v>
      </c>
      <c r="H1533" s="1" t="s">
        <v>2</v>
      </c>
      <c r="I1533" s="1"/>
      <c r="J1533" s="1"/>
      <c r="K1533" s="1"/>
      <c r="AA1533" s="1"/>
    </row>
    <row r="1534" spans="1:27" x14ac:dyDescent="0.25">
      <c r="A1534" t="s">
        <v>87</v>
      </c>
      <c r="B1534" t="str">
        <f t="shared" si="25"/>
        <v>45</v>
      </c>
      <c r="C1534" s="35">
        <v>1995</v>
      </c>
      <c r="D1534" s="35">
        <v>1987</v>
      </c>
      <c r="E1534" s="35">
        <v>1</v>
      </c>
      <c r="F1534" s="35">
        <v>1</v>
      </c>
      <c r="G1534" s="1" t="s">
        <v>2</v>
      </c>
      <c r="H1534" s="1" t="s">
        <v>2</v>
      </c>
      <c r="I1534" s="1"/>
      <c r="J1534" s="1"/>
      <c r="K1534" s="1"/>
      <c r="AA1534" s="1"/>
    </row>
    <row r="1535" spans="1:27" x14ac:dyDescent="0.25">
      <c r="A1535" t="s">
        <v>87</v>
      </c>
      <c r="B1535" t="str">
        <f t="shared" si="25"/>
        <v>45</v>
      </c>
      <c r="C1535" s="35">
        <v>1995</v>
      </c>
      <c r="D1535" s="35">
        <v>1994</v>
      </c>
      <c r="E1535" s="35">
        <v>15</v>
      </c>
      <c r="F1535" s="35">
        <v>10</v>
      </c>
      <c r="G1535" s="35">
        <v>5</v>
      </c>
      <c r="H1535" s="1" t="s">
        <v>2</v>
      </c>
      <c r="I1535" s="1"/>
      <c r="J1535" s="1"/>
      <c r="K1535" s="1"/>
      <c r="AA1535" s="1"/>
    </row>
    <row r="1536" spans="1:27" x14ac:dyDescent="0.25">
      <c r="A1536" t="s">
        <v>87</v>
      </c>
      <c r="B1536" t="str">
        <f t="shared" si="25"/>
        <v>45</v>
      </c>
      <c r="C1536" s="35">
        <v>1995</v>
      </c>
      <c r="D1536" s="35">
        <v>1995</v>
      </c>
      <c r="E1536" s="36">
        <v>1858</v>
      </c>
      <c r="F1536" s="36">
        <v>1168</v>
      </c>
      <c r="G1536" s="35">
        <v>690</v>
      </c>
      <c r="H1536" s="1" t="s">
        <v>2</v>
      </c>
      <c r="I1536" s="1"/>
      <c r="J1536" s="1"/>
      <c r="K1536" s="1"/>
      <c r="AA1536" s="1"/>
    </row>
    <row r="1537" spans="1:27" x14ac:dyDescent="0.25">
      <c r="A1537" t="s">
        <v>87</v>
      </c>
      <c r="B1537" t="str">
        <f t="shared" si="25"/>
        <v>45</v>
      </c>
      <c r="C1537" s="35">
        <v>1996</v>
      </c>
      <c r="D1537" s="1" t="s">
        <v>4</v>
      </c>
      <c r="E1537" s="36">
        <v>1865</v>
      </c>
      <c r="F1537" s="36">
        <v>1198</v>
      </c>
      <c r="G1537" s="35">
        <v>667</v>
      </c>
      <c r="H1537" s="1" t="s">
        <v>2</v>
      </c>
      <c r="I1537" s="1"/>
      <c r="J1537" s="1"/>
      <c r="K1537" s="1"/>
      <c r="AA1537" s="1"/>
    </row>
    <row r="1538" spans="1:27" x14ac:dyDescent="0.25">
      <c r="A1538" t="s">
        <v>87</v>
      </c>
      <c r="B1538" t="str">
        <f t="shared" si="25"/>
        <v>45</v>
      </c>
      <c r="C1538" s="35">
        <v>1996</v>
      </c>
      <c r="D1538" s="35">
        <v>1994</v>
      </c>
      <c r="E1538" s="35">
        <v>1</v>
      </c>
      <c r="F1538" s="35">
        <v>1</v>
      </c>
      <c r="G1538" s="1" t="s">
        <v>2</v>
      </c>
      <c r="H1538" s="1" t="s">
        <v>2</v>
      </c>
      <c r="I1538" s="1"/>
      <c r="J1538" s="1"/>
      <c r="K1538" s="1"/>
      <c r="AA1538" s="1"/>
    </row>
    <row r="1539" spans="1:27" x14ac:dyDescent="0.25">
      <c r="A1539" t="s">
        <v>87</v>
      </c>
      <c r="B1539" t="str">
        <f t="shared" si="25"/>
        <v>45</v>
      </c>
      <c r="C1539" s="35">
        <v>1996</v>
      </c>
      <c r="D1539" s="35">
        <v>1995</v>
      </c>
      <c r="E1539" s="35">
        <v>9</v>
      </c>
      <c r="F1539" s="35">
        <v>8</v>
      </c>
      <c r="G1539" s="35">
        <v>1</v>
      </c>
      <c r="H1539" s="1" t="s">
        <v>2</v>
      </c>
      <c r="I1539" s="1"/>
      <c r="J1539" s="1"/>
      <c r="K1539" s="1"/>
      <c r="AA1539" s="1"/>
    </row>
    <row r="1540" spans="1:27" x14ac:dyDescent="0.25">
      <c r="A1540" t="s">
        <v>87</v>
      </c>
      <c r="B1540" t="str">
        <f t="shared" si="25"/>
        <v>45</v>
      </c>
      <c r="C1540" s="35">
        <v>1996</v>
      </c>
      <c r="D1540" s="35">
        <v>1996</v>
      </c>
      <c r="E1540" s="36">
        <v>1855</v>
      </c>
      <c r="F1540" s="36">
        <v>1189</v>
      </c>
      <c r="G1540" s="35">
        <v>666</v>
      </c>
      <c r="H1540" s="1" t="s">
        <v>2</v>
      </c>
      <c r="I1540" s="1"/>
      <c r="J1540" s="1"/>
      <c r="K1540" s="1"/>
      <c r="AA1540" s="1"/>
    </row>
    <row r="1541" spans="1:27" x14ac:dyDescent="0.25">
      <c r="A1541" t="s">
        <v>87</v>
      </c>
      <c r="B1541" t="str">
        <f t="shared" si="25"/>
        <v>45</v>
      </c>
      <c r="C1541" s="35">
        <v>1997</v>
      </c>
      <c r="D1541" s="1" t="s">
        <v>4</v>
      </c>
      <c r="E1541" s="36">
        <v>1959</v>
      </c>
      <c r="F1541" s="36">
        <v>1222</v>
      </c>
      <c r="G1541" s="35">
        <v>737</v>
      </c>
      <c r="H1541" s="1" t="s">
        <v>2</v>
      </c>
      <c r="I1541" s="1"/>
      <c r="J1541" s="1"/>
      <c r="K1541" s="1"/>
      <c r="AA1541" s="1"/>
    </row>
    <row r="1542" spans="1:27" x14ac:dyDescent="0.25">
      <c r="A1542" t="s">
        <v>87</v>
      </c>
      <c r="B1542" t="str">
        <f t="shared" si="25"/>
        <v>45</v>
      </c>
      <c r="C1542" s="35">
        <v>1997</v>
      </c>
      <c r="D1542" s="35">
        <v>1947</v>
      </c>
      <c r="E1542" s="35">
        <v>1</v>
      </c>
      <c r="F1542" s="1" t="s">
        <v>2</v>
      </c>
      <c r="G1542" s="35">
        <v>1</v>
      </c>
      <c r="H1542" s="1" t="s">
        <v>2</v>
      </c>
      <c r="I1542" s="1"/>
      <c r="J1542" s="1"/>
      <c r="K1542" s="1"/>
      <c r="AA1542" s="1"/>
    </row>
    <row r="1543" spans="1:27" x14ac:dyDescent="0.25">
      <c r="A1543" t="s">
        <v>87</v>
      </c>
      <c r="B1543" t="str">
        <f t="shared" ref="B1543:B1606" si="26">IF(A1543="Menores de 1 año",0,LEFT(A1543,2))</f>
        <v>45</v>
      </c>
      <c r="C1543" s="35">
        <v>1997</v>
      </c>
      <c r="D1543" s="35">
        <v>1993</v>
      </c>
      <c r="E1543" s="35">
        <v>1</v>
      </c>
      <c r="F1543" s="35">
        <v>1</v>
      </c>
      <c r="G1543" s="1" t="s">
        <v>2</v>
      </c>
      <c r="H1543" s="1" t="s">
        <v>2</v>
      </c>
      <c r="I1543" s="1"/>
      <c r="J1543" s="1"/>
      <c r="K1543" s="1"/>
      <c r="AA1543" s="1"/>
    </row>
    <row r="1544" spans="1:27" x14ac:dyDescent="0.25">
      <c r="A1544" t="s">
        <v>87</v>
      </c>
      <c r="B1544" t="str">
        <f t="shared" si="26"/>
        <v>45</v>
      </c>
      <c r="C1544" s="35">
        <v>1997</v>
      </c>
      <c r="D1544" s="35">
        <v>1996</v>
      </c>
      <c r="E1544" s="35">
        <v>9</v>
      </c>
      <c r="F1544" s="35">
        <v>9</v>
      </c>
      <c r="G1544" s="1" t="s">
        <v>2</v>
      </c>
      <c r="H1544" s="1" t="s">
        <v>2</v>
      </c>
      <c r="I1544" s="1"/>
      <c r="J1544" s="1"/>
      <c r="K1544" s="1"/>
      <c r="AA1544" s="1"/>
    </row>
    <row r="1545" spans="1:27" x14ac:dyDescent="0.25">
      <c r="A1545" t="s">
        <v>87</v>
      </c>
      <c r="B1545" t="str">
        <f t="shared" si="26"/>
        <v>45</v>
      </c>
      <c r="C1545" s="35">
        <v>1997</v>
      </c>
      <c r="D1545" s="35">
        <v>1997</v>
      </c>
      <c r="E1545" s="36">
        <v>1948</v>
      </c>
      <c r="F1545" s="36">
        <v>1212</v>
      </c>
      <c r="G1545" s="35">
        <v>736</v>
      </c>
      <c r="H1545" s="1" t="s">
        <v>2</v>
      </c>
      <c r="I1545" s="1"/>
      <c r="J1545" s="1"/>
      <c r="K1545" s="1"/>
      <c r="AA1545" s="1"/>
    </row>
    <row r="1546" spans="1:27" x14ac:dyDescent="0.25">
      <c r="A1546" t="s">
        <v>87</v>
      </c>
      <c r="B1546" t="str">
        <f t="shared" si="26"/>
        <v>45</v>
      </c>
      <c r="C1546" s="35">
        <v>1998</v>
      </c>
      <c r="D1546" s="1" t="s">
        <v>4</v>
      </c>
      <c r="E1546" s="36">
        <v>1938</v>
      </c>
      <c r="F1546" s="36">
        <v>1237</v>
      </c>
      <c r="G1546" s="35">
        <v>701</v>
      </c>
      <c r="H1546" s="1" t="s">
        <v>2</v>
      </c>
      <c r="I1546" s="1"/>
      <c r="J1546" s="1"/>
      <c r="K1546" s="1"/>
      <c r="AA1546" s="1"/>
    </row>
    <row r="1547" spans="1:27" x14ac:dyDescent="0.25">
      <c r="A1547" t="s">
        <v>87</v>
      </c>
      <c r="B1547" t="str">
        <f t="shared" si="26"/>
        <v>45</v>
      </c>
      <c r="C1547" s="35">
        <v>1998</v>
      </c>
      <c r="D1547" s="35">
        <v>1958</v>
      </c>
      <c r="E1547" s="35">
        <v>1</v>
      </c>
      <c r="F1547" s="1" t="s">
        <v>2</v>
      </c>
      <c r="G1547" s="35">
        <v>1</v>
      </c>
      <c r="H1547" s="1" t="s">
        <v>2</v>
      </c>
      <c r="I1547" s="1"/>
      <c r="J1547" s="1"/>
      <c r="K1547" s="1"/>
      <c r="AA1547" s="1"/>
    </row>
    <row r="1548" spans="1:27" x14ac:dyDescent="0.25">
      <c r="A1548" t="s">
        <v>87</v>
      </c>
      <c r="B1548" t="str">
        <f t="shared" si="26"/>
        <v>45</v>
      </c>
      <c r="C1548" s="35">
        <v>1998</v>
      </c>
      <c r="D1548" s="35">
        <v>1981</v>
      </c>
      <c r="E1548" s="35">
        <v>1</v>
      </c>
      <c r="F1548" s="1" t="s">
        <v>2</v>
      </c>
      <c r="G1548" s="35">
        <v>1</v>
      </c>
      <c r="H1548" s="1" t="s">
        <v>2</v>
      </c>
      <c r="I1548" s="1"/>
      <c r="J1548" s="1"/>
      <c r="K1548" s="1"/>
      <c r="AA1548" s="1"/>
    </row>
    <row r="1549" spans="1:27" x14ac:dyDescent="0.25">
      <c r="A1549" t="s">
        <v>87</v>
      </c>
      <c r="B1549" t="str">
        <f t="shared" si="26"/>
        <v>45</v>
      </c>
      <c r="C1549" s="35">
        <v>1998</v>
      </c>
      <c r="D1549" s="35">
        <v>1997</v>
      </c>
      <c r="E1549" s="35">
        <v>11</v>
      </c>
      <c r="F1549" s="35">
        <v>9</v>
      </c>
      <c r="G1549" s="35">
        <v>2</v>
      </c>
      <c r="H1549" s="1" t="s">
        <v>2</v>
      </c>
      <c r="I1549" s="1"/>
      <c r="J1549" s="1"/>
      <c r="K1549" s="1"/>
      <c r="AA1549" s="1"/>
    </row>
    <row r="1550" spans="1:27" x14ac:dyDescent="0.25">
      <c r="A1550" t="s">
        <v>87</v>
      </c>
      <c r="B1550" t="str">
        <f t="shared" si="26"/>
        <v>45</v>
      </c>
      <c r="C1550" s="35">
        <v>1998</v>
      </c>
      <c r="D1550" s="35">
        <v>1998</v>
      </c>
      <c r="E1550" s="36">
        <v>1925</v>
      </c>
      <c r="F1550" s="36">
        <v>1228</v>
      </c>
      <c r="G1550" s="35">
        <v>697</v>
      </c>
      <c r="H1550" s="1" t="s">
        <v>2</v>
      </c>
      <c r="I1550" s="1"/>
      <c r="J1550" s="1"/>
      <c r="K1550" s="1"/>
      <c r="AA1550" s="1"/>
    </row>
    <row r="1551" spans="1:27" x14ac:dyDescent="0.25">
      <c r="A1551" t="s">
        <v>87</v>
      </c>
      <c r="B1551" t="str">
        <f t="shared" si="26"/>
        <v>45</v>
      </c>
      <c r="C1551" s="35">
        <v>1999</v>
      </c>
      <c r="D1551" s="1" t="s">
        <v>4</v>
      </c>
      <c r="E1551" s="36">
        <v>1859</v>
      </c>
      <c r="F1551" s="36">
        <v>1153</v>
      </c>
      <c r="G1551" s="35">
        <v>706</v>
      </c>
      <c r="H1551" s="1" t="s">
        <v>2</v>
      </c>
      <c r="I1551" s="1"/>
      <c r="J1551" s="1"/>
      <c r="K1551" s="1"/>
      <c r="AA1551" s="1"/>
    </row>
    <row r="1552" spans="1:27" x14ac:dyDescent="0.25">
      <c r="A1552" t="s">
        <v>87</v>
      </c>
      <c r="B1552" t="str">
        <f t="shared" si="26"/>
        <v>45</v>
      </c>
      <c r="C1552" s="35">
        <v>1999</v>
      </c>
      <c r="D1552" s="35">
        <v>1998</v>
      </c>
      <c r="E1552" s="35">
        <v>5</v>
      </c>
      <c r="F1552" s="35">
        <v>3</v>
      </c>
      <c r="G1552" s="35">
        <v>2</v>
      </c>
      <c r="H1552" s="1" t="s">
        <v>2</v>
      </c>
      <c r="I1552" s="1"/>
      <c r="J1552" s="1"/>
      <c r="K1552" s="1"/>
      <c r="AA1552" s="1"/>
    </row>
    <row r="1553" spans="1:27" x14ac:dyDescent="0.25">
      <c r="A1553" t="s">
        <v>87</v>
      </c>
      <c r="B1553" t="str">
        <f t="shared" si="26"/>
        <v>45</v>
      </c>
      <c r="C1553" s="35">
        <v>1999</v>
      </c>
      <c r="D1553" s="35">
        <v>1999</v>
      </c>
      <c r="E1553" s="36">
        <v>1854</v>
      </c>
      <c r="F1553" s="36">
        <v>1150</v>
      </c>
      <c r="G1553" s="35">
        <v>704</v>
      </c>
      <c r="H1553" s="1" t="s">
        <v>2</v>
      </c>
      <c r="I1553" s="1"/>
      <c r="J1553" s="1"/>
      <c r="K1553" s="1"/>
      <c r="AA1553" s="1"/>
    </row>
    <row r="1554" spans="1:27" x14ac:dyDescent="0.25">
      <c r="A1554" t="s">
        <v>87</v>
      </c>
      <c r="B1554" t="str">
        <f t="shared" si="26"/>
        <v>45</v>
      </c>
      <c r="C1554" s="35">
        <v>2000</v>
      </c>
      <c r="D1554" s="1" t="s">
        <v>4</v>
      </c>
      <c r="E1554" s="36">
        <v>1872</v>
      </c>
      <c r="F1554" s="36">
        <v>1139</v>
      </c>
      <c r="G1554" s="35">
        <v>733</v>
      </c>
      <c r="H1554" s="1" t="s">
        <v>2</v>
      </c>
      <c r="I1554" s="1"/>
      <c r="J1554" s="1"/>
      <c r="K1554" s="1"/>
      <c r="AA1554" s="1"/>
    </row>
    <row r="1555" spans="1:27" x14ac:dyDescent="0.25">
      <c r="A1555" t="s">
        <v>87</v>
      </c>
      <c r="B1555" t="str">
        <f t="shared" si="26"/>
        <v>45</v>
      </c>
      <c r="C1555" s="35">
        <v>2000</v>
      </c>
      <c r="D1555" s="35">
        <v>1999</v>
      </c>
      <c r="E1555" s="35">
        <v>8</v>
      </c>
      <c r="F1555" s="35">
        <v>8</v>
      </c>
      <c r="G1555" s="1" t="s">
        <v>2</v>
      </c>
      <c r="H1555" s="1" t="s">
        <v>2</v>
      </c>
      <c r="I1555" s="1"/>
      <c r="J1555" s="1"/>
      <c r="K1555" s="1"/>
      <c r="AA1555" s="1"/>
    </row>
    <row r="1556" spans="1:27" x14ac:dyDescent="0.25">
      <c r="A1556" t="s">
        <v>87</v>
      </c>
      <c r="B1556" t="str">
        <f t="shared" si="26"/>
        <v>45</v>
      </c>
      <c r="C1556" s="35">
        <v>2000</v>
      </c>
      <c r="D1556" s="35">
        <v>2000</v>
      </c>
      <c r="E1556" s="36">
        <v>1864</v>
      </c>
      <c r="F1556" s="36">
        <v>1131</v>
      </c>
      <c r="G1556" s="35">
        <v>733</v>
      </c>
      <c r="H1556" s="1" t="s">
        <v>2</v>
      </c>
      <c r="I1556" s="1"/>
      <c r="J1556" s="1"/>
      <c r="K1556" s="1"/>
      <c r="AA1556" s="1"/>
    </row>
    <row r="1557" spans="1:27" x14ac:dyDescent="0.25">
      <c r="A1557" t="s">
        <v>87</v>
      </c>
      <c r="B1557" t="str">
        <f t="shared" si="26"/>
        <v>45</v>
      </c>
      <c r="C1557" s="35">
        <v>2001</v>
      </c>
      <c r="D1557" s="1" t="s">
        <v>4</v>
      </c>
      <c r="E1557" s="36">
        <v>1932</v>
      </c>
      <c r="F1557" s="36">
        <v>1169</v>
      </c>
      <c r="G1557" s="35">
        <v>763</v>
      </c>
      <c r="H1557" s="1" t="s">
        <v>2</v>
      </c>
      <c r="I1557" s="1"/>
      <c r="J1557" s="1"/>
      <c r="K1557" s="1"/>
      <c r="AA1557" s="1"/>
    </row>
    <row r="1558" spans="1:27" x14ac:dyDescent="0.25">
      <c r="A1558" t="s">
        <v>87</v>
      </c>
      <c r="B1558" t="str">
        <f t="shared" si="26"/>
        <v>45</v>
      </c>
      <c r="C1558" s="35">
        <v>2001</v>
      </c>
      <c r="D1558" s="35">
        <v>2000</v>
      </c>
      <c r="E1558" s="35">
        <v>15</v>
      </c>
      <c r="F1558" s="35">
        <v>10</v>
      </c>
      <c r="G1558" s="35">
        <v>5</v>
      </c>
      <c r="H1558" s="1" t="s">
        <v>2</v>
      </c>
      <c r="I1558" s="1"/>
      <c r="J1558" s="1"/>
      <c r="K1558" s="1"/>
      <c r="AA1558" s="1"/>
    </row>
    <row r="1559" spans="1:27" x14ac:dyDescent="0.25">
      <c r="A1559" t="s">
        <v>87</v>
      </c>
      <c r="B1559" t="str">
        <f t="shared" si="26"/>
        <v>45</v>
      </c>
      <c r="C1559" s="35">
        <v>2001</v>
      </c>
      <c r="D1559" s="35">
        <v>2001</v>
      </c>
      <c r="E1559" s="36">
        <v>1917</v>
      </c>
      <c r="F1559" s="36">
        <v>1159</v>
      </c>
      <c r="G1559" s="35">
        <v>758</v>
      </c>
      <c r="H1559" s="1" t="s">
        <v>2</v>
      </c>
      <c r="I1559" s="1"/>
      <c r="J1559" s="1"/>
      <c r="K1559" s="1"/>
      <c r="AA1559" s="1"/>
    </row>
    <row r="1560" spans="1:27" x14ac:dyDescent="0.25">
      <c r="A1560" t="s">
        <v>87</v>
      </c>
      <c r="B1560" t="str">
        <f t="shared" si="26"/>
        <v>45</v>
      </c>
      <c r="C1560" s="35">
        <v>2002</v>
      </c>
      <c r="D1560" s="1" t="s">
        <v>4</v>
      </c>
      <c r="E1560" s="36">
        <v>1937</v>
      </c>
      <c r="F1560" s="36">
        <v>1181</v>
      </c>
      <c r="G1560" s="35">
        <v>756</v>
      </c>
      <c r="H1560" s="1" t="s">
        <v>2</v>
      </c>
      <c r="I1560" s="1"/>
      <c r="J1560" s="1"/>
      <c r="K1560" s="1"/>
      <c r="AA1560" s="1"/>
    </row>
    <row r="1561" spans="1:27" x14ac:dyDescent="0.25">
      <c r="A1561" t="s">
        <v>87</v>
      </c>
      <c r="B1561" t="str">
        <f t="shared" si="26"/>
        <v>45</v>
      </c>
      <c r="C1561" s="35">
        <v>2002</v>
      </c>
      <c r="D1561" s="35">
        <v>1922</v>
      </c>
      <c r="E1561" s="35">
        <v>1</v>
      </c>
      <c r="F1561" s="35">
        <v>1</v>
      </c>
      <c r="G1561" s="1" t="s">
        <v>2</v>
      </c>
      <c r="H1561" s="1" t="s">
        <v>2</v>
      </c>
      <c r="I1561" s="1"/>
      <c r="J1561" s="1"/>
      <c r="K1561" s="1"/>
      <c r="AA1561" s="1"/>
    </row>
    <row r="1562" spans="1:27" x14ac:dyDescent="0.25">
      <c r="A1562" t="s">
        <v>87</v>
      </c>
      <c r="B1562" t="str">
        <f t="shared" si="26"/>
        <v>45</v>
      </c>
      <c r="C1562" s="35">
        <v>2002</v>
      </c>
      <c r="D1562" s="35">
        <v>2001</v>
      </c>
      <c r="E1562" s="35">
        <v>15</v>
      </c>
      <c r="F1562" s="35">
        <v>10</v>
      </c>
      <c r="G1562" s="35">
        <v>5</v>
      </c>
      <c r="H1562" s="1" t="s">
        <v>2</v>
      </c>
      <c r="I1562" s="1"/>
      <c r="J1562" s="1"/>
      <c r="K1562" s="1"/>
      <c r="AA1562" s="1"/>
    </row>
    <row r="1563" spans="1:27" x14ac:dyDescent="0.25">
      <c r="A1563" t="s">
        <v>87</v>
      </c>
      <c r="B1563" t="str">
        <f t="shared" si="26"/>
        <v>45</v>
      </c>
      <c r="C1563" s="35">
        <v>2002</v>
      </c>
      <c r="D1563" s="35">
        <v>2002</v>
      </c>
      <c r="E1563" s="36">
        <v>1921</v>
      </c>
      <c r="F1563" s="36">
        <v>1170</v>
      </c>
      <c r="G1563" s="35">
        <v>751</v>
      </c>
      <c r="H1563" s="1" t="s">
        <v>2</v>
      </c>
      <c r="I1563" s="1"/>
      <c r="J1563" s="1"/>
      <c r="K1563" s="1"/>
      <c r="AA1563" s="1"/>
    </row>
    <row r="1564" spans="1:27" x14ac:dyDescent="0.25">
      <c r="A1564" t="s">
        <v>87</v>
      </c>
      <c r="B1564" t="str">
        <f t="shared" si="26"/>
        <v>45</v>
      </c>
      <c r="C1564" s="35">
        <v>2003</v>
      </c>
      <c r="D1564" s="1" t="s">
        <v>4</v>
      </c>
      <c r="E1564" s="36">
        <v>2013</v>
      </c>
      <c r="F1564" s="36">
        <v>1252</v>
      </c>
      <c r="G1564" s="35">
        <v>761</v>
      </c>
      <c r="H1564" s="1" t="s">
        <v>2</v>
      </c>
      <c r="I1564" s="1"/>
      <c r="J1564" s="1"/>
      <c r="K1564" s="1"/>
      <c r="AA1564" s="1"/>
    </row>
    <row r="1565" spans="1:27" x14ac:dyDescent="0.25">
      <c r="A1565" t="s">
        <v>87</v>
      </c>
      <c r="B1565" t="str">
        <f t="shared" si="26"/>
        <v>45</v>
      </c>
      <c r="C1565" s="35">
        <v>2003</v>
      </c>
      <c r="D1565" s="35">
        <v>2002</v>
      </c>
      <c r="E1565" s="35">
        <v>10</v>
      </c>
      <c r="F1565" s="35">
        <v>4</v>
      </c>
      <c r="G1565" s="35">
        <v>6</v>
      </c>
      <c r="H1565" s="1" t="s">
        <v>2</v>
      </c>
      <c r="I1565" s="1"/>
      <c r="J1565" s="1"/>
      <c r="K1565" s="1"/>
      <c r="AA1565" s="1"/>
    </row>
    <row r="1566" spans="1:27" x14ac:dyDescent="0.25">
      <c r="A1566" t="s">
        <v>87</v>
      </c>
      <c r="B1566" t="str">
        <f t="shared" si="26"/>
        <v>45</v>
      </c>
      <c r="C1566" s="35">
        <v>2003</v>
      </c>
      <c r="D1566" s="35">
        <v>2003</v>
      </c>
      <c r="E1566" s="36">
        <v>2003</v>
      </c>
      <c r="F1566" s="36">
        <v>1248</v>
      </c>
      <c r="G1566" s="35">
        <v>755</v>
      </c>
      <c r="H1566" s="1" t="s">
        <v>2</v>
      </c>
      <c r="I1566" s="1"/>
      <c r="J1566" s="1"/>
      <c r="K1566" s="1"/>
      <c r="AA1566" s="1"/>
    </row>
    <row r="1567" spans="1:27" x14ac:dyDescent="0.25">
      <c r="A1567" t="s">
        <v>87</v>
      </c>
      <c r="B1567" t="str">
        <f t="shared" si="26"/>
        <v>45</v>
      </c>
      <c r="C1567" s="35">
        <v>2004</v>
      </c>
      <c r="D1567" s="1" t="s">
        <v>4</v>
      </c>
      <c r="E1567" s="36">
        <v>1977</v>
      </c>
      <c r="F1567" s="36">
        <v>1220</v>
      </c>
      <c r="G1567" s="35">
        <v>757</v>
      </c>
      <c r="H1567" s="1" t="s">
        <v>2</v>
      </c>
      <c r="I1567" s="1"/>
      <c r="J1567" s="1"/>
      <c r="K1567" s="1"/>
      <c r="AA1567" s="1"/>
    </row>
    <row r="1568" spans="1:27" x14ac:dyDescent="0.25">
      <c r="A1568" t="s">
        <v>87</v>
      </c>
      <c r="B1568" t="str">
        <f t="shared" si="26"/>
        <v>45</v>
      </c>
      <c r="C1568" s="35">
        <v>2004</v>
      </c>
      <c r="D1568" s="35">
        <v>2001</v>
      </c>
      <c r="E1568" s="35">
        <v>1</v>
      </c>
      <c r="F1568" s="1" t="s">
        <v>2</v>
      </c>
      <c r="G1568" s="35">
        <v>1</v>
      </c>
      <c r="H1568" s="1" t="s">
        <v>2</v>
      </c>
      <c r="I1568" s="1"/>
      <c r="J1568" s="1"/>
      <c r="K1568" s="1"/>
      <c r="AA1568" s="1"/>
    </row>
    <row r="1569" spans="1:27" x14ac:dyDescent="0.25">
      <c r="A1569" t="s">
        <v>87</v>
      </c>
      <c r="B1569" t="str">
        <f t="shared" si="26"/>
        <v>45</v>
      </c>
      <c r="C1569" s="35">
        <v>2004</v>
      </c>
      <c r="D1569" s="35">
        <v>2002</v>
      </c>
      <c r="E1569" s="35">
        <v>1</v>
      </c>
      <c r="F1569" s="35">
        <v>1</v>
      </c>
      <c r="G1569" s="1" t="s">
        <v>2</v>
      </c>
      <c r="H1569" s="1" t="s">
        <v>2</v>
      </c>
      <c r="I1569" s="1"/>
      <c r="J1569" s="1"/>
      <c r="K1569" s="1"/>
      <c r="AA1569" s="1"/>
    </row>
    <row r="1570" spans="1:27" x14ac:dyDescent="0.25">
      <c r="A1570" t="s">
        <v>87</v>
      </c>
      <c r="B1570" t="str">
        <f t="shared" si="26"/>
        <v>45</v>
      </c>
      <c r="C1570" s="35">
        <v>2004</v>
      </c>
      <c r="D1570" s="35">
        <v>2003</v>
      </c>
      <c r="E1570" s="35">
        <v>15</v>
      </c>
      <c r="F1570" s="35">
        <v>13</v>
      </c>
      <c r="G1570" s="35">
        <v>2</v>
      </c>
      <c r="H1570" s="1" t="s">
        <v>2</v>
      </c>
      <c r="I1570" s="1"/>
      <c r="J1570" s="1"/>
      <c r="K1570" s="1"/>
      <c r="AA1570" s="1"/>
    </row>
    <row r="1571" spans="1:27" x14ac:dyDescent="0.25">
      <c r="A1571" t="s">
        <v>87</v>
      </c>
      <c r="B1571" t="str">
        <f t="shared" si="26"/>
        <v>45</v>
      </c>
      <c r="C1571" s="35">
        <v>2004</v>
      </c>
      <c r="D1571" s="35">
        <v>2004</v>
      </c>
      <c r="E1571" s="36">
        <v>1960</v>
      </c>
      <c r="F1571" s="36">
        <v>1206</v>
      </c>
      <c r="G1571" s="35">
        <v>754</v>
      </c>
      <c r="H1571" s="1" t="s">
        <v>2</v>
      </c>
      <c r="I1571" s="1"/>
      <c r="J1571" s="1"/>
      <c r="K1571" s="1"/>
      <c r="AA1571" s="1"/>
    </row>
    <row r="1572" spans="1:27" x14ac:dyDescent="0.25">
      <c r="A1572" t="s">
        <v>87</v>
      </c>
      <c r="B1572" t="str">
        <f t="shared" si="26"/>
        <v>45</v>
      </c>
      <c r="C1572" s="35">
        <v>2005</v>
      </c>
      <c r="D1572" s="1" t="s">
        <v>4</v>
      </c>
      <c r="E1572" s="36">
        <v>2075</v>
      </c>
      <c r="F1572" s="36">
        <v>1269</v>
      </c>
      <c r="G1572" s="35">
        <v>806</v>
      </c>
      <c r="H1572" s="1" t="s">
        <v>2</v>
      </c>
      <c r="I1572" s="1"/>
      <c r="J1572" s="1"/>
      <c r="K1572" s="1"/>
      <c r="AA1572" s="1"/>
    </row>
    <row r="1573" spans="1:27" x14ac:dyDescent="0.25">
      <c r="A1573" t="s">
        <v>87</v>
      </c>
      <c r="B1573" t="str">
        <f t="shared" si="26"/>
        <v>45</v>
      </c>
      <c r="C1573" s="35">
        <v>2005</v>
      </c>
      <c r="D1573" s="35">
        <v>1995</v>
      </c>
      <c r="E1573" s="35">
        <v>1</v>
      </c>
      <c r="F1573" s="35">
        <v>1</v>
      </c>
      <c r="G1573" s="1" t="s">
        <v>2</v>
      </c>
      <c r="H1573" s="1" t="s">
        <v>2</v>
      </c>
      <c r="I1573" s="1"/>
      <c r="J1573" s="1"/>
      <c r="K1573" s="1"/>
      <c r="AA1573" s="1"/>
    </row>
    <row r="1574" spans="1:27" x14ac:dyDescent="0.25">
      <c r="A1574" t="s">
        <v>87</v>
      </c>
      <c r="B1574" t="str">
        <f t="shared" si="26"/>
        <v>45</v>
      </c>
      <c r="C1574" s="35">
        <v>2005</v>
      </c>
      <c r="D1574" s="35">
        <v>2003</v>
      </c>
      <c r="E1574" s="35">
        <v>1</v>
      </c>
      <c r="F1574" s="1" t="s">
        <v>2</v>
      </c>
      <c r="G1574" s="35">
        <v>1</v>
      </c>
      <c r="H1574" s="1" t="s">
        <v>2</v>
      </c>
      <c r="I1574" s="1"/>
      <c r="J1574" s="1"/>
      <c r="K1574" s="1"/>
      <c r="AA1574" s="1"/>
    </row>
    <row r="1575" spans="1:27" x14ac:dyDescent="0.25">
      <c r="A1575" t="s">
        <v>87</v>
      </c>
      <c r="B1575" t="str">
        <f t="shared" si="26"/>
        <v>45</v>
      </c>
      <c r="C1575" s="35">
        <v>2005</v>
      </c>
      <c r="D1575" s="35">
        <v>2004</v>
      </c>
      <c r="E1575" s="35">
        <v>10</v>
      </c>
      <c r="F1575" s="35">
        <v>8</v>
      </c>
      <c r="G1575" s="35">
        <v>2</v>
      </c>
      <c r="H1575" s="1" t="s">
        <v>2</v>
      </c>
      <c r="I1575" s="1"/>
      <c r="J1575" s="1"/>
      <c r="K1575" s="1"/>
      <c r="AA1575" s="1"/>
    </row>
    <row r="1576" spans="1:27" x14ac:dyDescent="0.25">
      <c r="A1576" t="s">
        <v>87</v>
      </c>
      <c r="B1576" t="str">
        <f t="shared" si="26"/>
        <v>45</v>
      </c>
      <c r="C1576" s="35">
        <v>2005</v>
      </c>
      <c r="D1576" s="35">
        <v>2005</v>
      </c>
      <c r="E1576" s="36">
        <v>2063</v>
      </c>
      <c r="F1576" s="36">
        <v>1260</v>
      </c>
      <c r="G1576" s="35">
        <v>803</v>
      </c>
      <c r="H1576" s="1" t="s">
        <v>2</v>
      </c>
      <c r="I1576" s="1"/>
      <c r="J1576" s="1"/>
      <c r="K1576" s="1"/>
      <c r="AA1576" s="1"/>
    </row>
    <row r="1577" spans="1:27" x14ac:dyDescent="0.25">
      <c r="A1577" t="s">
        <v>87</v>
      </c>
      <c r="B1577" t="str">
        <f t="shared" si="26"/>
        <v>45</v>
      </c>
      <c r="C1577" s="35">
        <v>2006</v>
      </c>
      <c r="D1577" s="1" t="s">
        <v>4</v>
      </c>
      <c r="E1577" s="36">
        <v>2006</v>
      </c>
      <c r="F1577" s="36">
        <v>1240</v>
      </c>
      <c r="G1577" s="35">
        <v>766</v>
      </c>
      <c r="H1577" s="1" t="s">
        <v>2</v>
      </c>
      <c r="I1577" s="1"/>
      <c r="J1577" s="1"/>
      <c r="K1577" s="1"/>
      <c r="AA1577" s="1"/>
    </row>
    <row r="1578" spans="1:27" x14ac:dyDescent="0.25">
      <c r="A1578" t="s">
        <v>87</v>
      </c>
      <c r="B1578" t="str">
        <f t="shared" si="26"/>
        <v>45</v>
      </c>
      <c r="C1578" s="35">
        <v>2006</v>
      </c>
      <c r="D1578" s="35">
        <v>2005</v>
      </c>
      <c r="E1578" s="35">
        <v>29</v>
      </c>
      <c r="F1578" s="35">
        <v>22</v>
      </c>
      <c r="G1578" s="35">
        <v>7</v>
      </c>
      <c r="H1578" s="1" t="s">
        <v>2</v>
      </c>
      <c r="I1578" s="1"/>
      <c r="J1578" s="1"/>
      <c r="K1578" s="1"/>
      <c r="AA1578" s="1"/>
    </row>
    <row r="1579" spans="1:27" x14ac:dyDescent="0.25">
      <c r="A1579" t="s">
        <v>87</v>
      </c>
      <c r="B1579" t="str">
        <f t="shared" si="26"/>
        <v>45</v>
      </c>
      <c r="C1579" s="35">
        <v>2006</v>
      </c>
      <c r="D1579" s="35">
        <v>2006</v>
      </c>
      <c r="E1579" s="36">
        <v>1977</v>
      </c>
      <c r="F1579" s="36">
        <v>1218</v>
      </c>
      <c r="G1579" s="35">
        <v>759</v>
      </c>
      <c r="H1579" s="1" t="s">
        <v>2</v>
      </c>
      <c r="I1579" s="1"/>
      <c r="J1579" s="1"/>
      <c r="K1579" s="1"/>
      <c r="AA1579" s="1"/>
    </row>
    <row r="1580" spans="1:27" x14ac:dyDescent="0.25">
      <c r="A1580" t="s">
        <v>87</v>
      </c>
      <c r="B1580" t="str">
        <f t="shared" si="26"/>
        <v>45</v>
      </c>
      <c r="C1580" s="35">
        <v>2007</v>
      </c>
      <c r="D1580" s="1" t="s">
        <v>4</v>
      </c>
      <c r="E1580" s="36">
        <v>2137</v>
      </c>
      <c r="F1580" s="36">
        <v>1372</v>
      </c>
      <c r="G1580" s="35">
        <v>765</v>
      </c>
      <c r="H1580" s="1" t="s">
        <v>2</v>
      </c>
      <c r="I1580" s="1"/>
      <c r="J1580" s="1"/>
      <c r="K1580" s="1"/>
      <c r="AA1580" s="1"/>
    </row>
    <row r="1581" spans="1:27" x14ac:dyDescent="0.25">
      <c r="A1581" t="s">
        <v>87</v>
      </c>
      <c r="B1581" t="str">
        <f t="shared" si="26"/>
        <v>45</v>
      </c>
      <c r="C1581" s="35">
        <v>2007</v>
      </c>
      <c r="D1581" s="35">
        <v>2006</v>
      </c>
      <c r="E1581" s="35">
        <v>18</v>
      </c>
      <c r="F1581" s="35">
        <v>17</v>
      </c>
      <c r="G1581" s="35">
        <v>1</v>
      </c>
      <c r="H1581" s="1" t="s">
        <v>2</v>
      </c>
      <c r="I1581" s="1"/>
      <c r="J1581" s="1"/>
      <c r="K1581" s="1"/>
      <c r="AA1581" s="1"/>
    </row>
    <row r="1582" spans="1:27" x14ac:dyDescent="0.25">
      <c r="A1582" t="s">
        <v>87</v>
      </c>
      <c r="B1582" t="str">
        <f t="shared" si="26"/>
        <v>45</v>
      </c>
      <c r="C1582" s="35">
        <v>2007</v>
      </c>
      <c r="D1582" s="35">
        <v>2007</v>
      </c>
      <c r="E1582" s="36">
        <v>2119</v>
      </c>
      <c r="F1582" s="36">
        <v>1355</v>
      </c>
      <c r="G1582" s="35">
        <v>764</v>
      </c>
      <c r="H1582" s="1" t="s">
        <v>2</v>
      </c>
      <c r="I1582" s="1"/>
      <c r="J1582" s="1"/>
      <c r="K1582" s="1"/>
      <c r="AA1582" s="1"/>
    </row>
    <row r="1583" spans="1:27" x14ac:dyDescent="0.25">
      <c r="A1583" t="s">
        <v>87</v>
      </c>
      <c r="B1583" t="str">
        <f t="shared" si="26"/>
        <v>45</v>
      </c>
      <c r="C1583" s="35">
        <v>2008</v>
      </c>
      <c r="D1583" s="1" t="s">
        <v>4</v>
      </c>
      <c r="E1583" s="36">
        <v>2138</v>
      </c>
      <c r="F1583" s="36">
        <v>1306</v>
      </c>
      <c r="G1583" s="35">
        <v>832</v>
      </c>
      <c r="H1583" s="1" t="s">
        <v>2</v>
      </c>
      <c r="I1583" s="1"/>
      <c r="J1583" s="1"/>
      <c r="K1583" s="1"/>
      <c r="AA1583" s="1"/>
    </row>
    <row r="1584" spans="1:27" x14ac:dyDescent="0.25">
      <c r="A1584" t="s">
        <v>87</v>
      </c>
      <c r="B1584" t="str">
        <f t="shared" si="26"/>
        <v>45</v>
      </c>
      <c r="C1584" s="35">
        <v>2008</v>
      </c>
      <c r="D1584" s="35">
        <v>2004</v>
      </c>
      <c r="E1584" s="35">
        <v>7</v>
      </c>
      <c r="F1584" s="35">
        <v>7</v>
      </c>
      <c r="G1584" s="1" t="s">
        <v>2</v>
      </c>
      <c r="H1584" s="1" t="s">
        <v>2</v>
      </c>
      <c r="I1584" s="1"/>
      <c r="J1584" s="1"/>
      <c r="K1584" s="1"/>
      <c r="AA1584" s="1"/>
    </row>
    <row r="1585" spans="1:27" x14ac:dyDescent="0.25">
      <c r="A1585" t="s">
        <v>87</v>
      </c>
      <c r="B1585" t="str">
        <f t="shared" si="26"/>
        <v>45</v>
      </c>
      <c r="C1585" s="35">
        <v>2008</v>
      </c>
      <c r="D1585" s="35">
        <v>2005</v>
      </c>
      <c r="E1585" s="35">
        <v>5</v>
      </c>
      <c r="F1585" s="35">
        <v>3</v>
      </c>
      <c r="G1585" s="35">
        <v>2</v>
      </c>
      <c r="H1585" s="1" t="s">
        <v>2</v>
      </c>
      <c r="I1585" s="1"/>
      <c r="J1585" s="1"/>
      <c r="K1585" s="1"/>
      <c r="AA1585" s="1"/>
    </row>
    <row r="1586" spans="1:27" x14ac:dyDescent="0.25">
      <c r="A1586" t="s">
        <v>87</v>
      </c>
      <c r="B1586" t="str">
        <f t="shared" si="26"/>
        <v>45</v>
      </c>
      <c r="C1586" s="35">
        <v>2008</v>
      </c>
      <c r="D1586" s="35">
        <v>2007</v>
      </c>
      <c r="E1586" s="35">
        <v>27</v>
      </c>
      <c r="F1586" s="35">
        <v>25</v>
      </c>
      <c r="G1586" s="35">
        <v>2</v>
      </c>
      <c r="H1586" s="1" t="s">
        <v>2</v>
      </c>
      <c r="I1586" s="1"/>
      <c r="J1586" s="1"/>
      <c r="K1586" s="1"/>
      <c r="AA1586" s="1"/>
    </row>
    <row r="1587" spans="1:27" x14ac:dyDescent="0.25">
      <c r="A1587" t="s">
        <v>87</v>
      </c>
      <c r="B1587" t="str">
        <f t="shared" si="26"/>
        <v>45</v>
      </c>
      <c r="C1587" s="35">
        <v>2008</v>
      </c>
      <c r="D1587" s="35">
        <v>2008</v>
      </c>
      <c r="E1587" s="36">
        <v>2099</v>
      </c>
      <c r="F1587" s="36">
        <v>1271</v>
      </c>
      <c r="G1587" s="35">
        <v>828</v>
      </c>
      <c r="H1587" s="1" t="s">
        <v>2</v>
      </c>
      <c r="I1587" s="1"/>
      <c r="J1587" s="1"/>
      <c r="K1587" s="1"/>
      <c r="AA1587" s="1"/>
    </row>
    <row r="1588" spans="1:27" x14ac:dyDescent="0.25">
      <c r="A1588" t="s">
        <v>87</v>
      </c>
      <c r="B1588" t="str">
        <f t="shared" si="26"/>
        <v>45</v>
      </c>
      <c r="C1588" s="35">
        <v>2009</v>
      </c>
      <c r="D1588" s="1" t="s">
        <v>4</v>
      </c>
      <c r="E1588" s="36">
        <v>2298</v>
      </c>
      <c r="F1588" s="36">
        <v>1416</v>
      </c>
      <c r="G1588" s="35">
        <v>881</v>
      </c>
      <c r="H1588" s="35">
        <v>1</v>
      </c>
      <c r="I1588" s="1"/>
      <c r="J1588" s="1"/>
      <c r="K1588" s="1"/>
      <c r="AA1588" s="1"/>
    </row>
    <row r="1589" spans="1:27" x14ac:dyDescent="0.25">
      <c r="A1589" t="s">
        <v>87</v>
      </c>
      <c r="B1589" t="str">
        <f t="shared" si="26"/>
        <v>45</v>
      </c>
      <c r="C1589" s="35">
        <v>2009</v>
      </c>
      <c r="D1589" s="35">
        <v>2004</v>
      </c>
      <c r="E1589" s="35">
        <v>1</v>
      </c>
      <c r="F1589" s="35">
        <v>1</v>
      </c>
      <c r="G1589" s="1" t="s">
        <v>2</v>
      </c>
      <c r="H1589" s="1" t="s">
        <v>2</v>
      </c>
      <c r="I1589" s="1"/>
      <c r="J1589" s="1"/>
      <c r="K1589" s="1"/>
      <c r="AA1589" s="1"/>
    </row>
    <row r="1590" spans="1:27" x14ac:dyDescent="0.25">
      <c r="A1590" t="s">
        <v>87</v>
      </c>
      <c r="B1590" t="str">
        <f t="shared" si="26"/>
        <v>45</v>
      </c>
      <c r="C1590" s="35">
        <v>2009</v>
      </c>
      <c r="D1590" s="35">
        <v>2008</v>
      </c>
      <c r="E1590" s="35">
        <v>23</v>
      </c>
      <c r="F1590" s="35">
        <v>21</v>
      </c>
      <c r="G1590" s="35">
        <v>2</v>
      </c>
      <c r="H1590" s="1" t="s">
        <v>2</v>
      </c>
      <c r="I1590" s="1"/>
      <c r="J1590" s="1"/>
      <c r="K1590" s="1"/>
      <c r="AA1590" s="1"/>
    </row>
    <row r="1591" spans="1:27" x14ac:dyDescent="0.25">
      <c r="A1591" t="s">
        <v>87</v>
      </c>
      <c r="B1591" t="str">
        <f t="shared" si="26"/>
        <v>45</v>
      </c>
      <c r="C1591" s="35">
        <v>2009</v>
      </c>
      <c r="D1591" s="35">
        <v>2009</v>
      </c>
      <c r="E1591" s="36">
        <v>2274</v>
      </c>
      <c r="F1591" s="36">
        <v>1394</v>
      </c>
      <c r="G1591" s="35">
        <v>879</v>
      </c>
      <c r="H1591" s="35">
        <v>1</v>
      </c>
      <c r="I1591" s="1"/>
      <c r="J1591" s="1"/>
      <c r="K1591" s="1"/>
      <c r="AA1591" s="1"/>
    </row>
    <row r="1592" spans="1:27" x14ac:dyDescent="0.25">
      <c r="A1592" t="s">
        <v>87</v>
      </c>
      <c r="B1592" t="str">
        <f t="shared" si="26"/>
        <v>45</v>
      </c>
      <c r="C1592" s="35">
        <v>2010</v>
      </c>
      <c r="D1592" s="1" t="s">
        <v>4</v>
      </c>
      <c r="E1592" s="36">
        <v>2266</v>
      </c>
      <c r="F1592" s="36">
        <v>1440</v>
      </c>
      <c r="G1592" s="35">
        <v>826</v>
      </c>
      <c r="H1592" s="1" t="s">
        <v>2</v>
      </c>
      <c r="I1592" s="1"/>
      <c r="J1592" s="1"/>
      <c r="K1592" s="1"/>
      <c r="AA1592" s="1"/>
    </row>
    <row r="1593" spans="1:27" x14ac:dyDescent="0.25">
      <c r="A1593" t="s">
        <v>87</v>
      </c>
      <c r="B1593" t="str">
        <f t="shared" si="26"/>
        <v>45</v>
      </c>
      <c r="C1593" s="35">
        <v>2010</v>
      </c>
      <c r="D1593" s="35">
        <v>2006</v>
      </c>
      <c r="E1593" s="35">
        <v>1</v>
      </c>
      <c r="F1593" s="35">
        <v>1</v>
      </c>
      <c r="G1593" s="1" t="s">
        <v>2</v>
      </c>
      <c r="H1593" s="1" t="s">
        <v>2</v>
      </c>
      <c r="I1593" s="1"/>
      <c r="J1593" s="1"/>
      <c r="K1593" s="1"/>
      <c r="AA1593" s="1"/>
    </row>
    <row r="1594" spans="1:27" x14ac:dyDescent="0.25">
      <c r="A1594" t="s">
        <v>87</v>
      </c>
      <c r="B1594" t="str">
        <f t="shared" si="26"/>
        <v>45</v>
      </c>
      <c r="C1594" s="35">
        <v>2010</v>
      </c>
      <c r="D1594" s="35">
        <v>2009</v>
      </c>
      <c r="E1594" s="35">
        <v>20</v>
      </c>
      <c r="F1594" s="35">
        <v>17</v>
      </c>
      <c r="G1594" s="35">
        <v>3</v>
      </c>
      <c r="H1594" s="1" t="s">
        <v>2</v>
      </c>
      <c r="I1594" s="1"/>
      <c r="J1594" s="1"/>
      <c r="K1594" s="1"/>
      <c r="AA1594" s="1"/>
    </row>
    <row r="1595" spans="1:27" x14ac:dyDescent="0.25">
      <c r="A1595" t="s">
        <v>87</v>
      </c>
      <c r="B1595" t="str">
        <f t="shared" si="26"/>
        <v>45</v>
      </c>
      <c r="C1595" s="35">
        <v>2010</v>
      </c>
      <c r="D1595" s="35">
        <v>2010</v>
      </c>
      <c r="E1595" s="36">
        <v>2245</v>
      </c>
      <c r="F1595" s="36">
        <v>1422</v>
      </c>
      <c r="G1595" s="35">
        <v>823</v>
      </c>
      <c r="H1595" s="1" t="s">
        <v>2</v>
      </c>
      <c r="I1595" s="1"/>
      <c r="J1595" s="1"/>
      <c r="K1595" s="1"/>
      <c r="AA1595" s="1"/>
    </row>
    <row r="1596" spans="1:27" x14ac:dyDescent="0.25">
      <c r="A1596" t="s">
        <v>87</v>
      </c>
      <c r="B1596" t="str">
        <f t="shared" si="26"/>
        <v>45</v>
      </c>
      <c r="C1596" s="35">
        <v>2011</v>
      </c>
      <c r="D1596" s="1" t="s">
        <v>4</v>
      </c>
      <c r="E1596" s="36">
        <v>2183</v>
      </c>
      <c r="F1596" s="36">
        <v>1387</v>
      </c>
      <c r="G1596" s="35">
        <v>796</v>
      </c>
      <c r="H1596" s="1" t="s">
        <v>2</v>
      </c>
      <c r="I1596" s="1"/>
      <c r="J1596" s="1"/>
      <c r="K1596" s="1"/>
      <c r="AA1596" s="1"/>
    </row>
    <row r="1597" spans="1:27" x14ac:dyDescent="0.25">
      <c r="A1597" t="s">
        <v>87</v>
      </c>
      <c r="B1597" t="str">
        <f t="shared" si="26"/>
        <v>45</v>
      </c>
      <c r="C1597" s="35">
        <v>2011</v>
      </c>
      <c r="D1597" s="35">
        <v>2010</v>
      </c>
      <c r="E1597" s="35">
        <v>45</v>
      </c>
      <c r="F1597" s="35">
        <v>37</v>
      </c>
      <c r="G1597" s="35">
        <v>8</v>
      </c>
      <c r="H1597" s="1" t="s">
        <v>2</v>
      </c>
      <c r="I1597" s="1"/>
      <c r="J1597" s="1"/>
      <c r="K1597" s="1"/>
      <c r="AA1597" s="1"/>
    </row>
    <row r="1598" spans="1:27" x14ac:dyDescent="0.25">
      <c r="A1598" t="s">
        <v>87</v>
      </c>
      <c r="B1598" t="str">
        <f t="shared" si="26"/>
        <v>45</v>
      </c>
      <c r="C1598" s="35">
        <v>2011</v>
      </c>
      <c r="D1598" s="35">
        <v>2011</v>
      </c>
      <c r="E1598" s="36">
        <v>2138</v>
      </c>
      <c r="F1598" s="36">
        <v>1350</v>
      </c>
      <c r="G1598" s="35">
        <v>788</v>
      </c>
      <c r="H1598" s="1" t="s">
        <v>2</v>
      </c>
      <c r="I1598" s="1"/>
      <c r="J1598" s="1"/>
      <c r="K1598" s="1"/>
      <c r="AA1598" s="1"/>
    </row>
    <row r="1599" spans="1:27" x14ac:dyDescent="0.25">
      <c r="A1599" t="s">
        <v>87</v>
      </c>
      <c r="B1599" t="str">
        <f t="shared" si="26"/>
        <v>45</v>
      </c>
      <c r="C1599" s="35">
        <v>2012</v>
      </c>
      <c r="D1599" s="1" t="s">
        <v>4</v>
      </c>
      <c r="E1599" s="36">
        <v>2275</v>
      </c>
      <c r="F1599" s="36">
        <v>1491</v>
      </c>
      <c r="G1599" s="35">
        <v>784</v>
      </c>
      <c r="H1599" s="1" t="s">
        <v>2</v>
      </c>
      <c r="I1599" s="1"/>
      <c r="J1599" s="1"/>
      <c r="K1599" s="1"/>
      <c r="AA1599" s="1"/>
    </row>
    <row r="1600" spans="1:27" x14ac:dyDescent="0.25">
      <c r="A1600" t="s">
        <v>87</v>
      </c>
      <c r="B1600" t="str">
        <f t="shared" si="26"/>
        <v>45</v>
      </c>
      <c r="C1600" s="35">
        <v>2012</v>
      </c>
      <c r="D1600" s="35">
        <v>2011</v>
      </c>
      <c r="E1600" s="35">
        <v>35</v>
      </c>
      <c r="F1600" s="35">
        <v>31</v>
      </c>
      <c r="G1600" s="35">
        <v>4</v>
      </c>
      <c r="H1600" s="1" t="s">
        <v>2</v>
      </c>
      <c r="I1600" s="1"/>
      <c r="J1600" s="1"/>
      <c r="K1600" s="1"/>
      <c r="AA1600" s="1"/>
    </row>
    <row r="1601" spans="1:27" x14ac:dyDescent="0.25">
      <c r="A1601" t="s">
        <v>87</v>
      </c>
      <c r="B1601" t="str">
        <f t="shared" si="26"/>
        <v>45</v>
      </c>
      <c r="C1601" s="35">
        <v>2012</v>
      </c>
      <c r="D1601" s="35">
        <v>2012</v>
      </c>
      <c r="E1601" s="36">
        <v>2240</v>
      </c>
      <c r="F1601" s="36">
        <v>1460</v>
      </c>
      <c r="G1601" s="35">
        <v>780</v>
      </c>
      <c r="H1601" s="1" t="s">
        <v>2</v>
      </c>
      <c r="I1601" s="1"/>
      <c r="J1601" s="1"/>
      <c r="K1601" s="1"/>
      <c r="AA1601" s="1"/>
    </row>
    <row r="1602" spans="1:27" x14ac:dyDescent="0.25">
      <c r="A1602" t="s">
        <v>87</v>
      </c>
      <c r="B1602" t="str">
        <f t="shared" si="26"/>
        <v>45</v>
      </c>
      <c r="C1602" s="35">
        <v>2013</v>
      </c>
      <c r="D1602" s="1" t="s">
        <v>4</v>
      </c>
      <c r="E1602" s="36">
        <v>2258</v>
      </c>
      <c r="F1602" s="36">
        <v>1383</v>
      </c>
      <c r="G1602" s="35">
        <v>874</v>
      </c>
      <c r="H1602" s="35">
        <v>1</v>
      </c>
      <c r="I1602" s="1"/>
      <c r="J1602" s="1"/>
      <c r="K1602" s="1"/>
      <c r="AA1602" s="1"/>
    </row>
    <row r="1603" spans="1:27" x14ac:dyDescent="0.25">
      <c r="A1603" t="s">
        <v>87</v>
      </c>
      <c r="B1603" t="str">
        <f t="shared" si="26"/>
        <v>45</v>
      </c>
      <c r="C1603" s="35">
        <v>2013</v>
      </c>
      <c r="D1603" s="35">
        <v>2012</v>
      </c>
      <c r="E1603" s="35">
        <v>38</v>
      </c>
      <c r="F1603" s="35">
        <v>34</v>
      </c>
      <c r="G1603" s="35">
        <v>4</v>
      </c>
      <c r="H1603" s="1" t="s">
        <v>2</v>
      </c>
      <c r="I1603" s="1"/>
      <c r="J1603" s="1"/>
      <c r="K1603" s="1"/>
      <c r="AA1603" s="1"/>
    </row>
    <row r="1604" spans="1:27" x14ac:dyDescent="0.25">
      <c r="A1604" t="s">
        <v>87</v>
      </c>
      <c r="B1604" t="str">
        <f t="shared" si="26"/>
        <v>45</v>
      </c>
      <c r="C1604" s="35">
        <v>2013</v>
      </c>
      <c r="D1604" s="35">
        <v>2013</v>
      </c>
      <c r="E1604" s="36">
        <v>2220</v>
      </c>
      <c r="F1604" s="36">
        <v>1349</v>
      </c>
      <c r="G1604" s="35">
        <v>870</v>
      </c>
      <c r="H1604" s="35">
        <v>1</v>
      </c>
      <c r="I1604" s="1"/>
      <c r="J1604" s="1"/>
      <c r="K1604" s="1"/>
      <c r="AA1604" s="1"/>
    </row>
    <row r="1605" spans="1:27" x14ac:dyDescent="0.25">
      <c r="A1605" t="s">
        <v>87</v>
      </c>
      <c r="B1605" t="str">
        <f t="shared" si="26"/>
        <v>45</v>
      </c>
      <c r="C1605" s="35">
        <v>2014</v>
      </c>
      <c r="D1605" s="1" t="s">
        <v>4</v>
      </c>
      <c r="E1605" s="36">
        <v>2295</v>
      </c>
      <c r="F1605" s="36">
        <v>1473</v>
      </c>
      <c r="G1605" s="35">
        <v>821</v>
      </c>
      <c r="H1605" s="35">
        <v>1</v>
      </c>
      <c r="I1605" s="1"/>
      <c r="J1605" s="1"/>
      <c r="K1605" s="1"/>
      <c r="AA1605" s="1"/>
    </row>
    <row r="1606" spans="1:27" x14ac:dyDescent="0.25">
      <c r="A1606" t="s">
        <v>87</v>
      </c>
      <c r="B1606" t="str">
        <f t="shared" si="26"/>
        <v>45</v>
      </c>
      <c r="C1606" s="35">
        <v>2014</v>
      </c>
      <c r="D1606" s="35">
        <v>2010</v>
      </c>
      <c r="E1606" s="35">
        <v>1</v>
      </c>
      <c r="F1606" s="35">
        <v>1</v>
      </c>
      <c r="G1606" s="1" t="s">
        <v>2</v>
      </c>
      <c r="H1606" s="1" t="s">
        <v>2</v>
      </c>
      <c r="I1606" s="1"/>
      <c r="J1606" s="1"/>
      <c r="K1606" s="1"/>
      <c r="AA1606" s="1"/>
    </row>
    <row r="1607" spans="1:27" x14ac:dyDescent="0.25">
      <c r="A1607" t="s">
        <v>87</v>
      </c>
      <c r="B1607" t="str">
        <f t="shared" ref="B1607:B1670" si="27">IF(A1607="Menores de 1 año",0,LEFT(A1607,2))</f>
        <v>45</v>
      </c>
      <c r="C1607" s="35">
        <v>2014</v>
      </c>
      <c r="D1607" s="35">
        <v>2011</v>
      </c>
      <c r="E1607" s="35">
        <v>3</v>
      </c>
      <c r="F1607" s="35">
        <v>3</v>
      </c>
      <c r="G1607" s="1" t="s">
        <v>2</v>
      </c>
      <c r="H1607" s="1" t="s">
        <v>2</v>
      </c>
      <c r="I1607" s="1"/>
      <c r="J1607" s="1"/>
      <c r="K1607" s="1"/>
      <c r="AA1607" s="1"/>
    </row>
    <row r="1608" spans="1:27" x14ac:dyDescent="0.25">
      <c r="A1608" t="s">
        <v>87</v>
      </c>
      <c r="B1608" t="str">
        <f t="shared" si="27"/>
        <v>45</v>
      </c>
      <c r="C1608" s="35">
        <v>2014</v>
      </c>
      <c r="D1608" s="35">
        <v>2013</v>
      </c>
      <c r="E1608" s="35">
        <v>29</v>
      </c>
      <c r="F1608" s="35">
        <v>25</v>
      </c>
      <c r="G1608" s="35">
        <v>4</v>
      </c>
      <c r="H1608" s="1" t="s">
        <v>2</v>
      </c>
      <c r="I1608" s="1"/>
      <c r="J1608" s="1"/>
      <c r="K1608" s="1"/>
      <c r="AA1608" s="1"/>
    </row>
    <row r="1609" spans="1:27" x14ac:dyDescent="0.25">
      <c r="A1609" t="s">
        <v>87</v>
      </c>
      <c r="B1609" t="str">
        <f t="shared" si="27"/>
        <v>45</v>
      </c>
      <c r="C1609" s="35">
        <v>2014</v>
      </c>
      <c r="D1609" s="35">
        <v>2014</v>
      </c>
      <c r="E1609" s="36">
        <v>2262</v>
      </c>
      <c r="F1609" s="36">
        <v>1444</v>
      </c>
      <c r="G1609" s="35">
        <v>817</v>
      </c>
      <c r="H1609" s="35">
        <v>1</v>
      </c>
      <c r="I1609" s="1"/>
      <c r="J1609" s="1"/>
      <c r="K1609" s="1"/>
      <c r="AA1609" s="1"/>
    </row>
    <row r="1610" spans="1:27" x14ac:dyDescent="0.25">
      <c r="A1610" t="s">
        <v>87</v>
      </c>
      <c r="B1610" t="str">
        <f t="shared" si="27"/>
        <v>45</v>
      </c>
      <c r="C1610" s="35">
        <v>2015</v>
      </c>
      <c r="D1610" s="1" t="s">
        <v>4</v>
      </c>
      <c r="E1610" s="36">
        <v>2358</v>
      </c>
      <c r="F1610" s="36">
        <v>1503</v>
      </c>
      <c r="G1610" s="35">
        <v>855</v>
      </c>
      <c r="H1610" s="1" t="s">
        <v>2</v>
      </c>
      <c r="I1610" s="1"/>
      <c r="J1610" s="1"/>
      <c r="K1610" s="1"/>
      <c r="AA1610" s="1"/>
    </row>
    <row r="1611" spans="1:27" x14ac:dyDescent="0.25">
      <c r="A1611" t="s">
        <v>87</v>
      </c>
      <c r="B1611" t="str">
        <f t="shared" si="27"/>
        <v>45</v>
      </c>
      <c r="C1611" s="35">
        <v>2015</v>
      </c>
      <c r="D1611" s="35">
        <v>2014</v>
      </c>
      <c r="E1611" s="35">
        <v>34</v>
      </c>
      <c r="F1611" s="35">
        <v>33</v>
      </c>
      <c r="G1611" s="35">
        <v>1</v>
      </c>
      <c r="H1611" s="1" t="s">
        <v>2</v>
      </c>
      <c r="I1611" s="1"/>
      <c r="J1611" s="1"/>
      <c r="K1611" s="1"/>
      <c r="AA1611" s="1"/>
    </row>
    <row r="1612" spans="1:27" x14ac:dyDescent="0.25">
      <c r="A1612" t="s">
        <v>87</v>
      </c>
      <c r="B1612" t="str">
        <f t="shared" si="27"/>
        <v>45</v>
      </c>
      <c r="C1612" s="35">
        <v>2015</v>
      </c>
      <c r="D1612" s="35">
        <v>2015</v>
      </c>
      <c r="E1612" s="36">
        <v>2324</v>
      </c>
      <c r="F1612" s="36">
        <v>1470</v>
      </c>
      <c r="G1612" s="35">
        <v>854</v>
      </c>
      <c r="H1612" s="1" t="s">
        <v>2</v>
      </c>
      <c r="I1612" s="1"/>
      <c r="J1612" s="1"/>
      <c r="K1612" s="1"/>
      <c r="AA1612" s="1"/>
    </row>
    <row r="1613" spans="1:27" x14ac:dyDescent="0.25">
      <c r="A1613" t="s">
        <v>87</v>
      </c>
      <c r="B1613" t="str">
        <f t="shared" si="27"/>
        <v>45</v>
      </c>
      <c r="C1613" s="35">
        <v>2016</v>
      </c>
      <c r="D1613" s="1" t="s">
        <v>4</v>
      </c>
      <c r="E1613" s="36">
        <v>2429</v>
      </c>
      <c r="F1613" s="36">
        <v>1579</v>
      </c>
      <c r="G1613" s="35">
        <v>850</v>
      </c>
      <c r="H1613" s="1" t="s">
        <v>2</v>
      </c>
      <c r="I1613" s="1"/>
      <c r="J1613" s="1"/>
      <c r="K1613" s="1"/>
      <c r="AA1613" s="1"/>
    </row>
    <row r="1614" spans="1:27" x14ac:dyDescent="0.25">
      <c r="A1614" t="s">
        <v>87</v>
      </c>
      <c r="B1614" t="str">
        <f t="shared" si="27"/>
        <v>45</v>
      </c>
      <c r="C1614" s="35">
        <v>2016</v>
      </c>
      <c r="D1614" s="35">
        <v>2014</v>
      </c>
      <c r="E1614" s="35">
        <v>1</v>
      </c>
      <c r="F1614" s="35">
        <v>1</v>
      </c>
      <c r="G1614" s="1" t="s">
        <v>2</v>
      </c>
      <c r="H1614" s="1" t="s">
        <v>2</v>
      </c>
      <c r="I1614" s="1"/>
      <c r="J1614" s="1"/>
      <c r="K1614" s="1"/>
      <c r="AA1614" s="1"/>
    </row>
    <row r="1615" spans="1:27" x14ac:dyDescent="0.25">
      <c r="A1615" t="s">
        <v>87</v>
      </c>
      <c r="B1615" t="str">
        <f t="shared" si="27"/>
        <v>45</v>
      </c>
      <c r="C1615" s="35">
        <v>2016</v>
      </c>
      <c r="D1615" s="35">
        <v>2015</v>
      </c>
      <c r="E1615" s="35">
        <v>23</v>
      </c>
      <c r="F1615" s="35">
        <v>20</v>
      </c>
      <c r="G1615" s="35">
        <v>3</v>
      </c>
      <c r="H1615" s="1" t="s">
        <v>2</v>
      </c>
      <c r="I1615" s="1"/>
      <c r="J1615" s="1"/>
      <c r="K1615" s="1"/>
      <c r="AA1615" s="1"/>
    </row>
    <row r="1616" spans="1:27" x14ac:dyDescent="0.25">
      <c r="A1616" t="s">
        <v>87</v>
      </c>
      <c r="B1616" t="str">
        <f t="shared" si="27"/>
        <v>45</v>
      </c>
      <c r="C1616" s="35">
        <v>2016</v>
      </c>
      <c r="D1616" s="35">
        <v>2016</v>
      </c>
      <c r="E1616" s="36">
        <v>2405</v>
      </c>
      <c r="F1616" s="36">
        <v>1558</v>
      </c>
      <c r="G1616" s="35">
        <v>847</v>
      </c>
      <c r="H1616" s="1" t="s">
        <v>2</v>
      </c>
      <c r="I1616" s="1"/>
      <c r="J1616" s="1"/>
      <c r="K1616" s="1"/>
      <c r="AA1616" s="1"/>
    </row>
    <row r="1617" spans="1:27" x14ac:dyDescent="0.25">
      <c r="A1617" t="s">
        <v>87</v>
      </c>
      <c r="B1617" t="str">
        <f t="shared" si="27"/>
        <v>45</v>
      </c>
      <c r="C1617" s="35">
        <v>2017</v>
      </c>
      <c r="D1617" s="1" t="s">
        <v>4</v>
      </c>
      <c r="E1617" s="36">
        <v>2523</v>
      </c>
      <c r="F1617" s="36">
        <v>1596</v>
      </c>
      <c r="G1617" s="35">
        <v>927</v>
      </c>
      <c r="H1617" s="1" t="s">
        <v>2</v>
      </c>
      <c r="I1617" s="1"/>
      <c r="J1617" s="1"/>
      <c r="K1617" s="1"/>
      <c r="AA1617" s="1"/>
    </row>
    <row r="1618" spans="1:27" x14ac:dyDescent="0.25">
      <c r="A1618" t="s">
        <v>87</v>
      </c>
      <c r="B1618" t="str">
        <f t="shared" si="27"/>
        <v>45</v>
      </c>
      <c r="C1618" s="35">
        <v>2017</v>
      </c>
      <c r="D1618" s="35">
        <v>2016</v>
      </c>
      <c r="E1618" s="35">
        <v>9</v>
      </c>
      <c r="F1618" s="35">
        <v>6</v>
      </c>
      <c r="G1618" s="35">
        <v>3</v>
      </c>
      <c r="H1618" s="1" t="s">
        <v>2</v>
      </c>
      <c r="I1618" s="1"/>
      <c r="J1618" s="1"/>
      <c r="K1618" s="1"/>
      <c r="AA1618" s="1"/>
    </row>
    <row r="1619" spans="1:27" x14ac:dyDescent="0.25">
      <c r="A1619" t="s">
        <v>87</v>
      </c>
      <c r="B1619" t="str">
        <f t="shared" si="27"/>
        <v>45</v>
      </c>
      <c r="C1619" s="35">
        <v>2017</v>
      </c>
      <c r="D1619" s="35">
        <v>2017</v>
      </c>
      <c r="E1619" s="36">
        <v>2514</v>
      </c>
      <c r="F1619" s="36">
        <v>1590</v>
      </c>
      <c r="G1619" s="35">
        <v>924</v>
      </c>
      <c r="H1619" s="1" t="s">
        <v>2</v>
      </c>
      <c r="I1619" s="1"/>
      <c r="J1619" s="1"/>
      <c r="K1619" s="1"/>
      <c r="AA1619" s="1"/>
    </row>
    <row r="1620" spans="1:27" x14ac:dyDescent="0.25">
      <c r="A1620" t="s">
        <v>87</v>
      </c>
      <c r="B1620" t="str">
        <f t="shared" si="27"/>
        <v>45</v>
      </c>
      <c r="C1620" s="35">
        <v>2018</v>
      </c>
      <c r="D1620" s="1" t="s">
        <v>4</v>
      </c>
      <c r="E1620" s="36">
        <v>2512</v>
      </c>
      <c r="F1620" s="36">
        <v>1591</v>
      </c>
      <c r="G1620" s="35">
        <v>921</v>
      </c>
      <c r="H1620" s="1" t="s">
        <v>2</v>
      </c>
      <c r="I1620" s="1"/>
      <c r="J1620" s="1"/>
      <c r="K1620" s="1"/>
      <c r="AA1620" s="1"/>
    </row>
    <row r="1621" spans="1:27" x14ac:dyDescent="0.25">
      <c r="A1621" t="s">
        <v>87</v>
      </c>
      <c r="B1621" t="str">
        <f t="shared" si="27"/>
        <v>45</v>
      </c>
      <c r="C1621" s="35">
        <v>2018</v>
      </c>
      <c r="D1621" s="35">
        <v>2016</v>
      </c>
      <c r="E1621" s="35">
        <v>1</v>
      </c>
      <c r="F1621" s="1" t="s">
        <v>2</v>
      </c>
      <c r="G1621" s="35">
        <v>1</v>
      </c>
      <c r="H1621" s="1" t="s">
        <v>2</v>
      </c>
      <c r="I1621" s="1"/>
      <c r="J1621" s="1"/>
      <c r="K1621" s="1"/>
      <c r="AA1621" s="1"/>
    </row>
    <row r="1622" spans="1:27" x14ac:dyDescent="0.25">
      <c r="A1622" t="s">
        <v>87</v>
      </c>
      <c r="B1622" t="str">
        <f t="shared" si="27"/>
        <v>45</v>
      </c>
      <c r="C1622" s="35">
        <v>2018</v>
      </c>
      <c r="D1622" s="35">
        <v>2017</v>
      </c>
      <c r="E1622" s="35">
        <v>27</v>
      </c>
      <c r="F1622" s="35">
        <v>19</v>
      </c>
      <c r="G1622" s="35">
        <v>8</v>
      </c>
      <c r="H1622" s="1" t="s">
        <v>2</v>
      </c>
      <c r="I1622" s="1"/>
      <c r="J1622" s="1"/>
      <c r="K1622" s="1"/>
      <c r="AA1622" s="1"/>
    </row>
    <row r="1623" spans="1:27" x14ac:dyDescent="0.25">
      <c r="A1623" t="s">
        <v>87</v>
      </c>
      <c r="B1623" t="str">
        <f t="shared" si="27"/>
        <v>45</v>
      </c>
      <c r="C1623" s="35">
        <v>2018</v>
      </c>
      <c r="D1623" s="35">
        <v>2018</v>
      </c>
      <c r="E1623" s="36">
        <v>2484</v>
      </c>
      <c r="F1623" s="36">
        <v>1572</v>
      </c>
      <c r="G1623" s="35">
        <v>912</v>
      </c>
      <c r="H1623" s="1" t="s">
        <v>2</v>
      </c>
      <c r="I1623" s="1"/>
      <c r="J1623" s="1"/>
      <c r="K1623" s="1"/>
      <c r="AA1623" s="1"/>
    </row>
    <row r="1624" spans="1:27" x14ac:dyDescent="0.25">
      <c r="A1624" t="s">
        <v>87</v>
      </c>
      <c r="B1624" t="str">
        <f t="shared" si="27"/>
        <v>45</v>
      </c>
      <c r="C1624" s="35">
        <v>2019</v>
      </c>
      <c r="D1624" s="1" t="s">
        <v>4</v>
      </c>
      <c r="E1624" s="36">
        <v>2608</v>
      </c>
      <c r="F1624" s="36">
        <v>1687</v>
      </c>
      <c r="G1624" s="35">
        <v>921</v>
      </c>
      <c r="H1624" s="1" t="s">
        <v>2</v>
      </c>
      <c r="I1624" s="1"/>
      <c r="J1624" s="1"/>
      <c r="K1624" s="1"/>
      <c r="AA1624" s="1"/>
    </row>
    <row r="1625" spans="1:27" x14ac:dyDescent="0.25">
      <c r="A1625" t="s">
        <v>87</v>
      </c>
      <c r="B1625" t="str">
        <f t="shared" si="27"/>
        <v>45</v>
      </c>
      <c r="C1625" s="35">
        <v>2019</v>
      </c>
      <c r="D1625" s="35">
        <v>2018</v>
      </c>
      <c r="E1625" s="35">
        <v>13</v>
      </c>
      <c r="F1625" s="35">
        <v>7</v>
      </c>
      <c r="G1625" s="35">
        <v>6</v>
      </c>
      <c r="H1625" s="1" t="s">
        <v>2</v>
      </c>
      <c r="I1625" s="1"/>
      <c r="J1625" s="1"/>
      <c r="K1625" s="1"/>
      <c r="AA1625" s="1"/>
    </row>
    <row r="1626" spans="1:27" x14ac:dyDescent="0.25">
      <c r="A1626" t="s">
        <v>87</v>
      </c>
      <c r="B1626" t="str">
        <f t="shared" si="27"/>
        <v>45</v>
      </c>
      <c r="C1626" s="35">
        <v>2019</v>
      </c>
      <c r="D1626" s="35">
        <v>2019</v>
      </c>
      <c r="E1626" s="36">
        <v>2595</v>
      </c>
      <c r="F1626" s="36">
        <v>1680</v>
      </c>
      <c r="G1626" s="35">
        <v>915</v>
      </c>
      <c r="H1626" s="1" t="s">
        <v>2</v>
      </c>
      <c r="I1626" s="1"/>
      <c r="J1626" s="1"/>
      <c r="K1626" s="1"/>
      <c r="AA1626" s="1"/>
    </row>
    <row r="1627" spans="1:27" x14ac:dyDescent="0.25">
      <c r="A1627" t="s">
        <v>87</v>
      </c>
      <c r="B1627" t="str">
        <f t="shared" si="27"/>
        <v>45</v>
      </c>
      <c r="C1627" s="35">
        <v>2020</v>
      </c>
      <c r="D1627" s="1" t="s">
        <v>4</v>
      </c>
      <c r="E1627" s="36">
        <v>5367</v>
      </c>
      <c r="F1627" s="36">
        <v>3679</v>
      </c>
      <c r="G1627" s="36">
        <v>1688</v>
      </c>
      <c r="H1627" s="1" t="s">
        <v>2</v>
      </c>
      <c r="I1627" s="1"/>
      <c r="J1627" s="1"/>
      <c r="K1627" s="1"/>
      <c r="AA1627" s="1"/>
    </row>
    <row r="1628" spans="1:27" x14ac:dyDescent="0.25">
      <c r="A1628" t="s">
        <v>87</v>
      </c>
      <c r="B1628" t="str">
        <f t="shared" si="27"/>
        <v>45</v>
      </c>
      <c r="C1628" s="35">
        <v>2020</v>
      </c>
      <c r="D1628" s="35">
        <v>2019</v>
      </c>
      <c r="E1628" s="35">
        <v>16</v>
      </c>
      <c r="F1628" s="35">
        <v>9</v>
      </c>
      <c r="G1628" s="35">
        <v>7</v>
      </c>
      <c r="H1628" s="1" t="s">
        <v>2</v>
      </c>
      <c r="I1628" s="1"/>
      <c r="J1628" s="1"/>
      <c r="K1628" s="1"/>
      <c r="AA1628" s="1"/>
    </row>
    <row r="1629" spans="1:27" x14ac:dyDescent="0.25">
      <c r="A1629" t="s">
        <v>87</v>
      </c>
      <c r="B1629" t="str">
        <f t="shared" si="27"/>
        <v>45</v>
      </c>
      <c r="C1629" s="35">
        <v>2020</v>
      </c>
      <c r="D1629" s="35">
        <v>2020</v>
      </c>
      <c r="E1629" s="36">
        <v>5351</v>
      </c>
      <c r="F1629" s="36">
        <v>3670</v>
      </c>
      <c r="G1629" s="36">
        <v>1681</v>
      </c>
      <c r="H1629" s="1" t="s">
        <v>2</v>
      </c>
      <c r="I1629" s="1"/>
      <c r="J1629" s="1"/>
      <c r="K1629" s="1"/>
      <c r="AA1629" s="1"/>
    </row>
    <row r="1630" spans="1:27" x14ac:dyDescent="0.25">
      <c r="A1630" t="s">
        <v>87</v>
      </c>
      <c r="B1630" t="str">
        <f t="shared" si="27"/>
        <v>45</v>
      </c>
      <c r="C1630" s="35">
        <v>2021</v>
      </c>
      <c r="D1630" s="1" t="s">
        <v>4</v>
      </c>
      <c r="E1630" s="36">
        <v>5116</v>
      </c>
      <c r="F1630" s="36">
        <v>3499</v>
      </c>
      <c r="G1630" s="36">
        <v>1617</v>
      </c>
      <c r="H1630" s="1" t="s">
        <v>2</v>
      </c>
      <c r="I1630" s="1"/>
      <c r="J1630" s="1"/>
      <c r="K1630" s="1"/>
      <c r="AA1630" s="1"/>
    </row>
    <row r="1631" spans="1:27" x14ac:dyDescent="0.25">
      <c r="A1631" t="s">
        <v>87</v>
      </c>
      <c r="B1631" t="str">
        <f t="shared" si="27"/>
        <v>45</v>
      </c>
      <c r="C1631" s="35">
        <v>2021</v>
      </c>
      <c r="D1631" s="35">
        <v>2020</v>
      </c>
      <c r="E1631" s="35">
        <v>26</v>
      </c>
      <c r="F1631" s="35">
        <v>14</v>
      </c>
      <c r="G1631" s="35">
        <v>12</v>
      </c>
      <c r="H1631" s="1" t="s">
        <v>2</v>
      </c>
      <c r="I1631" s="1"/>
      <c r="J1631" s="1"/>
      <c r="K1631" s="1"/>
      <c r="AA1631" s="1"/>
    </row>
    <row r="1632" spans="1:27" x14ac:dyDescent="0.25">
      <c r="A1632" t="s">
        <v>87</v>
      </c>
      <c r="B1632" t="str">
        <f t="shared" si="27"/>
        <v>45</v>
      </c>
      <c r="C1632" s="35">
        <v>2021</v>
      </c>
      <c r="D1632" s="35">
        <v>2021</v>
      </c>
      <c r="E1632" s="36">
        <v>5089</v>
      </c>
      <c r="F1632" s="36">
        <v>3484</v>
      </c>
      <c r="G1632" s="36">
        <v>1605</v>
      </c>
      <c r="H1632" s="1" t="s">
        <v>2</v>
      </c>
      <c r="I1632" s="1"/>
      <c r="J1632" s="1"/>
      <c r="K1632" s="1"/>
      <c r="AA1632" s="1"/>
    </row>
    <row r="1633" spans="1:27" x14ac:dyDescent="0.25">
      <c r="A1633" t="s">
        <v>87</v>
      </c>
      <c r="B1633" t="str">
        <f t="shared" si="27"/>
        <v>45</v>
      </c>
      <c r="C1633" s="35">
        <v>2021</v>
      </c>
      <c r="D1633" s="1" t="s">
        <v>24</v>
      </c>
      <c r="E1633" s="35">
        <v>1</v>
      </c>
      <c r="F1633" s="35">
        <v>1</v>
      </c>
      <c r="G1633" s="1" t="s">
        <v>2</v>
      </c>
      <c r="H1633" s="1" t="s">
        <v>2</v>
      </c>
      <c r="I1633" s="1"/>
      <c r="J1633" s="1"/>
      <c r="K1633" s="1"/>
      <c r="AA1633" s="1"/>
    </row>
    <row r="1634" spans="1:27" x14ac:dyDescent="0.25">
      <c r="A1634" t="s">
        <v>87</v>
      </c>
      <c r="B1634" t="str">
        <f t="shared" si="27"/>
        <v>45</v>
      </c>
      <c r="C1634" s="35">
        <v>2022</v>
      </c>
      <c r="D1634" s="1" t="s">
        <v>4</v>
      </c>
      <c r="E1634" s="36">
        <v>2646</v>
      </c>
      <c r="F1634" s="36">
        <v>1730</v>
      </c>
      <c r="G1634" s="35">
        <v>916</v>
      </c>
      <c r="H1634" s="1" t="s">
        <v>2</v>
      </c>
      <c r="I1634" s="1"/>
      <c r="J1634" s="1"/>
      <c r="K1634" s="1"/>
      <c r="AA1634" s="1"/>
    </row>
    <row r="1635" spans="1:27" x14ac:dyDescent="0.25">
      <c r="A1635" t="s">
        <v>87</v>
      </c>
      <c r="B1635" t="str">
        <f t="shared" si="27"/>
        <v>45</v>
      </c>
      <c r="C1635" s="35">
        <v>2022</v>
      </c>
      <c r="D1635" s="35">
        <v>2007</v>
      </c>
      <c r="E1635" s="35">
        <v>1</v>
      </c>
      <c r="F1635" s="35">
        <v>1</v>
      </c>
      <c r="G1635" s="1" t="s">
        <v>2</v>
      </c>
      <c r="H1635" s="1" t="s">
        <v>2</v>
      </c>
      <c r="I1635" s="1"/>
      <c r="J1635" s="1"/>
      <c r="K1635" s="1"/>
      <c r="AA1635" s="1"/>
    </row>
    <row r="1636" spans="1:27" x14ac:dyDescent="0.25">
      <c r="A1636" t="s">
        <v>87</v>
      </c>
      <c r="B1636" t="str">
        <f t="shared" si="27"/>
        <v>45</v>
      </c>
      <c r="C1636" s="35">
        <v>2022</v>
      </c>
      <c r="D1636" s="35">
        <v>2008</v>
      </c>
      <c r="E1636" s="35">
        <v>1</v>
      </c>
      <c r="F1636" s="1" t="s">
        <v>2</v>
      </c>
      <c r="G1636" s="35">
        <v>1</v>
      </c>
      <c r="H1636" s="1" t="s">
        <v>2</v>
      </c>
      <c r="I1636" s="1"/>
      <c r="J1636" s="1"/>
      <c r="K1636" s="1"/>
      <c r="AA1636" s="1"/>
    </row>
    <row r="1637" spans="1:27" x14ac:dyDescent="0.25">
      <c r="A1637" t="s">
        <v>87</v>
      </c>
      <c r="B1637" t="str">
        <f t="shared" si="27"/>
        <v>45</v>
      </c>
      <c r="C1637" s="35">
        <v>2022</v>
      </c>
      <c r="D1637" s="35">
        <v>2009</v>
      </c>
      <c r="E1637" s="35">
        <v>2</v>
      </c>
      <c r="F1637" s="35">
        <v>2</v>
      </c>
      <c r="G1637" s="1" t="s">
        <v>2</v>
      </c>
      <c r="H1637" s="1" t="s">
        <v>2</v>
      </c>
      <c r="I1637" s="1"/>
      <c r="J1637" s="1"/>
      <c r="K1637" s="1"/>
      <c r="AA1637" s="1"/>
    </row>
    <row r="1638" spans="1:27" x14ac:dyDescent="0.25">
      <c r="A1638" t="s">
        <v>87</v>
      </c>
      <c r="B1638" t="str">
        <f t="shared" si="27"/>
        <v>45</v>
      </c>
      <c r="C1638" s="35">
        <v>2022</v>
      </c>
      <c r="D1638" s="35">
        <v>2010</v>
      </c>
      <c r="E1638" s="35">
        <v>1</v>
      </c>
      <c r="F1638" s="35">
        <v>1</v>
      </c>
      <c r="G1638" s="1" t="s">
        <v>2</v>
      </c>
      <c r="H1638" s="1" t="s">
        <v>2</v>
      </c>
      <c r="I1638" s="1"/>
      <c r="J1638" s="1"/>
      <c r="K1638" s="1"/>
      <c r="AA1638" s="1"/>
    </row>
    <row r="1639" spans="1:27" x14ac:dyDescent="0.25">
      <c r="A1639" t="s">
        <v>87</v>
      </c>
      <c r="B1639" t="str">
        <f t="shared" si="27"/>
        <v>45</v>
      </c>
      <c r="C1639" s="35">
        <v>2022</v>
      </c>
      <c r="D1639" s="35">
        <v>2020</v>
      </c>
      <c r="E1639" s="35">
        <v>2</v>
      </c>
      <c r="F1639" s="1" t="s">
        <v>2</v>
      </c>
      <c r="G1639" s="35">
        <v>2</v>
      </c>
      <c r="H1639" s="1" t="s">
        <v>2</v>
      </c>
      <c r="I1639" s="1"/>
      <c r="J1639" s="1"/>
      <c r="K1639" s="1"/>
      <c r="AA1639" s="1"/>
    </row>
    <row r="1640" spans="1:27" x14ac:dyDescent="0.25">
      <c r="A1640" t="s">
        <v>87</v>
      </c>
      <c r="B1640" t="str">
        <f t="shared" si="27"/>
        <v>45</v>
      </c>
      <c r="C1640" s="35">
        <v>2022</v>
      </c>
      <c r="D1640" s="35">
        <v>2021</v>
      </c>
      <c r="E1640" s="35">
        <v>10</v>
      </c>
      <c r="F1640" s="35">
        <v>7</v>
      </c>
      <c r="G1640" s="35">
        <v>3</v>
      </c>
      <c r="H1640" s="1" t="s">
        <v>2</v>
      </c>
      <c r="I1640" s="1"/>
      <c r="J1640" s="1"/>
      <c r="K1640" s="1"/>
      <c r="AA1640" s="1"/>
    </row>
    <row r="1641" spans="1:27" x14ac:dyDescent="0.25">
      <c r="A1641" t="s">
        <v>87</v>
      </c>
      <c r="B1641" t="str">
        <f t="shared" si="27"/>
        <v>45</v>
      </c>
      <c r="C1641" s="35">
        <v>2022</v>
      </c>
      <c r="D1641" s="35">
        <v>2022</v>
      </c>
      <c r="E1641" s="36">
        <v>2629</v>
      </c>
      <c r="F1641" s="36">
        <v>1719</v>
      </c>
      <c r="G1641" s="35">
        <v>910</v>
      </c>
      <c r="H1641" s="1" t="s">
        <v>2</v>
      </c>
      <c r="I1641" s="1"/>
      <c r="J1641" s="1"/>
      <c r="K1641" s="1"/>
      <c r="AA1641" s="1"/>
    </row>
    <row r="1642" spans="1:27" x14ac:dyDescent="0.25">
      <c r="A1642" t="s">
        <v>87</v>
      </c>
      <c r="B1642" t="str">
        <f t="shared" si="27"/>
        <v>45</v>
      </c>
      <c r="C1642" s="35">
        <v>2023</v>
      </c>
      <c r="D1642" s="1" t="s">
        <v>4</v>
      </c>
      <c r="E1642" s="36">
        <v>2424</v>
      </c>
      <c r="F1642" s="36">
        <v>1568</v>
      </c>
      <c r="G1642" s="35">
        <v>856</v>
      </c>
      <c r="H1642" s="1" t="s">
        <v>2</v>
      </c>
      <c r="I1642" s="1"/>
      <c r="J1642" s="1"/>
      <c r="K1642" s="1"/>
      <c r="AA1642" s="1"/>
    </row>
    <row r="1643" spans="1:27" x14ac:dyDescent="0.25">
      <c r="A1643" t="s">
        <v>87</v>
      </c>
      <c r="B1643" t="str">
        <f t="shared" si="27"/>
        <v>45</v>
      </c>
      <c r="C1643" s="35">
        <v>2023</v>
      </c>
      <c r="D1643" s="35">
        <v>2022</v>
      </c>
      <c r="E1643" s="35">
        <v>11</v>
      </c>
      <c r="F1643" s="35">
        <v>8</v>
      </c>
      <c r="G1643" s="35">
        <v>3</v>
      </c>
      <c r="H1643" s="1" t="s">
        <v>2</v>
      </c>
      <c r="I1643" s="1"/>
      <c r="J1643" s="1"/>
      <c r="K1643" s="1"/>
      <c r="AA1643" s="1"/>
    </row>
    <row r="1644" spans="1:27" x14ac:dyDescent="0.25">
      <c r="A1644" t="s">
        <v>87</v>
      </c>
      <c r="B1644" t="str">
        <f t="shared" si="27"/>
        <v>45</v>
      </c>
      <c r="C1644" s="35">
        <v>2023</v>
      </c>
      <c r="D1644" s="35">
        <v>2023</v>
      </c>
      <c r="E1644" s="36">
        <v>2413</v>
      </c>
      <c r="F1644" s="36">
        <v>1560</v>
      </c>
      <c r="G1644" s="35">
        <v>853</v>
      </c>
      <c r="H1644" s="1" t="s">
        <v>2</v>
      </c>
      <c r="I1644" s="1"/>
      <c r="J1644" s="1"/>
      <c r="K1644" s="1"/>
      <c r="AA1644" s="1"/>
    </row>
    <row r="1645" spans="1:27" x14ac:dyDescent="0.25">
      <c r="A1645" t="s">
        <v>87</v>
      </c>
      <c r="B1645" t="str">
        <f t="shared" si="27"/>
        <v>45</v>
      </c>
      <c r="C1645" s="35">
        <v>2024</v>
      </c>
      <c r="D1645" s="1" t="s">
        <v>4</v>
      </c>
      <c r="E1645" s="36">
        <v>2376</v>
      </c>
      <c r="F1645" s="36">
        <v>1545</v>
      </c>
      <c r="G1645" s="35">
        <v>831</v>
      </c>
      <c r="H1645" s="1" t="s">
        <v>2</v>
      </c>
      <c r="I1645" s="1"/>
      <c r="J1645" s="1"/>
      <c r="K1645" s="1"/>
      <c r="AA1645" s="1"/>
    </row>
    <row r="1646" spans="1:27" x14ac:dyDescent="0.25">
      <c r="A1646" t="s">
        <v>87</v>
      </c>
      <c r="B1646" t="str">
        <f t="shared" si="27"/>
        <v>45</v>
      </c>
      <c r="C1646" s="35">
        <v>2024</v>
      </c>
      <c r="D1646" s="35">
        <v>2023</v>
      </c>
      <c r="E1646" s="35">
        <v>4</v>
      </c>
      <c r="F1646" s="35">
        <v>3</v>
      </c>
      <c r="G1646" s="35">
        <v>1</v>
      </c>
      <c r="H1646" s="1" t="s">
        <v>2</v>
      </c>
      <c r="I1646" s="1"/>
      <c r="J1646" s="1"/>
      <c r="K1646" s="1"/>
      <c r="AA1646" s="1"/>
    </row>
    <row r="1647" spans="1:27" x14ac:dyDescent="0.25">
      <c r="A1647" t="s">
        <v>87</v>
      </c>
      <c r="B1647" t="str">
        <f t="shared" si="27"/>
        <v>45</v>
      </c>
      <c r="C1647" s="35">
        <v>2024</v>
      </c>
      <c r="D1647" s="35">
        <v>2024</v>
      </c>
      <c r="E1647" s="36">
        <v>2372</v>
      </c>
      <c r="F1647" s="36">
        <v>1542</v>
      </c>
      <c r="G1647" s="35">
        <v>830</v>
      </c>
      <c r="H1647" s="1" t="s">
        <v>2</v>
      </c>
      <c r="I1647" s="1"/>
      <c r="J1647" s="1"/>
      <c r="K1647" s="1"/>
      <c r="AA1647" s="1"/>
    </row>
    <row r="1648" spans="1:27" x14ac:dyDescent="0.25">
      <c r="A1648" t="s">
        <v>88</v>
      </c>
      <c r="B1648" t="str">
        <f t="shared" si="27"/>
        <v>50</v>
      </c>
      <c r="C1648" s="35">
        <v>1990</v>
      </c>
      <c r="D1648" s="1" t="s">
        <v>4</v>
      </c>
      <c r="E1648" s="36">
        <v>2154</v>
      </c>
      <c r="F1648" s="36">
        <v>1274</v>
      </c>
      <c r="G1648" s="35">
        <v>879</v>
      </c>
      <c r="H1648" s="35">
        <v>1</v>
      </c>
      <c r="I1648" s="1"/>
      <c r="J1648" s="1"/>
      <c r="K1648" s="1"/>
      <c r="AA1648" s="1"/>
    </row>
    <row r="1649" spans="1:27" x14ac:dyDescent="0.25">
      <c r="A1649" t="s">
        <v>88</v>
      </c>
      <c r="B1649" t="str">
        <f t="shared" si="27"/>
        <v>50</v>
      </c>
      <c r="C1649" s="35">
        <v>1990</v>
      </c>
      <c r="D1649" s="35">
        <v>1990</v>
      </c>
      <c r="E1649" s="36">
        <v>2145</v>
      </c>
      <c r="F1649" s="36">
        <v>1266</v>
      </c>
      <c r="G1649" s="35">
        <v>878</v>
      </c>
      <c r="H1649" s="35">
        <v>1</v>
      </c>
      <c r="I1649" s="1"/>
      <c r="J1649" s="1"/>
      <c r="K1649" s="1"/>
      <c r="AA1649" s="1"/>
    </row>
    <row r="1650" spans="1:27" x14ac:dyDescent="0.25">
      <c r="A1650" t="s">
        <v>88</v>
      </c>
      <c r="B1650" t="str">
        <f t="shared" si="27"/>
        <v>50</v>
      </c>
      <c r="C1650" s="35">
        <v>1990</v>
      </c>
      <c r="D1650" s="1" t="s">
        <v>24</v>
      </c>
      <c r="E1650" s="35">
        <v>9</v>
      </c>
      <c r="F1650" s="35">
        <v>8</v>
      </c>
      <c r="G1650" s="35">
        <v>1</v>
      </c>
      <c r="H1650" s="1" t="s">
        <v>2</v>
      </c>
      <c r="I1650" s="1"/>
      <c r="J1650" s="1"/>
      <c r="K1650" s="1"/>
      <c r="AA1650" s="1"/>
    </row>
    <row r="1651" spans="1:27" x14ac:dyDescent="0.25">
      <c r="A1651" t="s">
        <v>88</v>
      </c>
      <c r="B1651" t="str">
        <f t="shared" si="27"/>
        <v>50</v>
      </c>
      <c r="C1651" s="35">
        <v>1991</v>
      </c>
      <c r="D1651" s="1" t="s">
        <v>4</v>
      </c>
      <c r="E1651" s="36">
        <v>2080</v>
      </c>
      <c r="F1651" s="36">
        <v>1244</v>
      </c>
      <c r="G1651" s="35">
        <v>835</v>
      </c>
      <c r="H1651" s="35">
        <v>1</v>
      </c>
      <c r="I1651" s="1"/>
      <c r="J1651" s="1"/>
      <c r="K1651" s="1"/>
      <c r="AA1651" s="1"/>
    </row>
    <row r="1652" spans="1:27" x14ac:dyDescent="0.25">
      <c r="A1652" t="s">
        <v>88</v>
      </c>
      <c r="B1652" t="str">
        <f t="shared" si="27"/>
        <v>50</v>
      </c>
      <c r="C1652" s="35">
        <v>1991</v>
      </c>
      <c r="D1652" s="35">
        <v>1991</v>
      </c>
      <c r="E1652" s="36">
        <v>2075</v>
      </c>
      <c r="F1652" s="36">
        <v>1241</v>
      </c>
      <c r="G1652" s="35">
        <v>833</v>
      </c>
      <c r="H1652" s="35">
        <v>1</v>
      </c>
      <c r="I1652" s="1"/>
      <c r="J1652" s="1"/>
      <c r="K1652" s="1"/>
      <c r="AA1652" s="1"/>
    </row>
    <row r="1653" spans="1:27" x14ac:dyDescent="0.25">
      <c r="A1653" t="s">
        <v>88</v>
      </c>
      <c r="B1653" t="str">
        <f t="shared" si="27"/>
        <v>50</v>
      </c>
      <c r="C1653" s="35">
        <v>1991</v>
      </c>
      <c r="D1653" s="1" t="s">
        <v>24</v>
      </c>
      <c r="E1653" s="35">
        <v>5</v>
      </c>
      <c r="F1653" s="35">
        <v>3</v>
      </c>
      <c r="G1653" s="35">
        <v>2</v>
      </c>
      <c r="H1653" s="1" t="s">
        <v>2</v>
      </c>
      <c r="I1653" s="1"/>
      <c r="J1653" s="1"/>
      <c r="K1653" s="1"/>
      <c r="AA1653" s="1"/>
    </row>
    <row r="1654" spans="1:27" x14ac:dyDescent="0.25">
      <c r="A1654" t="s">
        <v>88</v>
      </c>
      <c r="B1654" t="str">
        <f t="shared" si="27"/>
        <v>50</v>
      </c>
      <c r="C1654" s="35">
        <v>1992</v>
      </c>
      <c r="D1654" s="1" t="s">
        <v>4</v>
      </c>
      <c r="E1654" s="36">
        <v>2085</v>
      </c>
      <c r="F1654" s="36">
        <v>1247</v>
      </c>
      <c r="G1654" s="35">
        <v>838</v>
      </c>
      <c r="H1654" s="1" t="s">
        <v>2</v>
      </c>
      <c r="I1654" s="1"/>
      <c r="J1654" s="1"/>
      <c r="K1654" s="1"/>
      <c r="AA1654" s="1"/>
    </row>
    <row r="1655" spans="1:27" x14ac:dyDescent="0.25">
      <c r="A1655" t="s">
        <v>88</v>
      </c>
      <c r="B1655" t="str">
        <f t="shared" si="27"/>
        <v>50</v>
      </c>
      <c r="C1655" s="35">
        <v>1992</v>
      </c>
      <c r="D1655" s="35">
        <v>1992</v>
      </c>
      <c r="E1655" s="36">
        <v>2082</v>
      </c>
      <c r="F1655" s="36">
        <v>1245</v>
      </c>
      <c r="G1655" s="35">
        <v>837</v>
      </c>
      <c r="H1655" s="1" t="s">
        <v>2</v>
      </c>
      <c r="I1655" s="1"/>
      <c r="J1655" s="1"/>
      <c r="K1655" s="1"/>
      <c r="AA1655" s="1"/>
    </row>
    <row r="1656" spans="1:27" x14ac:dyDescent="0.25">
      <c r="A1656" t="s">
        <v>88</v>
      </c>
      <c r="B1656" t="str">
        <f t="shared" si="27"/>
        <v>50</v>
      </c>
      <c r="C1656" s="35">
        <v>1992</v>
      </c>
      <c r="D1656" s="1" t="s">
        <v>24</v>
      </c>
      <c r="E1656" s="35">
        <v>3</v>
      </c>
      <c r="F1656" s="35">
        <v>2</v>
      </c>
      <c r="G1656" s="35">
        <v>1</v>
      </c>
      <c r="H1656" s="1" t="s">
        <v>2</v>
      </c>
      <c r="I1656" s="1"/>
      <c r="J1656" s="1"/>
      <c r="K1656" s="1"/>
      <c r="AA1656" s="1"/>
    </row>
    <row r="1657" spans="1:27" x14ac:dyDescent="0.25">
      <c r="A1657" t="s">
        <v>88</v>
      </c>
      <c r="B1657" t="str">
        <f t="shared" si="27"/>
        <v>50</v>
      </c>
      <c r="C1657" s="35">
        <v>1993</v>
      </c>
      <c r="D1657" s="1" t="s">
        <v>4</v>
      </c>
      <c r="E1657" s="36">
        <v>2214</v>
      </c>
      <c r="F1657" s="36">
        <v>1294</v>
      </c>
      <c r="G1657" s="35">
        <v>920</v>
      </c>
      <c r="H1657" s="1" t="s">
        <v>2</v>
      </c>
      <c r="I1657" s="1"/>
      <c r="J1657" s="1"/>
      <c r="K1657" s="1"/>
      <c r="AA1657" s="1"/>
    </row>
    <row r="1658" spans="1:27" x14ac:dyDescent="0.25">
      <c r="A1658" t="s">
        <v>88</v>
      </c>
      <c r="B1658" t="str">
        <f t="shared" si="27"/>
        <v>50</v>
      </c>
      <c r="C1658" s="35">
        <v>1993</v>
      </c>
      <c r="D1658" s="35">
        <v>1923</v>
      </c>
      <c r="E1658" s="35">
        <v>1</v>
      </c>
      <c r="F1658" s="1" t="s">
        <v>2</v>
      </c>
      <c r="G1658" s="35">
        <v>1</v>
      </c>
      <c r="H1658" s="1" t="s">
        <v>2</v>
      </c>
      <c r="I1658" s="1"/>
      <c r="J1658" s="1"/>
      <c r="K1658" s="1"/>
      <c r="AA1658" s="1"/>
    </row>
    <row r="1659" spans="1:27" x14ac:dyDescent="0.25">
      <c r="A1659" t="s">
        <v>88</v>
      </c>
      <c r="B1659" t="str">
        <f t="shared" si="27"/>
        <v>50</v>
      </c>
      <c r="C1659" s="35">
        <v>1993</v>
      </c>
      <c r="D1659" s="35">
        <v>1943</v>
      </c>
      <c r="E1659" s="35">
        <v>1</v>
      </c>
      <c r="F1659" s="1" t="s">
        <v>2</v>
      </c>
      <c r="G1659" s="35">
        <v>1</v>
      </c>
      <c r="H1659" s="1" t="s">
        <v>2</v>
      </c>
      <c r="I1659" s="1"/>
      <c r="J1659" s="1"/>
      <c r="K1659" s="1"/>
      <c r="AA1659" s="1"/>
    </row>
    <row r="1660" spans="1:27" x14ac:dyDescent="0.25">
      <c r="A1660" t="s">
        <v>88</v>
      </c>
      <c r="B1660" t="str">
        <f t="shared" si="27"/>
        <v>50</v>
      </c>
      <c r="C1660" s="35">
        <v>1993</v>
      </c>
      <c r="D1660" s="35">
        <v>1992</v>
      </c>
      <c r="E1660" s="35">
        <v>7</v>
      </c>
      <c r="F1660" s="35">
        <v>6</v>
      </c>
      <c r="G1660" s="35">
        <v>1</v>
      </c>
      <c r="H1660" s="1" t="s">
        <v>2</v>
      </c>
      <c r="I1660" s="1"/>
      <c r="J1660" s="1"/>
      <c r="K1660" s="1"/>
      <c r="AA1660" s="1"/>
    </row>
    <row r="1661" spans="1:27" x14ac:dyDescent="0.25">
      <c r="A1661" t="s">
        <v>88</v>
      </c>
      <c r="B1661" t="str">
        <f t="shared" si="27"/>
        <v>50</v>
      </c>
      <c r="C1661" s="35">
        <v>1993</v>
      </c>
      <c r="D1661" s="35">
        <v>1993</v>
      </c>
      <c r="E1661" s="36">
        <v>2202</v>
      </c>
      <c r="F1661" s="36">
        <v>1285</v>
      </c>
      <c r="G1661" s="35">
        <v>917</v>
      </c>
      <c r="H1661" s="1" t="s">
        <v>2</v>
      </c>
      <c r="I1661" s="1"/>
      <c r="J1661" s="1"/>
      <c r="K1661" s="1"/>
      <c r="AA1661" s="1"/>
    </row>
    <row r="1662" spans="1:27" x14ac:dyDescent="0.25">
      <c r="A1662" t="s">
        <v>88</v>
      </c>
      <c r="B1662" t="str">
        <f t="shared" si="27"/>
        <v>50</v>
      </c>
      <c r="C1662" s="35">
        <v>1993</v>
      </c>
      <c r="D1662" s="1" t="s">
        <v>24</v>
      </c>
      <c r="E1662" s="35">
        <v>3</v>
      </c>
      <c r="F1662" s="35">
        <v>3</v>
      </c>
      <c r="G1662" s="1" t="s">
        <v>2</v>
      </c>
      <c r="H1662" s="1" t="s">
        <v>2</v>
      </c>
      <c r="I1662" s="1"/>
      <c r="J1662" s="1"/>
      <c r="K1662" s="1"/>
      <c r="AA1662" s="1"/>
    </row>
    <row r="1663" spans="1:27" x14ac:dyDescent="0.25">
      <c r="A1663" t="s">
        <v>88</v>
      </c>
      <c r="B1663" t="str">
        <f t="shared" si="27"/>
        <v>50</v>
      </c>
      <c r="C1663" s="35">
        <v>1994</v>
      </c>
      <c r="D1663" s="1" t="s">
        <v>4</v>
      </c>
      <c r="E1663" s="36">
        <v>2230</v>
      </c>
      <c r="F1663" s="36">
        <v>1350</v>
      </c>
      <c r="G1663" s="35">
        <v>880</v>
      </c>
      <c r="H1663" s="1" t="s">
        <v>2</v>
      </c>
      <c r="I1663" s="1"/>
      <c r="J1663" s="1"/>
      <c r="K1663" s="1"/>
      <c r="AA1663" s="1"/>
    </row>
    <row r="1664" spans="1:27" x14ac:dyDescent="0.25">
      <c r="A1664" t="s">
        <v>88</v>
      </c>
      <c r="B1664" t="str">
        <f t="shared" si="27"/>
        <v>50</v>
      </c>
      <c r="C1664" s="35">
        <v>1994</v>
      </c>
      <c r="D1664" s="35">
        <v>1991</v>
      </c>
      <c r="E1664" s="35">
        <v>1</v>
      </c>
      <c r="F1664" s="35">
        <v>1</v>
      </c>
      <c r="G1664" s="1" t="s">
        <v>2</v>
      </c>
      <c r="H1664" s="1" t="s">
        <v>2</v>
      </c>
      <c r="I1664" s="1"/>
      <c r="J1664" s="1"/>
      <c r="K1664" s="1"/>
      <c r="AA1664" s="1"/>
    </row>
    <row r="1665" spans="1:27" x14ac:dyDescent="0.25">
      <c r="A1665" t="s">
        <v>88</v>
      </c>
      <c r="B1665" t="str">
        <f t="shared" si="27"/>
        <v>50</v>
      </c>
      <c r="C1665" s="35">
        <v>1994</v>
      </c>
      <c r="D1665" s="35">
        <v>1992</v>
      </c>
      <c r="E1665" s="35">
        <v>1</v>
      </c>
      <c r="F1665" s="35">
        <v>1</v>
      </c>
      <c r="G1665" s="1" t="s">
        <v>2</v>
      </c>
      <c r="H1665" s="1" t="s">
        <v>2</v>
      </c>
      <c r="I1665" s="1"/>
      <c r="J1665" s="1"/>
      <c r="K1665" s="1"/>
      <c r="AA1665" s="1"/>
    </row>
    <row r="1666" spans="1:27" x14ac:dyDescent="0.25">
      <c r="A1666" t="s">
        <v>88</v>
      </c>
      <c r="B1666" t="str">
        <f t="shared" si="27"/>
        <v>50</v>
      </c>
      <c r="C1666" s="35">
        <v>1994</v>
      </c>
      <c r="D1666" s="35">
        <v>1993</v>
      </c>
      <c r="E1666" s="35">
        <v>14</v>
      </c>
      <c r="F1666" s="35">
        <v>11</v>
      </c>
      <c r="G1666" s="35">
        <v>3</v>
      </c>
      <c r="H1666" s="1" t="s">
        <v>2</v>
      </c>
      <c r="I1666" s="1"/>
      <c r="J1666" s="1"/>
      <c r="K1666" s="1"/>
      <c r="AA1666" s="1"/>
    </row>
    <row r="1667" spans="1:27" x14ac:dyDescent="0.25">
      <c r="A1667" t="s">
        <v>88</v>
      </c>
      <c r="B1667" t="str">
        <f t="shared" si="27"/>
        <v>50</v>
      </c>
      <c r="C1667" s="35">
        <v>1994</v>
      </c>
      <c r="D1667" s="35">
        <v>1994</v>
      </c>
      <c r="E1667" s="36">
        <v>2213</v>
      </c>
      <c r="F1667" s="36">
        <v>1336</v>
      </c>
      <c r="G1667" s="35">
        <v>877</v>
      </c>
      <c r="H1667" s="1" t="s">
        <v>2</v>
      </c>
      <c r="I1667" s="1"/>
      <c r="J1667" s="1"/>
      <c r="K1667" s="1"/>
      <c r="AA1667" s="1"/>
    </row>
    <row r="1668" spans="1:27" x14ac:dyDescent="0.25">
      <c r="A1668" t="s">
        <v>88</v>
      </c>
      <c r="B1668" t="str">
        <f t="shared" si="27"/>
        <v>50</v>
      </c>
      <c r="C1668" s="35">
        <v>1994</v>
      </c>
      <c r="D1668" s="1" t="s">
        <v>24</v>
      </c>
      <c r="E1668" s="35">
        <v>1</v>
      </c>
      <c r="F1668" s="35">
        <v>1</v>
      </c>
      <c r="G1668" s="1" t="s">
        <v>2</v>
      </c>
      <c r="H1668" s="1" t="s">
        <v>2</v>
      </c>
      <c r="I1668" s="1"/>
      <c r="J1668" s="1"/>
      <c r="K1668" s="1"/>
      <c r="AA1668" s="1"/>
    </row>
    <row r="1669" spans="1:27" x14ac:dyDescent="0.25">
      <c r="A1669" t="s">
        <v>88</v>
      </c>
      <c r="B1669" t="str">
        <f t="shared" si="27"/>
        <v>50</v>
      </c>
      <c r="C1669" s="35">
        <v>1995</v>
      </c>
      <c r="D1669" s="1" t="s">
        <v>4</v>
      </c>
      <c r="E1669" s="36">
        <v>2262</v>
      </c>
      <c r="F1669" s="36">
        <v>1337</v>
      </c>
      <c r="G1669" s="35">
        <v>925</v>
      </c>
      <c r="H1669" s="1" t="s">
        <v>2</v>
      </c>
      <c r="I1669" s="1"/>
      <c r="J1669" s="1"/>
      <c r="K1669" s="1"/>
      <c r="AA1669" s="1"/>
    </row>
    <row r="1670" spans="1:27" x14ac:dyDescent="0.25">
      <c r="A1670" t="s">
        <v>88</v>
      </c>
      <c r="B1670" t="str">
        <f t="shared" si="27"/>
        <v>50</v>
      </c>
      <c r="C1670" s="35">
        <v>1995</v>
      </c>
      <c r="D1670" s="35">
        <v>1975</v>
      </c>
      <c r="E1670" s="35">
        <v>1</v>
      </c>
      <c r="F1670" s="35">
        <v>1</v>
      </c>
      <c r="G1670" s="1" t="s">
        <v>2</v>
      </c>
      <c r="H1670" s="1" t="s">
        <v>2</v>
      </c>
      <c r="I1670" s="1"/>
      <c r="J1670" s="1"/>
      <c r="K1670" s="1"/>
      <c r="AA1670" s="1"/>
    </row>
    <row r="1671" spans="1:27" x14ac:dyDescent="0.25">
      <c r="A1671" t="s">
        <v>88</v>
      </c>
      <c r="B1671" t="str">
        <f t="shared" ref="B1671:B1734" si="28">IF(A1671="Menores de 1 año",0,LEFT(A1671,2))</f>
        <v>50</v>
      </c>
      <c r="C1671" s="35">
        <v>1995</v>
      </c>
      <c r="D1671" s="35">
        <v>1994</v>
      </c>
      <c r="E1671" s="35">
        <v>16</v>
      </c>
      <c r="F1671" s="35">
        <v>14</v>
      </c>
      <c r="G1671" s="35">
        <v>2</v>
      </c>
      <c r="H1671" s="1" t="s">
        <v>2</v>
      </c>
      <c r="I1671" s="1"/>
      <c r="J1671" s="1"/>
      <c r="K1671" s="1"/>
      <c r="AA1671" s="1"/>
    </row>
    <row r="1672" spans="1:27" x14ac:dyDescent="0.25">
      <c r="A1672" t="s">
        <v>88</v>
      </c>
      <c r="B1672" t="str">
        <f t="shared" si="28"/>
        <v>50</v>
      </c>
      <c r="C1672" s="35">
        <v>1995</v>
      </c>
      <c r="D1672" s="35">
        <v>1995</v>
      </c>
      <c r="E1672" s="36">
        <v>2245</v>
      </c>
      <c r="F1672" s="36">
        <v>1322</v>
      </c>
      <c r="G1672" s="35">
        <v>923</v>
      </c>
      <c r="H1672" s="1" t="s">
        <v>2</v>
      </c>
      <c r="I1672" s="1"/>
      <c r="J1672" s="1"/>
      <c r="K1672" s="1"/>
      <c r="AA1672" s="1"/>
    </row>
    <row r="1673" spans="1:27" x14ac:dyDescent="0.25">
      <c r="A1673" t="s">
        <v>88</v>
      </c>
      <c r="B1673" t="str">
        <f t="shared" si="28"/>
        <v>50</v>
      </c>
      <c r="C1673" s="35">
        <v>1996</v>
      </c>
      <c r="D1673" s="1" t="s">
        <v>4</v>
      </c>
      <c r="E1673" s="36">
        <v>2247</v>
      </c>
      <c r="F1673" s="36">
        <v>1345</v>
      </c>
      <c r="G1673" s="35">
        <v>902</v>
      </c>
      <c r="H1673" s="1" t="s">
        <v>2</v>
      </c>
      <c r="I1673" s="1"/>
      <c r="J1673" s="1"/>
      <c r="K1673" s="1"/>
      <c r="AA1673" s="1"/>
    </row>
    <row r="1674" spans="1:27" x14ac:dyDescent="0.25">
      <c r="A1674" t="s">
        <v>88</v>
      </c>
      <c r="B1674" t="str">
        <f t="shared" si="28"/>
        <v>50</v>
      </c>
      <c r="C1674" s="35">
        <v>1996</v>
      </c>
      <c r="D1674" s="35">
        <v>1906</v>
      </c>
      <c r="E1674" s="35">
        <v>1</v>
      </c>
      <c r="F1674" s="35">
        <v>1</v>
      </c>
      <c r="G1674" s="1" t="s">
        <v>2</v>
      </c>
      <c r="H1674" s="1" t="s">
        <v>2</v>
      </c>
      <c r="I1674" s="1"/>
      <c r="J1674" s="1"/>
      <c r="K1674" s="1"/>
      <c r="AA1674" s="1"/>
    </row>
    <row r="1675" spans="1:27" x14ac:dyDescent="0.25">
      <c r="A1675" t="s">
        <v>88</v>
      </c>
      <c r="B1675" t="str">
        <f t="shared" si="28"/>
        <v>50</v>
      </c>
      <c r="C1675" s="35">
        <v>1996</v>
      </c>
      <c r="D1675" s="35">
        <v>1966</v>
      </c>
      <c r="E1675" s="35">
        <v>1</v>
      </c>
      <c r="F1675" s="1" t="s">
        <v>2</v>
      </c>
      <c r="G1675" s="35">
        <v>1</v>
      </c>
      <c r="H1675" s="1" t="s">
        <v>2</v>
      </c>
      <c r="I1675" s="1"/>
      <c r="J1675" s="1"/>
      <c r="K1675" s="1"/>
      <c r="AA1675" s="1"/>
    </row>
    <row r="1676" spans="1:27" x14ac:dyDescent="0.25">
      <c r="A1676" t="s">
        <v>88</v>
      </c>
      <c r="B1676" t="str">
        <f t="shared" si="28"/>
        <v>50</v>
      </c>
      <c r="C1676" s="35">
        <v>1996</v>
      </c>
      <c r="D1676" s="35">
        <v>1986</v>
      </c>
      <c r="E1676" s="35">
        <v>1</v>
      </c>
      <c r="F1676" s="35">
        <v>1</v>
      </c>
      <c r="G1676" s="1" t="s">
        <v>2</v>
      </c>
      <c r="H1676" s="1" t="s">
        <v>2</v>
      </c>
      <c r="I1676" s="1"/>
      <c r="J1676" s="1"/>
      <c r="K1676" s="1"/>
      <c r="AA1676" s="1"/>
    </row>
    <row r="1677" spans="1:27" x14ac:dyDescent="0.25">
      <c r="A1677" t="s">
        <v>88</v>
      </c>
      <c r="B1677" t="str">
        <f t="shared" si="28"/>
        <v>50</v>
      </c>
      <c r="C1677" s="35">
        <v>1996</v>
      </c>
      <c r="D1677" s="35">
        <v>1993</v>
      </c>
      <c r="E1677" s="35">
        <v>1</v>
      </c>
      <c r="F1677" s="35">
        <v>1</v>
      </c>
      <c r="G1677" s="1" t="s">
        <v>2</v>
      </c>
      <c r="H1677" s="1" t="s">
        <v>2</v>
      </c>
      <c r="I1677" s="1"/>
      <c r="J1677" s="1"/>
      <c r="K1677" s="1"/>
      <c r="AA1677" s="1"/>
    </row>
    <row r="1678" spans="1:27" x14ac:dyDescent="0.25">
      <c r="A1678" t="s">
        <v>88</v>
      </c>
      <c r="B1678" t="str">
        <f t="shared" si="28"/>
        <v>50</v>
      </c>
      <c r="C1678" s="35">
        <v>1996</v>
      </c>
      <c r="D1678" s="35">
        <v>1994</v>
      </c>
      <c r="E1678" s="35">
        <v>1</v>
      </c>
      <c r="F1678" s="35">
        <v>1</v>
      </c>
      <c r="G1678" s="1" t="s">
        <v>2</v>
      </c>
      <c r="H1678" s="1" t="s">
        <v>2</v>
      </c>
      <c r="I1678" s="1"/>
      <c r="J1678" s="1"/>
      <c r="K1678" s="1"/>
      <c r="AA1678" s="1"/>
    </row>
    <row r="1679" spans="1:27" x14ac:dyDescent="0.25">
      <c r="A1679" t="s">
        <v>88</v>
      </c>
      <c r="B1679" t="str">
        <f t="shared" si="28"/>
        <v>50</v>
      </c>
      <c r="C1679" s="35">
        <v>1996</v>
      </c>
      <c r="D1679" s="35">
        <v>1995</v>
      </c>
      <c r="E1679" s="35">
        <v>12</v>
      </c>
      <c r="F1679" s="35">
        <v>8</v>
      </c>
      <c r="G1679" s="35">
        <v>4</v>
      </c>
      <c r="H1679" s="1" t="s">
        <v>2</v>
      </c>
      <c r="I1679" s="1"/>
      <c r="J1679" s="1"/>
      <c r="K1679" s="1"/>
      <c r="AA1679" s="1"/>
    </row>
    <row r="1680" spans="1:27" x14ac:dyDescent="0.25">
      <c r="A1680" t="s">
        <v>88</v>
      </c>
      <c r="B1680" t="str">
        <f t="shared" si="28"/>
        <v>50</v>
      </c>
      <c r="C1680" s="35">
        <v>1996</v>
      </c>
      <c r="D1680" s="35">
        <v>1996</v>
      </c>
      <c r="E1680" s="36">
        <v>2230</v>
      </c>
      <c r="F1680" s="36">
        <v>1333</v>
      </c>
      <c r="G1680" s="35">
        <v>897</v>
      </c>
      <c r="H1680" s="1" t="s">
        <v>2</v>
      </c>
      <c r="I1680" s="1"/>
      <c r="J1680" s="1"/>
      <c r="K1680" s="1"/>
      <c r="AA1680" s="1"/>
    </row>
    <row r="1681" spans="1:27" x14ac:dyDescent="0.25">
      <c r="A1681" t="s">
        <v>88</v>
      </c>
      <c r="B1681" t="str">
        <f t="shared" si="28"/>
        <v>50</v>
      </c>
      <c r="C1681" s="35">
        <v>1997</v>
      </c>
      <c r="D1681" s="1" t="s">
        <v>4</v>
      </c>
      <c r="E1681" s="36">
        <v>2289</v>
      </c>
      <c r="F1681" s="36">
        <v>1345</v>
      </c>
      <c r="G1681" s="35">
        <v>944</v>
      </c>
      <c r="H1681" s="1" t="s">
        <v>2</v>
      </c>
      <c r="I1681" s="1"/>
      <c r="J1681" s="1"/>
      <c r="K1681" s="1"/>
      <c r="AA1681" s="1"/>
    </row>
    <row r="1682" spans="1:27" x14ac:dyDescent="0.25">
      <c r="A1682" t="s">
        <v>88</v>
      </c>
      <c r="B1682" t="str">
        <f t="shared" si="28"/>
        <v>50</v>
      </c>
      <c r="C1682" s="35">
        <v>1997</v>
      </c>
      <c r="D1682" s="35">
        <v>1993</v>
      </c>
      <c r="E1682" s="35">
        <v>1</v>
      </c>
      <c r="F1682" s="35">
        <v>1</v>
      </c>
      <c r="G1682" s="1" t="s">
        <v>2</v>
      </c>
      <c r="H1682" s="1" t="s">
        <v>2</v>
      </c>
      <c r="I1682" s="1"/>
      <c r="J1682" s="1"/>
      <c r="K1682" s="1"/>
      <c r="AA1682" s="1"/>
    </row>
    <row r="1683" spans="1:27" x14ac:dyDescent="0.25">
      <c r="A1683" t="s">
        <v>88</v>
      </c>
      <c r="B1683" t="str">
        <f t="shared" si="28"/>
        <v>50</v>
      </c>
      <c r="C1683" s="35">
        <v>1997</v>
      </c>
      <c r="D1683" s="35">
        <v>1996</v>
      </c>
      <c r="E1683" s="35">
        <v>13</v>
      </c>
      <c r="F1683" s="35">
        <v>11</v>
      </c>
      <c r="G1683" s="35">
        <v>2</v>
      </c>
      <c r="H1683" s="1" t="s">
        <v>2</v>
      </c>
      <c r="I1683" s="1"/>
      <c r="J1683" s="1"/>
      <c r="K1683" s="1"/>
      <c r="AA1683" s="1"/>
    </row>
    <row r="1684" spans="1:27" x14ac:dyDescent="0.25">
      <c r="A1684" t="s">
        <v>88</v>
      </c>
      <c r="B1684" t="str">
        <f t="shared" si="28"/>
        <v>50</v>
      </c>
      <c r="C1684" s="35">
        <v>1997</v>
      </c>
      <c r="D1684" s="35">
        <v>1997</v>
      </c>
      <c r="E1684" s="36">
        <v>2275</v>
      </c>
      <c r="F1684" s="36">
        <v>1333</v>
      </c>
      <c r="G1684" s="35">
        <v>942</v>
      </c>
      <c r="H1684" s="1" t="s">
        <v>2</v>
      </c>
      <c r="I1684" s="1"/>
      <c r="J1684" s="1"/>
      <c r="K1684" s="1"/>
      <c r="AA1684" s="1"/>
    </row>
    <row r="1685" spans="1:27" x14ac:dyDescent="0.25">
      <c r="A1685" t="s">
        <v>88</v>
      </c>
      <c r="B1685" t="str">
        <f t="shared" si="28"/>
        <v>50</v>
      </c>
      <c r="C1685" s="35">
        <v>1998</v>
      </c>
      <c r="D1685" s="1" t="s">
        <v>4</v>
      </c>
      <c r="E1685" s="36">
        <v>2313</v>
      </c>
      <c r="F1685" s="36">
        <v>1316</v>
      </c>
      <c r="G1685" s="35">
        <v>997</v>
      </c>
      <c r="H1685" s="1" t="s">
        <v>2</v>
      </c>
      <c r="I1685" s="1"/>
      <c r="J1685" s="1"/>
      <c r="K1685" s="1"/>
      <c r="AA1685" s="1"/>
    </row>
    <row r="1686" spans="1:27" x14ac:dyDescent="0.25">
      <c r="A1686" t="s">
        <v>88</v>
      </c>
      <c r="B1686" t="str">
        <f t="shared" si="28"/>
        <v>50</v>
      </c>
      <c r="C1686" s="35">
        <v>1998</v>
      </c>
      <c r="D1686" s="35">
        <v>1958</v>
      </c>
      <c r="E1686" s="35">
        <v>1</v>
      </c>
      <c r="F1686" s="35">
        <v>1</v>
      </c>
      <c r="G1686" s="1" t="s">
        <v>2</v>
      </c>
      <c r="H1686" s="1" t="s">
        <v>2</v>
      </c>
      <c r="I1686" s="1"/>
      <c r="J1686" s="1"/>
      <c r="K1686" s="1"/>
      <c r="AA1686" s="1"/>
    </row>
    <row r="1687" spans="1:27" x14ac:dyDescent="0.25">
      <c r="A1687" t="s">
        <v>88</v>
      </c>
      <c r="B1687" t="str">
        <f t="shared" si="28"/>
        <v>50</v>
      </c>
      <c r="C1687" s="35">
        <v>1998</v>
      </c>
      <c r="D1687" s="35">
        <v>1988</v>
      </c>
      <c r="E1687" s="35">
        <v>1</v>
      </c>
      <c r="F1687" s="1" t="s">
        <v>2</v>
      </c>
      <c r="G1687" s="35">
        <v>1</v>
      </c>
      <c r="H1687" s="1" t="s">
        <v>2</v>
      </c>
      <c r="I1687" s="1"/>
      <c r="J1687" s="1"/>
      <c r="K1687" s="1"/>
      <c r="AA1687" s="1"/>
    </row>
    <row r="1688" spans="1:27" x14ac:dyDescent="0.25">
      <c r="A1688" t="s">
        <v>88</v>
      </c>
      <c r="B1688" t="str">
        <f t="shared" si="28"/>
        <v>50</v>
      </c>
      <c r="C1688" s="35">
        <v>1998</v>
      </c>
      <c r="D1688" s="35">
        <v>1990</v>
      </c>
      <c r="E1688" s="35">
        <v>1</v>
      </c>
      <c r="F1688" s="1" t="s">
        <v>2</v>
      </c>
      <c r="G1688" s="35">
        <v>1</v>
      </c>
      <c r="H1688" s="1" t="s">
        <v>2</v>
      </c>
      <c r="I1688" s="1"/>
      <c r="J1688" s="1"/>
      <c r="K1688" s="1"/>
      <c r="AA1688" s="1"/>
    </row>
    <row r="1689" spans="1:27" x14ac:dyDescent="0.25">
      <c r="A1689" t="s">
        <v>88</v>
      </c>
      <c r="B1689" t="str">
        <f t="shared" si="28"/>
        <v>50</v>
      </c>
      <c r="C1689" s="35">
        <v>1998</v>
      </c>
      <c r="D1689" s="35">
        <v>1997</v>
      </c>
      <c r="E1689" s="35">
        <v>9</v>
      </c>
      <c r="F1689" s="35">
        <v>8</v>
      </c>
      <c r="G1689" s="35">
        <v>1</v>
      </c>
      <c r="H1689" s="1" t="s">
        <v>2</v>
      </c>
      <c r="I1689" s="1"/>
      <c r="J1689" s="1"/>
      <c r="K1689" s="1"/>
      <c r="AA1689" s="1"/>
    </row>
    <row r="1690" spans="1:27" x14ac:dyDescent="0.25">
      <c r="A1690" t="s">
        <v>88</v>
      </c>
      <c r="B1690" t="str">
        <f t="shared" si="28"/>
        <v>50</v>
      </c>
      <c r="C1690" s="35">
        <v>1998</v>
      </c>
      <c r="D1690" s="35">
        <v>1998</v>
      </c>
      <c r="E1690" s="36">
        <v>2301</v>
      </c>
      <c r="F1690" s="36">
        <v>1307</v>
      </c>
      <c r="G1690" s="35">
        <v>994</v>
      </c>
      <c r="H1690" s="1" t="s">
        <v>2</v>
      </c>
      <c r="I1690" s="1"/>
      <c r="J1690" s="1"/>
      <c r="K1690" s="1"/>
      <c r="AA1690" s="1"/>
    </row>
    <row r="1691" spans="1:27" x14ac:dyDescent="0.25">
      <c r="A1691" t="s">
        <v>88</v>
      </c>
      <c r="B1691" t="str">
        <f t="shared" si="28"/>
        <v>50</v>
      </c>
      <c r="C1691" s="35">
        <v>1999</v>
      </c>
      <c r="D1691" s="1" t="s">
        <v>4</v>
      </c>
      <c r="E1691" s="36">
        <v>2314</v>
      </c>
      <c r="F1691" s="36">
        <v>1340</v>
      </c>
      <c r="G1691" s="35">
        <v>973</v>
      </c>
      <c r="H1691" s="35">
        <v>1</v>
      </c>
      <c r="I1691" s="1"/>
      <c r="J1691" s="1"/>
      <c r="K1691" s="1"/>
      <c r="AA1691" s="1"/>
    </row>
    <row r="1692" spans="1:27" x14ac:dyDescent="0.25">
      <c r="A1692" t="s">
        <v>88</v>
      </c>
      <c r="B1692" t="str">
        <f t="shared" si="28"/>
        <v>50</v>
      </c>
      <c r="C1692" s="35">
        <v>1999</v>
      </c>
      <c r="D1692" s="35">
        <v>1998</v>
      </c>
      <c r="E1692" s="35">
        <v>9</v>
      </c>
      <c r="F1692" s="35">
        <v>3</v>
      </c>
      <c r="G1692" s="35">
        <v>6</v>
      </c>
      <c r="H1692" s="1" t="s">
        <v>2</v>
      </c>
      <c r="I1692" s="1"/>
      <c r="J1692" s="1"/>
      <c r="K1692" s="1"/>
      <c r="AA1692" s="1"/>
    </row>
    <row r="1693" spans="1:27" x14ac:dyDescent="0.25">
      <c r="A1693" t="s">
        <v>88</v>
      </c>
      <c r="B1693" t="str">
        <f t="shared" si="28"/>
        <v>50</v>
      </c>
      <c r="C1693" s="35">
        <v>1999</v>
      </c>
      <c r="D1693" s="35">
        <v>1999</v>
      </c>
      <c r="E1693" s="36">
        <v>2305</v>
      </c>
      <c r="F1693" s="36">
        <v>1337</v>
      </c>
      <c r="G1693" s="35">
        <v>967</v>
      </c>
      <c r="H1693" s="35">
        <v>1</v>
      </c>
      <c r="I1693" s="1"/>
      <c r="J1693" s="1"/>
      <c r="K1693" s="1"/>
      <c r="AA1693" s="1"/>
    </row>
    <row r="1694" spans="1:27" x14ac:dyDescent="0.25">
      <c r="A1694" t="s">
        <v>88</v>
      </c>
      <c r="B1694" t="str">
        <f t="shared" si="28"/>
        <v>50</v>
      </c>
      <c r="C1694" s="35">
        <v>2000</v>
      </c>
      <c r="D1694" s="1" t="s">
        <v>4</v>
      </c>
      <c r="E1694" s="36">
        <v>2304</v>
      </c>
      <c r="F1694" s="36">
        <v>1308</v>
      </c>
      <c r="G1694" s="35">
        <v>996</v>
      </c>
      <c r="H1694" s="1" t="s">
        <v>2</v>
      </c>
      <c r="I1694" s="1"/>
      <c r="J1694" s="1"/>
      <c r="K1694" s="1"/>
      <c r="AA1694" s="1"/>
    </row>
    <row r="1695" spans="1:27" x14ac:dyDescent="0.25">
      <c r="A1695" t="s">
        <v>88</v>
      </c>
      <c r="B1695" t="str">
        <f t="shared" si="28"/>
        <v>50</v>
      </c>
      <c r="C1695" s="35">
        <v>2000</v>
      </c>
      <c r="D1695" s="35">
        <v>1999</v>
      </c>
      <c r="E1695" s="35">
        <v>11</v>
      </c>
      <c r="F1695" s="35">
        <v>8</v>
      </c>
      <c r="G1695" s="35">
        <v>3</v>
      </c>
      <c r="H1695" s="1" t="s">
        <v>2</v>
      </c>
      <c r="I1695" s="1"/>
      <c r="J1695" s="1"/>
      <c r="K1695" s="1"/>
      <c r="AA1695" s="1"/>
    </row>
    <row r="1696" spans="1:27" x14ac:dyDescent="0.25">
      <c r="A1696" t="s">
        <v>88</v>
      </c>
      <c r="B1696" t="str">
        <f t="shared" si="28"/>
        <v>50</v>
      </c>
      <c r="C1696" s="35">
        <v>2000</v>
      </c>
      <c r="D1696" s="35">
        <v>2000</v>
      </c>
      <c r="E1696" s="36">
        <v>2293</v>
      </c>
      <c r="F1696" s="36">
        <v>1300</v>
      </c>
      <c r="G1696" s="35">
        <v>993</v>
      </c>
      <c r="H1696" s="1" t="s">
        <v>2</v>
      </c>
      <c r="I1696" s="1"/>
      <c r="J1696" s="1"/>
      <c r="K1696" s="1"/>
      <c r="AA1696" s="1"/>
    </row>
    <row r="1697" spans="1:27" x14ac:dyDescent="0.25">
      <c r="A1697" t="s">
        <v>88</v>
      </c>
      <c r="B1697" t="str">
        <f t="shared" si="28"/>
        <v>50</v>
      </c>
      <c r="C1697" s="35">
        <v>2001</v>
      </c>
      <c r="D1697" s="1" t="s">
        <v>4</v>
      </c>
      <c r="E1697" s="36">
        <v>2376</v>
      </c>
      <c r="F1697" s="36">
        <v>1449</v>
      </c>
      <c r="G1697" s="35">
        <v>927</v>
      </c>
      <c r="H1697" s="1" t="s">
        <v>2</v>
      </c>
      <c r="I1697" s="1"/>
      <c r="J1697" s="1"/>
      <c r="K1697" s="1"/>
      <c r="AA1697" s="1"/>
    </row>
    <row r="1698" spans="1:27" x14ac:dyDescent="0.25">
      <c r="A1698" t="s">
        <v>88</v>
      </c>
      <c r="B1698" t="str">
        <f t="shared" si="28"/>
        <v>50</v>
      </c>
      <c r="C1698" s="35">
        <v>2001</v>
      </c>
      <c r="D1698" s="35">
        <v>2000</v>
      </c>
      <c r="E1698" s="35">
        <v>7</v>
      </c>
      <c r="F1698" s="35">
        <v>6</v>
      </c>
      <c r="G1698" s="35">
        <v>1</v>
      </c>
      <c r="H1698" s="1" t="s">
        <v>2</v>
      </c>
      <c r="I1698" s="1"/>
      <c r="J1698" s="1"/>
      <c r="K1698" s="1"/>
      <c r="AA1698" s="1"/>
    </row>
    <row r="1699" spans="1:27" x14ac:dyDescent="0.25">
      <c r="A1699" t="s">
        <v>88</v>
      </c>
      <c r="B1699" t="str">
        <f t="shared" si="28"/>
        <v>50</v>
      </c>
      <c r="C1699" s="35">
        <v>2001</v>
      </c>
      <c r="D1699" s="35">
        <v>2001</v>
      </c>
      <c r="E1699" s="36">
        <v>2369</v>
      </c>
      <c r="F1699" s="36">
        <v>1443</v>
      </c>
      <c r="G1699" s="35">
        <v>926</v>
      </c>
      <c r="H1699" s="1" t="s">
        <v>2</v>
      </c>
      <c r="I1699" s="1"/>
      <c r="J1699" s="1"/>
      <c r="K1699" s="1"/>
      <c r="AA1699" s="1"/>
    </row>
    <row r="1700" spans="1:27" x14ac:dyDescent="0.25">
      <c r="A1700" t="s">
        <v>88</v>
      </c>
      <c r="B1700" t="str">
        <f t="shared" si="28"/>
        <v>50</v>
      </c>
      <c r="C1700" s="35">
        <v>2002</v>
      </c>
      <c r="D1700" s="1" t="s">
        <v>4</v>
      </c>
      <c r="E1700" s="36">
        <v>2412</v>
      </c>
      <c r="F1700" s="36">
        <v>1386</v>
      </c>
      <c r="G1700" s="36">
        <v>1026</v>
      </c>
      <c r="H1700" s="1" t="s">
        <v>2</v>
      </c>
      <c r="I1700" s="1"/>
      <c r="J1700" s="1"/>
      <c r="K1700" s="1"/>
      <c r="AA1700" s="1"/>
    </row>
    <row r="1701" spans="1:27" x14ac:dyDescent="0.25">
      <c r="A1701" t="s">
        <v>88</v>
      </c>
      <c r="B1701" t="str">
        <f t="shared" si="28"/>
        <v>50</v>
      </c>
      <c r="C1701" s="35">
        <v>2002</v>
      </c>
      <c r="D1701" s="35">
        <v>2001</v>
      </c>
      <c r="E1701" s="35">
        <v>12</v>
      </c>
      <c r="F1701" s="35">
        <v>9</v>
      </c>
      <c r="G1701" s="35">
        <v>3</v>
      </c>
      <c r="H1701" s="1" t="s">
        <v>2</v>
      </c>
      <c r="I1701" s="1"/>
      <c r="J1701" s="1"/>
      <c r="K1701" s="1"/>
      <c r="AA1701" s="1"/>
    </row>
    <row r="1702" spans="1:27" x14ac:dyDescent="0.25">
      <c r="A1702" t="s">
        <v>88</v>
      </c>
      <c r="B1702" t="str">
        <f t="shared" si="28"/>
        <v>50</v>
      </c>
      <c r="C1702" s="35">
        <v>2002</v>
      </c>
      <c r="D1702" s="35">
        <v>2002</v>
      </c>
      <c r="E1702" s="36">
        <v>2400</v>
      </c>
      <c r="F1702" s="36">
        <v>1377</v>
      </c>
      <c r="G1702" s="36">
        <v>1023</v>
      </c>
      <c r="H1702" s="1" t="s">
        <v>2</v>
      </c>
      <c r="I1702" s="1"/>
      <c r="J1702" s="1"/>
      <c r="K1702" s="1"/>
      <c r="AA1702" s="1"/>
    </row>
    <row r="1703" spans="1:27" x14ac:dyDescent="0.25">
      <c r="A1703" t="s">
        <v>88</v>
      </c>
      <c r="B1703" t="str">
        <f t="shared" si="28"/>
        <v>50</v>
      </c>
      <c r="C1703" s="35">
        <v>2003</v>
      </c>
      <c r="D1703" s="1" t="s">
        <v>4</v>
      </c>
      <c r="E1703" s="36">
        <v>2398</v>
      </c>
      <c r="F1703" s="36">
        <v>1458</v>
      </c>
      <c r="G1703" s="35">
        <v>940</v>
      </c>
      <c r="H1703" s="1" t="s">
        <v>2</v>
      </c>
      <c r="I1703" s="1"/>
      <c r="J1703" s="1"/>
      <c r="K1703" s="1"/>
      <c r="AA1703" s="1"/>
    </row>
    <row r="1704" spans="1:27" x14ac:dyDescent="0.25">
      <c r="A1704" t="s">
        <v>88</v>
      </c>
      <c r="B1704" t="str">
        <f t="shared" si="28"/>
        <v>50</v>
      </c>
      <c r="C1704" s="35">
        <v>2003</v>
      </c>
      <c r="D1704" s="35">
        <v>1992</v>
      </c>
      <c r="E1704" s="35">
        <v>1</v>
      </c>
      <c r="F1704" s="35">
        <v>1</v>
      </c>
      <c r="G1704" s="1" t="s">
        <v>2</v>
      </c>
      <c r="H1704" s="1" t="s">
        <v>2</v>
      </c>
      <c r="I1704" s="1"/>
      <c r="J1704" s="1"/>
      <c r="K1704" s="1"/>
      <c r="AA1704" s="1"/>
    </row>
    <row r="1705" spans="1:27" x14ac:dyDescent="0.25">
      <c r="A1705" t="s">
        <v>88</v>
      </c>
      <c r="B1705" t="str">
        <f t="shared" si="28"/>
        <v>50</v>
      </c>
      <c r="C1705" s="35">
        <v>2003</v>
      </c>
      <c r="D1705" s="35">
        <v>2002</v>
      </c>
      <c r="E1705" s="35">
        <v>16</v>
      </c>
      <c r="F1705" s="35">
        <v>11</v>
      </c>
      <c r="G1705" s="35">
        <v>5</v>
      </c>
      <c r="H1705" s="1" t="s">
        <v>2</v>
      </c>
      <c r="I1705" s="1"/>
      <c r="J1705" s="1"/>
      <c r="K1705" s="1"/>
      <c r="AA1705" s="1"/>
    </row>
    <row r="1706" spans="1:27" x14ac:dyDescent="0.25">
      <c r="A1706" t="s">
        <v>88</v>
      </c>
      <c r="B1706" t="str">
        <f t="shared" si="28"/>
        <v>50</v>
      </c>
      <c r="C1706" s="35">
        <v>2003</v>
      </c>
      <c r="D1706" s="35">
        <v>2003</v>
      </c>
      <c r="E1706" s="36">
        <v>2381</v>
      </c>
      <c r="F1706" s="36">
        <v>1446</v>
      </c>
      <c r="G1706" s="35">
        <v>935</v>
      </c>
      <c r="H1706" s="1" t="s">
        <v>2</v>
      </c>
      <c r="I1706" s="1"/>
      <c r="J1706" s="1"/>
      <c r="K1706" s="1"/>
      <c r="AA1706" s="1"/>
    </row>
    <row r="1707" spans="1:27" x14ac:dyDescent="0.25">
      <c r="A1707" t="s">
        <v>88</v>
      </c>
      <c r="B1707" t="str">
        <f t="shared" si="28"/>
        <v>50</v>
      </c>
      <c r="C1707" s="35">
        <v>2004</v>
      </c>
      <c r="D1707" s="1" t="s">
        <v>4</v>
      </c>
      <c r="E1707" s="36">
        <v>2510</v>
      </c>
      <c r="F1707" s="36">
        <v>1436</v>
      </c>
      <c r="G1707" s="36">
        <v>1074</v>
      </c>
      <c r="H1707" s="1" t="s">
        <v>2</v>
      </c>
      <c r="I1707" s="1"/>
      <c r="J1707" s="1"/>
      <c r="K1707" s="1"/>
      <c r="AA1707" s="1"/>
    </row>
    <row r="1708" spans="1:27" x14ac:dyDescent="0.25">
      <c r="A1708" t="s">
        <v>88</v>
      </c>
      <c r="B1708" t="str">
        <f t="shared" si="28"/>
        <v>50</v>
      </c>
      <c r="C1708" s="35">
        <v>2004</v>
      </c>
      <c r="D1708" s="35">
        <v>2000</v>
      </c>
      <c r="E1708" s="35">
        <v>1</v>
      </c>
      <c r="F1708" s="1" t="s">
        <v>2</v>
      </c>
      <c r="G1708" s="35">
        <v>1</v>
      </c>
      <c r="H1708" s="1" t="s">
        <v>2</v>
      </c>
      <c r="I1708" s="1"/>
      <c r="J1708" s="1"/>
      <c r="K1708" s="1"/>
      <c r="AA1708" s="1"/>
    </row>
    <row r="1709" spans="1:27" x14ac:dyDescent="0.25">
      <c r="A1709" t="s">
        <v>88</v>
      </c>
      <c r="B1709" t="str">
        <f t="shared" si="28"/>
        <v>50</v>
      </c>
      <c r="C1709" s="35">
        <v>2004</v>
      </c>
      <c r="D1709" s="35">
        <v>2003</v>
      </c>
      <c r="E1709" s="35">
        <v>10</v>
      </c>
      <c r="F1709" s="35">
        <v>9</v>
      </c>
      <c r="G1709" s="35">
        <v>1</v>
      </c>
      <c r="H1709" s="1" t="s">
        <v>2</v>
      </c>
      <c r="I1709" s="1"/>
      <c r="J1709" s="1"/>
      <c r="K1709" s="1"/>
      <c r="AA1709" s="1"/>
    </row>
    <row r="1710" spans="1:27" x14ac:dyDescent="0.25">
      <c r="A1710" t="s">
        <v>88</v>
      </c>
      <c r="B1710" t="str">
        <f t="shared" si="28"/>
        <v>50</v>
      </c>
      <c r="C1710" s="35">
        <v>2004</v>
      </c>
      <c r="D1710" s="35">
        <v>2004</v>
      </c>
      <c r="E1710" s="36">
        <v>2499</v>
      </c>
      <c r="F1710" s="36">
        <v>1427</v>
      </c>
      <c r="G1710" s="36">
        <v>1072</v>
      </c>
      <c r="H1710" s="1" t="s">
        <v>2</v>
      </c>
      <c r="I1710" s="1"/>
      <c r="J1710" s="1"/>
      <c r="K1710" s="1"/>
      <c r="AA1710" s="1"/>
    </row>
    <row r="1711" spans="1:27" x14ac:dyDescent="0.25">
      <c r="A1711" t="s">
        <v>88</v>
      </c>
      <c r="B1711" t="str">
        <f t="shared" si="28"/>
        <v>50</v>
      </c>
      <c r="C1711" s="35">
        <v>2005</v>
      </c>
      <c r="D1711" s="1" t="s">
        <v>4</v>
      </c>
      <c r="E1711" s="36">
        <v>2523</v>
      </c>
      <c r="F1711" s="36">
        <v>1520</v>
      </c>
      <c r="G1711" s="36">
        <v>1003</v>
      </c>
      <c r="H1711" s="1" t="s">
        <v>2</v>
      </c>
      <c r="I1711" s="1"/>
      <c r="J1711" s="1"/>
      <c r="K1711" s="1"/>
      <c r="AA1711" s="1"/>
    </row>
    <row r="1712" spans="1:27" x14ac:dyDescent="0.25">
      <c r="A1712" t="s">
        <v>88</v>
      </c>
      <c r="B1712" t="str">
        <f t="shared" si="28"/>
        <v>50</v>
      </c>
      <c r="C1712" s="35">
        <v>2005</v>
      </c>
      <c r="D1712" s="35">
        <v>2004</v>
      </c>
      <c r="E1712" s="35">
        <v>16</v>
      </c>
      <c r="F1712" s="35">
        <v>14</v>
      </c>
      <c r="G1712" s="35">
        <v>2</v>
      </c>
      <c r="H1712" s="1" t="s">
        <v>2</v>
      </c>
      <c r="I1712" s="1"/>
      <c r="J1712" s="1"/>
      <c r="K1712" s="1"/>
      <c r="AA1712" s="1"/>
    </row>
    <row r="1713" spans="1:27" x14ac:dyDescent="0.25">
      <c r="A1713" t="s">
        <v>88</v>
      </c>
      <c r="B1713" t="str">
        <f t="shared" si="28"/>
        <v>50</v>
      </c>
      <c r="C1713" s="35">
        <v>2005</v>
      </c>
      <c r="D1713" s="35">
        <v>2005</v>
      </c>
      <c r="E1713" s="36">
        <v>2507</v>
      </c>
      <c r="F1713" s="36">
        <v>1506</v>
      </c>
      <c r="G1713" s="36">
        <v>1001</v>
      </c>
      <c r="H1713" s="1" t="s">
        <v>2</v>
      </c>
      <c r="I1713" s="1"/>
      <c r="J1713" s="1"/>
      <c r="K1713" s="1"/>
      <c r="AA1713" s="1"/>
    </row>
    <row r="1714" spans="1:27" x14ac:dyDescent="0.25">
      <c r="A1714" t="s">
        <v>88</v>
      </c>
      <c r="B1714" t="str">
        <f t="shared" si="28"/>
        <v>50</v>
      </c>
      <c r="C1714" s="35">
        <v>2006</v>
      </c>
      <c r="D1714" s="1" t="s">
        <v>4</v>
      </c>
      <c r="E1714" s="36">
        <v>2545</v>
      </c>
      <c r="F1714" s="36">
        <v>1488</v>
      </c>
      <c r="G1714" s="36">
        <v>1057</v>
      </c>
      <c r="H1714" s="1" t="s">
        <v>2</v>
      </c>
      <c r="I1714" s="1"/>
      <c r="J1714" s="1"/>
      <c r="K1714" s="1"/>
      <c r="AA1714" s="1"/>
    </row>
    <row r="1715" spans="1:27" x14ac:dyDescent="0.25">
      <c r="A1715" t="s">
        <v>88</v>
      </c>
      <c r="B1715" t="str">
        <f t="shared" si="28"/>
        <v>50</v>
      </c>
      <c r="C1715" s="35">
        <v>2006</v>
      </c>
      <c r="D1715" s="35">
        <v>2005</v>
      </c>
      <c r="E1715" s="35">
        <v>24</v>
      </c>
      <c r="F1715" s="35">
        <v>18</v>
      </c>
      <c r="G1715" s="35">
        <v>6</v>
      </c>
      <c r="H1715" s="1" t="s">
        <v>2</v>
      </c>
      <c r="I1715" s="1"/>
      <c r="J1715" s="1"/>
      <c r="K1715" s="1"/>
      <c r="AA1715" s="1"/>
    </row>
    <row r="1716" spans="1:27" x14ac:dyDescent="0.25">
      <c r="A1716" t="s">
        <v>88</v>
      </c>
      <c r="B1716" t="str">
        <f t="shared" si="28"/>
        <v>50</v>
      </c>
      <c r="C1716" s="35">
        <v>2006</v>
      </c>
      <c r="D1716" s="35">
        <v>2006</v>
      </c>
      <c r="E1716" s="36">
        <v>2521</v>
      </c>
      <c r="F1716" s="36">
        <v>1470</v>
      </c>
      <c r="G1716" s="36">
        <v>1051</v>
      </c>
      <c r="H1716" s="1" t="s">
        <v>2</v>
      </c>
      <c r="I1716" s="1"/>
      <c r="J1716" s="1"/>
      <c r="K1716" s="1"/>
      <c r="AA1716" s="1"/>
    </row>
    <row r="1717" spans="1:27" x14ac:dyDescent="0.25">
      <c r="A1717" t="s">
        <v>88</v>
      </c>
      <c r="B1717" t="str">
        <f t="shared" si="28"/>
        <v>50</v>
      </c>
      <c r="C1717" s="35">
        <v>2007</v>
      </c>
      <c r="D1717" s="1" t="s">
        <v>4</v>
      </c>
      <c r="E1717" s="36">
        <v>2787</v>
      </c>
      <c r="F1717" s="36">
        <v>1647</v>
      </c>
      <c r="G1717" s="36">
        <v>1139</v>
      </c>
      <c r="H1717" s="35">
        <v>1</v>
      </c>
      <c r="I1717" s="1"/>
      <c r="J1717" s="1"/>
      <c r="K1717" s="1"/>
      <c r="AA1717" s="1"/>
    </row>
    <row r="1718" spans="1:27" x14ac:dyDescent="0.25">
      <c r="A1718" t="s">
        <v>88</v>
      </c>
      <c r="B1718" t="str">
        <f t="shared" si="28"/>
        <v>50</v>
      </c>
      <c r="C1718" s="35">
        <v>2007</v>
      </c>
      <c r="D1718" s="35">
        <v>2006</v>
      </c>
      <c r="E1718" s="35">
        <v>22</v>
      </c>
      <c r="F1718" s="35">
        <v>16</v>
      </c>
      <c r="G1718" s="35">
        <v>6</v>
      </c>
      <c r="H1718" s="1" t="s">
        <v>2</v>
      </c>
      <c r="I1718" s="1"/>
      <c r="J1718" s="1"/>
      <c r="K1718" s="1"/>
      <c r="AA1718" s="1"/>
    </row>
    <row r="1719" spans="1:27" x14ac:dyDescent="0.25">
      <c r="A1719" t="s">
        <v>88</v>
      </c>
      <c r="B1719" t="str">
        <f t="shared" si="28"/>
        <v>50</v>
      </c>
      <c r="C1719" s="35">
        <v>2007</v>
      </c>
      <c r="D1719" s="35">
        <v>2007</v>
      </c>
      <c r="E1719" s="36">
        <v>2765</v>
      </c>
      <c r="F1719" s="36">
        <v>1631</v>
      </c>
      <c r="G1719" s="36">
        <v>1133</v>
      </c>
      <c r="H1719" s="35">
        <v>1</v>
      </c>
      <c r="I1719" s="1"/>
      <c r="J1719" s="1"/>
      <c r="K1719" s="1"/>
      <c r="AA1719" s="1"/>
    </row>
    <row r="1720" spans="1:27" x14ac:dyDescent="0.25">
      <c r="A1720" t="s">
        <v>88</v>
      </c>
      <c r="B1720" t="str">
        <f t="shared" si="28"/>
        <v>50</v>
      </c>
      <c r="C1720" s="35">
        <v>2008</v>
      </c>
      <c r="D1720" s="1" t="s">
        <v>4</v>
      </c>
      <c r="E1720" s="36">
        <v>2874</v>
      </c>
      <c r="F1720" s="36">
        <v>1704</v>
      </c>
      <c r="G1720" s="36">
        <v>1170</v>
      </c>
      <c r="H1720" s="1" t="s">
        <v>2</v>
      </c>
      <c r="I1720" s="1"/>
      <c r="J1720" s="1"/>
      <c r="K1720" s="1"/>
      <c r="AA1720" s="1"/>
    </row>
    <row r="1721" spans="1:27" x14ac:dyDescent="0.25">
      <c r="A1721" t="s">
        <v>88</v>
      </c>
      <c r="B1721" t="str">
        <f t="shared" si="28"/>
        <v>50</v>
      </c>
      <c r="C1721" s="35">
        <v>2008</v>
      </c>
      <c r="D1721" s="35">
        <v>2004</v>
      </c>
      <c r="E1721" s="35">
        <v>5</v>
      </c>
      <c r="F1721" s="35">
        <v>3</v>
      </c>
      <c r="G1721" s="35">
        <v>2</v>
      </c>
      <c r="H1721" s="1" t="s">
        <v>2</v>
      </c>
      <c r="I1721" s="1"/>
      <c r="J1721" s="1"/>
      <c r="K1721" s="1"/>
      <c r="AA1721" s="1"/>
    </row>
    <row r="1722" spans="1:27" x14ac:dyDescent="0.25">
      <c r="A1722" t="s">
        <v>88</v>
      </c>
      <c r="B1722" t="str">
        <f t="shared" si="28"/>
        <v>50</v>
      </c>
      <c r="C1722" s="35">
        <v>2008</v>
      </c>
      <c r="D1722" s="35">
        <v>2005</v>
      </c>
      <c r="E1722" s="35">
        <v>10</v>
      </c>
      <c r="F1722" s="35">
        <v>10</v>
      </c>
      <c r="G1722" s="1" t="s">
        <v>2</v>
      </c>
      <c r="H1722" s="1" t="s">
        <v>2</v>
      </c>
      <c r="I1722" s="1"/>
      <c r="J1722" s="1"/>
      <c r="K1722" s="1"/>
      <c r="AA1722" s="1"/>
    </row>
    <row r="1723" spans="1:27" x14ac:dyDescent="0.25">
      <c r="A1723" t="s">
        <v>88</v>
      </c>
      <c r="B1723" t="str">
        <f t="shared" si="28"/>
        <v>50</v>
      </c>
      <c r="C1723" s="35">
        <v>2008</v>
      </c>
      <c r="D1723" s="35">
        <v>2006</v>
      </c>
      <c r="E1723" s="35">
        <v>1</v>
      </c>
      <c r="F1723" s="35">
        <v>1</v>
      </c>
      <c r="G1723" s="1" t="s">
        <v>2</v>
      </c>
      <c r="H1723" s="1" t="s">
        <v>2</v>
      </c>
      <c r="I1723" s="1"/>
      <c r="J1723" s="1"/>
      <c r="K1723" s="1"/>
      <c r="AA1723" s="1"/>
    </row>
    <row r="1724" spans="1:27" x14ac:dyDescent="0.25">
      <c r="A1724" t="s">
        <v>88</v>
      </c>
      <c r="B1724" t="str">
        <f t="shared" si="28"/>
        <v>50</v>
      </c>
      <c r="C1724" s="35">
        <v>2008</v>
      </c>
      <c r="D1724" s="35">
        <v>2007</v>
      </c>
      <c r="E1724" s="35">
        <v>32</v>
      </c>
      <c r="F1724" s="35">
        <v>24</v>
      </c>
      <c r="G1724" s="35">
        <v>8</v>
      </c>
      <c r="H1724" s="1" t="s">
        <v>2</v>
      </c>
      <c r="I1724" s="1"/>
      <c r="J1724" s="1"/>
      <c r="K1724" s="1"/>
      <c r="AA1724" s="1"/>
    </row>
    <row r="1725" spans="1:27" x14ac:dyDescent="0.25">
      <c r="A1725" t="s">
        <v>88</v>
      </c>
      <c r="B1725" t="str">
        <f t="shared" si="28"/>
        <v>50</v>
      </c>
      <c r="C1725" s="35">
        <v>2008</v>
      </c>
      <c r="D1725" s="35">
        <v>2008</v>
      </c>
      <c r="E1725" s="36">
        <v>2826</v>
      </c>
      <c r="F1725" s="36">
        <v>1666</v>
      </c>
      <c r="G1725" s="36">
        <v>1160</v>
      </c>
      <c r="H1725" s="1" t="s">
        <v>2</v>
      </c>
      <c r="I1725" s="1"/>
      <c r="J1725" s="1"/>
      <c r="K1725" s="1"/>
      <c r="AA1725" s="1"/>
    </row>
    <row r="1726" spans="1:27" x14ac:dyDescent="0.25">
      <c r="A1726" t="s">
        <v>88</v>
      </c>
      <c r="B1726" t="str">
        <f t="shared" si="28"/>
        <v>50</v>
      </c>
      <c r="C1726" s="35">
        <v>2009</v>
      </c>
      <c r="D1726" s="1" t="s">
        <v>4</v>
      </c>
      <c r="E1726" s="36">
        <v>3052</v>
      </c>
      <c r="F1726" s="36">
        <v>1778</v>
      </c>
      <c r="G1726" s="36">
        <v>1274</v>
      </c>
      <c r="H1726" s="1" t="s">
        <v>2</v>
      </c>
      <c r="I1726" s="1"/>
      <c r="J1726" s="1"/>
      <c r="K1726" s="1"/>
      <c r="AA1726" s="1"/>
    </row>
    <row r="1727" spans="1:27" x14ac:dyDescent="0.25">
      <c r="A1727" t="s">
        <v>88</v>
      </c>
      <c r="B1727" t="str">
        <f t="shared" si="28"/>
        <v>50</v>
      </c>
      <c r="C1727" s="35">
        <v>2009</v>
      </c>
      <c r="D1727" s="35">
        <v>2004</v>
      </c>
      <c r="E1727" s="35">
        <v>2</v>
      </c>
      <c r="F1727" s="35">
        <v>2</v>
      </c>
      <c r="G1727" s="1" t="s">
        <v>2</v>
      </c>
      <c r="H1727" s="1" t="s">
        <v>2</v>
      </c>
      <c r="I1727" s="1"/>
      <c r="J1727" s="1"/>
      <c r="K1727" s="1"/>
      <c r="AA1727" s="1"/>
    </row>
    <row r="1728" spans="1:27" x14ac:dyDescent="0.25">
      <c r="A1728" t="s">
        <v>88</v>
      </c>
      <c r="B1728" t="str">
        <f t="shared" si="28"/>
        <v>50</v>
      </c>
      <c r="C1728" s="35">
        <v>2009</v>
      </c>
      <c r="D1728" s="35">
        <v>2006</v>
      </c>
      <c r="E1728" s="35">
        <v>1</v>
      </c>
      <c r="F1728" s="35">
        <v>1</v>
      </c>
      <c r="G1728" s="1" t="s">
        <v>2</v>
      </c>
      <c r="H1728" s="1" t="s">
        <v>2</v>
      </c>
      <c r="I1728" s="1"/>
      <c r="J1728" s="1"/>
      <c r="K1728" s="1"/>
      <c r="AA1728" s="1"/>
    </row>
    <row r="1729" spans="1:27" x14ac:dyDescent="0.25">
      <c r="A1729" t="s">
        <v>88</v>
      </c>
      <c r="B1729" t="str">
        <f t="shared" si="28"/>
        <v>50</v>
      </c>
      <c r="C1729" s="35">
        <v>2009</v>
      </c>
      <c r="D1729" s="35">
        <v>2008</v>
      </c>
      <c r="E1729" s="35">
        <v>26</v>
      </c>
      <c r="F1729" s="35">
        <v>24</v>
      </c>
      <c r="G1729" s="35">
        <v>2</v>
      </c>
      <c r="H1729" s="1" t="s">
        <v>2</v>
      </c>
      <c r="I1729" s="1"/>
      <c r="J1729" s="1"/>
      <c r="K1729" s="1"/>
      <c r="AA1729" s="1"/>
    </row>
    <row r="1730" spans="1:27" x14ac:dyDescent="0.25">
      <c r="A1730" t="s">
        <v>88</v>
      </c>
      <c r="B1730" t="str">
        <f t="shared" si="28"/>
        <v>50</v>
      </c>
      <c r="C1730" s="35">
        <v>2009</v>
      </c>
      <c r="D1730" s="35">
        <v>2009</v>
      </c>
      <c r="E1730" s="36">
        <v>3023</v>
      </c>
      <c r="F1730" s="36">
        <v>1751</v>
      </c>
      <c r="G1730" s="36">
        <v>1272</v>
      </c>
      <c r="H1730" s="1" t="s">
        <v>2</v>
      </c>
      <c r="I1730" s="1"/>
      <c r="J1730" s="1"/>
      <c r="K1730" s="1"/>
      <c r="AA1730" s="1"/>
    </row>
    <row r="1731" spans="1:27" x14ac:dyDescent="0.25">
      <c r="A1731" t="s">
        <v>88</v>
      </c>
      <c r="B1731" t="str">
        <f t="shared" si="28"/>
        <v>50</v>
      </c>
      <c r="C1731" s="35">
        <v>2010</v>
      </c>
      <c r="D1731" s="1" t="s">
        <v>4</v>
      </c>
      <c r="E1731" s="36">
        <v>2894</v>
      </c>
      <c r="F1731" s="36">
        <v>1703</v>
      </c>
      <c r="G1731" s="36">
        <v>1191</v>
      </c>
      <c r="H1731" s="1" t="s">
        <v>2</v>
      </c>
      <c r="I1731" s="1"/>
      <c r="J1731" s="1"/>
      <c r="K1731" s="1"/>
      <c r="AA1731" s="1"/>
    </row>
    <row r="1732" spans="1:27" x14ac:dyDescent="0.25">
      <c r="A1732" t="s">
        <v>88</v>
      </c>
      <c r="B1732" t="str">
        <f t="shared" si="28"/>
        <v>50</v>
      </c>
      <c r="C1732" s="35">
        <v>2010</v>
      </c>
      <c r="D1732" s="35">
        <v>2009</v>
      </c>
      <c r="E1732" s="35">
        <v>34</v>
      </c>
      <c r="F1732" s="35">
        <v>27</v>
      </c>
      <c r="G1732" s="35">
        <v>7</v>
      </c>
      <c r="H1732" s="1" t="s">
        <v>2</v>
      </c>
      <c r="I1732" s="1"/>
      <c r="J1732" s="1"/>
      <c r="K1732" s="1"/>
      <c r="AA1732" s="1"/>
    </row>
    <row r="1733" spans="1:27" x14ac:dyDescent="0.25">
      <c r="A1733" t="s">
        <v>88</v>
      </c>
      <c r="B1733" t="str">
        <f t="shared" si="28"/>
        <v>50</v>
      </c>
      <c r="C1733" s="35">
        <v>2010</v>
      </c>
      <c r="D1733" s="35">
        <v>2010</v>
      </c>
      <c r="E1733" s="36">
        <v>2860</v>
      </c>
      <c r="F1733" s="36">
        <v>1676</v>
      </c>
      <c r="G1733" s="36">
        <v>1184</v>
      </c>
      <c r="H1733" s="1" t="s">
        <v>2</v>
      </c>
      <c r="I1733" s="1"/>
      <c r="J1733" s="1"/>
      <c r="K1733" s="1"/>
      <c r="AA1733" s="1"/>
    </row>
    <row r="1734" spans="1:27" x14ac:dyDescent="0.25">
      <c r="A1734" t="s">
        <v>88</v>
      </c>
      <c r="B1734" t="str">
        <f t="shared" si="28"/>
        <v>50</v>
      </c>
      <c r="C1734" s="35">
        <v>2011</v>
      </c>
      <c r="D1734" s="1" t="s">
        <v>4</v>
      </c>
      <c r="E1734" s="36">
        <v>2934</v>
      </c>
      <c r="F1734" s="36">
        <v>1726</v>
      </c>
      <c r="G1734" s="36">
        <v>1206</v>
      </c>
      <c r="H1734" s="35">
        <v>2</v>
      </c>
      <c r="I1734" s="1"/>
      <c r="J1734" s="1"/>
      <c r="K1734" s="1"/>
      <c r="AA1734" s="1"/>
    </row>
    <row r="1735" spans="1:27" x14ac:dyDescent="0.25">
      <c r="A1735" t="s">
        <v>88</v>
      </c>
      <c r="B1735" t="str">
        <f t="shared" ref="B1735:B1798" si="29">IF(A1735="Menores de 1 año",0,LEFT(A1735,2))</f>
        <v>50</v>
      </c>
      <c r="C1735" s="35">
        <v>2011</v>
      </c>
      <c r="D1735" s="35">
        <v>2010</v>
      </c>
      <c r="E1735" s="35">
        <v>51</v>
      </c>
      <c r="F1735" s="35">
        <v>40</v>
      </c>
      <c r="G1735" s="35">
        <v>11</v>
      </c>
      <c r="H1735" s="1" t="s">
        <v>2</v>
      </c>
      <c r="I1735" s="1"/>
      <c r="J1735" s="1"/>
      <c r="K1735" s="1"/>
      <c r="AA1735" s="1"/>
    </row>
    <row r="1736" spans="1:27" x14ac:dyDescent="0.25">
      <c r="A1736" t="s">
        <v>88</v>
      </c>
      <c r="B1736" t="str">
        <f t="shared" si="29"/>
        <v>50</v>
      </c>
      <c r="C1736" s="35">
        <v>2011</v>
      </c>
      <c r="D1736" s="35">
        <v>2011</v>
      </c>
      <c r="E1736" s="36">
        <v>2883</v>
      </c>
      <c r="F1736" s="36">
        <v>1686</v>
      </c>
      <c r="G1736" s="36">
        <v>1195</v>
      </c>
      <c r="H1736" s="35">
        <v>2</v>
      </c>
      <c r="I1736" s="1"/>
      <c r="J1736" s="1"/>
      <c r="K1736" s="1"/>
      <c r="AA1736" s="1"/>
    </row>
    <row r="1737" spans="1:27" x14ac:dyDescent="0.25">
      <c r="A1737" t="s">
        <v>88</v>
      </c>
      <c r="B1737" t="str">
        <f t="shared" si="29"/>
        <v>50</v>
      </c>
      <c r="C1737" s="35">
        <v>2012</v>
      </c>
      <c r="D1737" s="1" t="s">
        <v>4</v>
      </c>
      <c r="E1737" s="36">
        <v>3018</v>
      </c>
      <c r="F1737" s="36">
        <v>1799</v>
      </c>
      <c r="G1737" s="36">
        <v>1219</v>
      </c>
      <c r="H1737" s="1" t="s">
        <v>2</v>
      </c>
      <c r="I1737" s="1"/>
      <c r="J1737" s="1"/>
      <c r="K1737" s="1"/>
      <c r="AA1737" s="1"/>
    </row>
    <row r="1738" spans="1:27" x14ac:dyDescent="0.25">
      <c r="A1738" t="s">
        <v>88</v>
      </c>
      <c r="B1738" t="str">
        <f t="shared" si="29"/>
        <v>50</v>
      </c>
      <c r="C1738" s="35">
        <v>2012</v>
      </c>
      <c r="D1738" s="35">
        <v>2011</v>
      </c>
      <c r="E1738" s="35">
        <v>43</v>
      </c>
      <c r="F1738" s="35">
        <v>34</v>
      </c>
      <c r="G1738" s="35">
        <v>9</v>
      </c>
      <c r="H1738" s="1" t="s">
        <v>2</v>
      </c>
      <c r="I1738" s="1"/>
      <c r="J1738" s="1"/>
      <c r="K1738" s="1"/>
      <c r="AA1738" s="1"/>
    </row>
    <row r="1739" spans="1:27" x14ac:dyDescent="0.25">
      <c r="A1739" t="s">
        <v>88</v>
      </c>
      <c r="B1739" t="str">
        <f t="shared" si="29"/>
        <v>50</v>
      </c>
      <c r="C1739" s="35">
        <v>2012</v>
      </c>
      <c r="D1739" s="35">
        <v>2012</v>
      </c>
      <c r="E1739" s="36">
        <v>2975</v>
      </c>
      <c r="F1739" s="36">
        <v>1765</v>
      </c>
      <c r="G1739" s="36">
        <v>1210</v>
      </c>
      <c r="H1739" s="1" t="s">
        <v>2</v>
      </c>
      <c r="I1739" s="1"/>
      <c r="J1739" s="1"/>
      <c r="K1739" s="1"/>
      <c r="AA1739" s="1"/>
    </row>
    <row r="1740" spans="1:27" x14ac:dyDescent="0.25">
      <c r="A1740" t="s">
        <v>88</v>
      </c>
      <c r="B1740" t="str">
        <f t="shared" si="29"/>
        <v>50</v>
      </c>
      <c r="C1740" s="35">
        <v>2013</v>
      </c>
      <c r="D1740" s="1" t="s">
        <v>4</v>
      </c>
      <c r="E1740" s="36">
        <v>3021</v>
      </c>
      <c r="F1740" s="36">
        <v>1839</v>
      </c>
      <c r="G1740" s="36">
        <v>1180</v>
      </c>
      <c r="H1740" s="35">
        <v>2</v>
      </c>
      <c r="I1740" s="1"/>
      <c r="J1740" s="1"/>
      <c r="K1740" s="1"/>
      <c r="AA1740" s="1"/>
    </row>
    <row r="1741" spans="1:27" x14ac:dyDescent="0.25">
      <c r="A1741" t="s">
        <v>88</v>
      </c>
      <c r="B1741" t="str">
        <f t="shared" si="29"/>
        <v>50</v>
      </c>
      <c r="C1741" s="35">
        <v>2013</v>
      </c>
      <c r="D1741" s="35">
        <v>2012</v>
      </c>
      <c r="E1741" s="35">
        <v>47</v>
      </c>
      <c r="F1741" s="35">
        <v>40</v>
      </c>
      <c r="G1741" s="35">
        <v>7</v>
      </c>
      <c r="H1741" s="1" t="s">
        <v>2</v>
      </c>
      <c r="I1741" s="1"/>
      <c r="J1741" s="1"/>
      <c r="K1741" s="1"/>
      <c r="AA1741" s="1"/>
    </row>
    <row r="1742" spans="1:27" x14ac:dyDescent="0.25">
      <c r="A1742" t="s">
        <v>88</v>
      </c>
      <c r="B1742" t="str">
        <f t="shared" si="29"/>
        <v>50</v>
      </c>
      <c r="C1742" s="35">
        <v>2013</v>
      </c>
      <c r="D1742" s="35">
        <v>2013</v>
      </c>
      <c r="E1742" s="36">
        <v>2974</v>
      </c>
      <c r="F1742" s="36">
        <v>1799</v>
      </c>
      <c r="G1742" s="36">
        <v>1173</v>
      </c>
      <c r="H1742" s="35">
        <v>2</v>
      </c>
      <c r="I1742" s="1"/>
      <c r="J1742" s="1"/>
      <c r="K1742" s="1"/>
      <c r="AA1742" s="1"/>
    </row>
    <row r="1743" spans="1:27" x14ac:dyDescent="0.25">
      <c r="A1743" t="s">
        <v>88</v>
      </c>
      <c r="B1743" t="str">
        <f t="shared" si="29"/>
        <v>50</v>
      </c>
      <c r="C1743" s="35">
        <v>2014</v>
      </c>
      <c r="D1743" s="1" t="s">
        <v>4</v>
      </c>
      <c r="E1743" s="36">
        <v>3227</v>
      </c>
      <c r="F1743" s="36">
        <v>1947</v>
      </c>
      <c r="G1743" s="36">
        <v>1278</v>
      </c>
      <c r="H1743" s="35">
        <v>2</v>
      </c>
      <c r="I1743" s="1"/>
      <c r="J1743" s="1"/>
      <c r="K1743" s="1"/>
      <c r="AA1743" s="1"/>
    </row>
    <row r="1744" spans="1:27" x14ac:dyDescent="0.25">
      <c r="A1744" t="s">
        <v>88</v>
      </c>
      <c r="B1744" t="str">
        <f t="shared" si="29"/>
        <v>50</v>
      </c>
      <c r="C1744" s="35">
        <v>2014</v>
      </c>
      <c r="D1744" s="35">
        <v>2004</v>
      </c>
      <c r="E1744" s="35">
        <v>1</v>
      </c>
      <c r="F1744" s="35">
        <v>1</v>
      </c>
      <c r="G1744" s="1" t="s">
        <v>2</v>
      </c>
      <c r="H1744" s="1" t="s">
        <v>2</v>
      </c>
      <c r="I1744" s="1"/>
      <c r="J1744" s="1"/>
      <c r="K1744" s="1"/>
      <c r="AA1744" s="1"/>
    </row>
    <row r="1745" spans="1:27" x14ac:dyDescent="0.25">
      <c r="A1745" t="s">
        <v>88</v>
      </c>
      <c r="B1745" t="str">
        <f t="shared" si="29"/>
        <v>50</v>
      </c>
      <c r="C1745" s="35">
        <v>2014</v>
      </c>
      <c r="D1745" s="35">
        <v>2006</v>
      </c>
      <c r="E1745" s="35">
        <v>1</v>
      </c>
      <c r="F1745" s="1" t="s">
        <v>2</v>
      </c>
      <c r="G1745" s="35">
        <v>1</v>
      </c>
      <c r="H1745" s="1" t="s">
        <v>2</v>
      </c>
      <c r="I1745" s="1"/>
      <c r="J1745" s="1"/>
      <c r="K1745" s="1"/>
      <c r="AA1745" s="1"/>
    </row>
    <row r="1746" spans="1:27" x14ac:dyDescent="0.25">
      <c r="A1746" t="s">
        <v>88</v>
      </c>
      <c r="B1746" t="str">
        <f t="shared" si="29"/>
        <v>50</v>
      </c>
      <c r="C1746" s="35">
        <v>2014</v>
      </c>
      <c r="D1746" s="35">
        <v>2010</v>
      </c>
      <c r="E1746" s="35">
        <v>1</v>
      </c>
      <c r="F1746" s="35">
        <v>1</v>
      </c>
      <c r="G1746" s="1" t="s">
        <v>2</v>
      </c>
      <c r="H1746" s="1" t="s">
        <v>2</v>
      </c>
      <c r="I1746" s="1"/>
      <c r="J1746" s="1"/>
      <c r="K1746" s="1"/>
      <c r="AA1746" s="1"/>
    </row>
    <row r="1747" spans="1:27" x14ac:dyDescent="0.25">
      <c r="A1747" t="s">
        <v>88</v>
      </c>
      <c r="B1747" t="str">
        <f t="shared" si="29"/>
        <v>50</v>
      </c>
      <c r="C1747" s="35">
        <v>2014</v>
      </c>
      <c r="D1747" s="35">
        <v>2011</v>
      </c>
      <c r="E1747" s="35">
        <v>1</v>
      </c>
      <c r="F1747" s="35">
        <v>1</v>
      </c>
      <c r="G1747" s="1" t="s">
        <v>2</v>
      </c>
      <c r="H1747" s="1" t="s">
        <v>2</v>
      </c>
      <c r="I1747" s="1"/>
      <c r="J1747" s="1"/>
      <c r="K1747" s="1"/>
      <c r="AA1747" s="1"/>
    </row>
    <row r="1748" spans="1:27" x14ac:dyDescent="0.25">
      <c r="A1748" t="s">
        <v>88</v>
      </c>
      <c r="B1748" t="str">
        <f t="shared" si="29"/>
        <v>50</v>
      </c>
      <c r="C1748" s="35">
        <v>2014</v>
      </c>
      <c r="D1748" s="35">
        <v>2013</v>
      </c>
      <c r="E1748" s="35">
        <v>61</v>
      </c>
      <c r="F1748" s="35">
        <v>55</v>
      </c>
      <c r="G1748" s="35">
        <v>6</v>
      </c>
      <c r="H1748" s="1" t="s">
        <v>2</v>
      </c>
      <c r="I1748" s="1"/>
      <c r="J1748" s="1"/>
      <c r="K1748" s="1"/>
      <c r="AA1748" s="1"/>
    </row>
    <row r="1749" spans="1:27" x14ac:dyDescent="0.25">
      <c r="A1749" t="s">
        <v>88</v>
      </c>
      <c r="B1749" t="str">
        <f t="shared" si="29"/>
        <v>50</v>
      </c>
      <c r="C1749" s="35">
        <v>2014</v>
      </c>
      <c r="D1749" s="35">
        <v>2014</v>
      </c>
      <c r="E1749" s="36">
        <v>3162</v>
      </c>
      <c r="F1749" s="36">
        <v>1889</v>
      </c>
      <c r="G1749" s="36">
        <v>1271</v>
      </c>
      <c r="H1749" s="35">
        <v>2</v>
      </c>
      <c r="I1749" s="1"/>
      <c r="J1749" s="1"/>
      <c r="K1749" s="1"/>
      <c r="AA1749" s="1"/>
    </row>
    <row r="1750" spans="1:27" x14ac:dyDescent="0.25">
      <c r="A1750" t="s">
        <v>88</v>
      </c>
      <c r="B1750" t="str">
        <f t="shared" si="29"/>
        <v>50</v>
      </c>
      <c r="C1750" s="35">
        <v>2015</v>
      </c>
      <c r="D1750" s="1" t="s">
        <v>4</v>
      </c>
      <c r="E1750" s="36">
        <v>3058</v>
      </c>
      <c r="F1750" s="36">
        <v>1845</v>
      </c>
      <c r="G1750" s="36">
        <v>1213</v>
      </c>
      <c r="H1750" s="1" t="s">
        <v>2</v>
      </c>
      <c r="I1750" s="1"/>
      <c r="J1750" s="1"/>
      <c r="K1750" s="1"/>
      <c r="AA1750" s="1"/>
    </row>
    <row r="1751" spans="1:27" x14ac:dyDescent="0.25">
      <c r="A1751" t="s">
        <v>88</v>
      </c>
      <c r="B1751" t="str">
        <f t="shared" si="29"/>
        <v>50</v>
      </c>
      <c r="C1751" s="35">
        <v>2015</v>
      </c>
      <c r="D1751" s="35">
        <v>2014</v>
      </c>
      <c r="E1751" s="35">
        <v>51</v>
      </c>
      <c r="F1751" s="35">
        <v>40</v>
      </c>
      <c r="G1751" s="35">
        <v>11</v>
      </c>
      <c r="H1751" s="1" t="s">
        <v>2</v>
      </c>
      <c r="I1751" s="1"/>
      <c r="J1751" s="1"/>
      <c r="K1751" s="1"/>
      <c r="AA1751" s="1"/>
    </row>
    <row r="1752" spans="1:27" x14ac:dyDescent="0.25">
      <c r="A1752" t="s">
        <v>88</v>
      </c>
      <c r="B1752" t="str">
        <f t="shared" si="29"/>
        <v>50</v>
      </c>
      <c r="C1752" s="35">
        <v>2015</v>
      </c>
      <c r="D1752" s="35">
        <v>2015</v>
      </c>
      <c r="E1752" s="36">
        <v>3007</v>
      </c>
      <c r="F1752" s="36">
        <v>1805</v>
      </c>
      <c r="G1752" s="36">
        <v>1202</v>
      </c>
      <c r="H1752" s="1" t="s">
        <v>2</v>
      </c>
      <c r="I1752" s="1"/>
      <c r="J1752" s="1"/>
      <c r="K1752" s="1"/>
      <c r="AA1752" s="1"/>
    </row>
    <row r="1753" spans="1:27" x14ac:dyDescent="0.25">
      <c r="A1753" t="s">
        <v>88</v>
      </c>
      <c r="B1753" t="str">
        <f t="shared" si="29"/>
        <v>50</v>
      </c>
      <c r="C1753" s="35">
        <v>2016</v>
      </c>
      <c r="D1753" s="1" t="s">
        <v>4</v>
      </c>
      <c r="E1753" s="36">
        <v>3336</v>
      </c>
      <c r="F1753" s="36">
        <v>2081</v>
      </c>
      <c r="G1753" s="36">
        <v>1254</v>
      </c>
      <c r="H1753" s="35">
        <v>1</v>
      </c>
      <c r="I1753" s="1"/>
      <c r="J1753" s="1"/>
      <c r="K1753" s="1"/>
      <c r="AA1753" s="1"/>
    </row>
    <row r="1754" spans="1:27" x14ac:dyDescent="0.25">
      <c r="A1754" t="s">
        <v>88</v>
      </c>
      <c r="B1754" t="str">
        <f t="shared" si="29"/>
        <v>50</v>
      </c>
      <c r="C1754" s="35">
        <v>2016</v>
      </c>
      <c r="D1754" s="35">
        <v>2013</v>
      </c>
      <c r="E1754" s="35">
        <v>1</v>
      </c>
      <c r="F1754" s="1" t="s">
        <v>2</v>
      </c>
      <c r="G1754" s="35">
        <v>1</v>
      </c>
      <c r="H1754" s="1" t="s">
        <v>2</v>
      </c>
      <c r="I1754" s="1"/>
      <c r="J1754" s="1"/>
      <c r="K1754" s="1"/>
      <c r="AA1754" s="1"/>
    </row>
    <row r="1755" spans="1:27" x14ac:dyDescent="0.25">
      <c r="A1755" t="s">
        <v>88</v>
      </c>
      <c r="B1755" t="str">
        <f t="shared" si="29"/>
        <v>50</v>
      </c>
      <c r="C1755" s="35">
        <v>2016</v>
      </c>
      <c r="D1755" s="35">
        <v>2015</v>
      </c>
      <c r="E1755" s="35">
        <v>20</v>
      </c>
      <c r="F1755" s="35">
        <v>17</v>
      </c>
      <c r="G1755" s="35">
        <v>3</v>
      </c>
      <c r="H1755" s="1" t="s">
        <v>2</v>
      </c>
      <c r="I1755" s="1"/>
      <c r="J1755" s="1"/>
      <c r="K1755" s="1"/>
      <c r="AA1755" s="1"/>
    </row>
    <row r="1756" spans="1:27" x14ac:dyDescent="0.25">
      <c r="A1756" t="s">
        <v>88</v>
      </c>
      <c r="B1756" t="str">
        <f t="shared" si="29"/>
        <v>50</v>
      </c>
      <c r="C1756" s="35">
        <v>2016</v>
      </c>
      <c r="D1756" s="35">
        <v>2016</v>
      </c>
      <c r="E1756" s="36">
        <v>3315</v>
      </c>
      <c r="F1756" s="36">
        <v>2064</v>
      </c>
      <c r="G1756" s="36">
        <v>1250</v>
      </c>
      <c r="H1756" s="35">
        <v>1</v>
      </c>
      <c r="I1756" s="1"/>
      <c r="J1756" s="1"/>
      <c r="K1756" s="1"/>
      <c r="AA1756" s="1"/>
    </row>
    <row r="1757" spans="1:27" x14ac:dyDescent="0.25">
      <c r="A1757" t="s">
        <v>88</v>
      </c>
      <c r="B1757" t="str">
        <f t="shared" si="29"/>
        <v>50</v>
      </c>
      <c r="C1757" s="35">
        <v>2017</v>
      </c>
      <c r="D1757" s="1" t="s">
        <v>4</v>
      </c>
      <c r="E1757" s="36">
        <v>3126</v>
      </c>
      <c r="F1757" s="36">
        <v>1901</v>
      </c>
      <c r="G1757" s="36">
        <v>1225</v>
      </c>
      <c r="H1757" s="1" t="s">
        <v>2</v>
      </c>
      <c r="I1757" s="1"/>
      <c r="J1757" s="1"/>
      <c r="K1757" s="1"/>
      <c r="AA1757" s="1"/>
    </row>
    <row r="1758" spans="1:27" x14ac:dyDescent="0.25">
      <c r="A1758" t="s">
        <v>88</v>
      </c>
      <c r="B1758" t="str">
        <f t="shared" si="29"/>
        <v>50</v>
      </c>
      <c r="C1758" s="35">
        <v>2017</v>
      </c>
      <c r="D1758" s="35">
        <v>2016</v>
      </c>
      <c r="E1758" s="35">
        <v>8</v>
      </c>
      <c r="F1758" s="35">
        <v>4</v>
      </c>
      <c r="G1758" s="35">
        <v>4</v>
      </c>
      <c r="H1758" s="1" t="s">
        <v>2</v>
      </c>
      <c r="I1758" s="1"/>
      <c r="J1758" s="1"/>
      <c r="K1758" s="1"/>
      <c r="AA1758" s="1"/>
    </row>
    <row r="1759" spans="1:27" x14ac:dyDescent="0.25">
      <c r="A1759" t="s">
        <v>88</v>
      </c>
      <c r="B1759" t="str">
        <f t="shared" si="29"/>
        <v>50</v>
      </c>
      <c r="C1759" s="35">
        <v>2017</v>
      </c>
      <c r="D1759" s="35">
        <v>2017</v>
      </c>
      <c r="E1759" s="36">
        <v>3118</v>
      </c>
      <c r="F1759" s="36">
        <v>1897</v>
      </c>
      <c r="G1759" s="36">
        <v>1221</v>
      </c>
      <c r="H1759" s="1" t="s">
        <v>2</v>
      </c>
      <c r="I1759" s="1"/>
      <c r="J1759" s="1"/>
      <c r="K1759" s="1"/>
      <c r="AA1759" s="1"/>
    </row>
    <row r="1760" spans="1:27" x14ac:dyDescent="0.25">
      <c r="A1760" t="s">
        <v>88</v>
      </c>
      <c r="B1760" t="str">
        <f t="shared" si="29"/>
        <v>50</v>
      </c>
      <c r="C1760" s="35">
        <v>2018</v>
      </c>
      <c r="D1760" s="1" t="s">
        <v>4</v>
      </c>
      <c r="E1760" s="36">
        <v>3195</v>
      </c>
      <c r="F1760" s="36">
        <v>2021</v>
      </c>
      <c r="G1760" s="36">
        <v>1174</v>
      </c>
      <c r="H1760" s="1" t="s">
        <v>2</v>
      </c>
      <c r="I1760" s="1"/>
      <c r="J1760" s="1"/>
      <c r="K1760" s="1"/>
      <c r="AA1760" s="1"/>
    </row>
    <row r="1761" spans="1:27" x14ac:dyDescent="0.25">
      <c r="A1761" t="s">
        <v>88</v>
      </c>
      <c r="B1761" t="str">
        <f t="shared" si="29"/>
        <v>50</v>
      </c>
      <c r="C1761" s="35">
        <v>2018</v>
      </c>
      <c r="D1761" s="35">
        <v>2017</v>
      </c>
      <c r="E1761" s="35">
        <v>17</v>
      </c>
      <c r="F1761" s="35">
        <v>11</v>
      </c>
      <c r="G1761" s="35">
        <v>6</v>
      </c>
      <c r="H1761" s="1" t="s">
        <v>2</v>
      </c>
      <c r="I1761" s="1"/>
      <c r="J1761" s="1"/>
      <c r="K1761" s="1"/>
      <c r="AA1761" s="1"/>
    </row>
    <row r="1762" spans="1:27" x14ac:dyDescent="0.25">
      <c r="A1762" t="s">
        <v>88</v>
      </c>
      <c r="B1762" t="str">
        <f t="shared" si="29"/>
        <v>50</v>
      </c>
      <c r="C1762" s="35">
        <v>2018</v>
      </c>
      <c r="D1762" s="35">
        <v>2018</v>
      </c>
      <c r="E1762" s="36">
        <v>3178</v>
      </c>
      <c r="F1762" s="36">
        <v>2010</v>
      </c>
      <c r="G1762" s="36">
        <v>1168</v>
      </c>
      <c r="H1762" s="1" t="s">
        <v>2</v>
      </c>
      <c r="I1762" s="1"/>
      <c r="J1762" s="1"/>
      <c r="K1762" s="1"/>
      <c r="AA1762" s="1"/>
    </row>
    <row r="1763" spans="1:27" x14ac:dyDescent="0.25">
      <c r="A1763" t="s">
        <v>88</v>
      </c>
      <c r="B1763" t="str">
        <f t="shared" si="29"/>
        <v>50</v>
      </c>
      <c r="C1763" s="35">
        <v>2019</v>
      </c>
      <c r="D1763" s="1" t="s">
        <v>4</v>
      </c>
      <c r="E1763" s="36">
        <v>3340</v>
      </c>
      <c r="F1763" s="36">
        <v>2038</v>
      </c>
      <c r="G1763" s="36">
        <v>1302</v>
      </c>
      <c r="H1763" s="1" t="s">
        <v>2</v>
      </c>
      <c r="I1763" s="1"/>
      <c r="J1763" s="1"/>
      <c r="K1763" s="1"/>
      <c r="AA1763" s="1"/>
    </row>
    <row r="1764" spans="1:27" x14ac:dyDescent="0.25">
      <c r="A1764" t="s">
        <v>88</v>
      </c>
      <c r="B1764" t="str">
        <f t="shared" si="29"/>
        <v>50</v>
      </c>
      <c r="C1764" s="35">
        <v>2019</v>
      </c>
      <c r="D1764" s="35">
        <v>2018</v>
      </c>
      <c r="E1764" s="35">
        <v>19</v>
      </c>
      <c r="F1764" s="35">
        <v>11</v>
      </c>
      <c r="G1764" s="35">
        <v>8</v>
      </c>
      <c r="H1764" s="1" t="s">
        <v>2</v>
      </c>
      <c r="I1764" s="1"/>
      <c r="J1764" s="1"/>
      <c r="K1764" s="1"/>
      <c r="AA1764" s="1"/>
    </row>
    <row r="1765" spans="1:27" x14ac:dyDescent="0.25">
      <c r="A1765" t="s">
        <v>88</v>
      </c>
      <c r="B1765" t="str">
        <f t="shared" si="29"/>
        <v>50</v>
      </c>
      <c r="C1765" s="35">
        <v>2019</v>
      </c>
      <c r="D1765" s="35">
        <v>2019</v>
      </c>
      <c r="E1765" s="36">
        <v>3321</v>
      </c>
      <c r="F1765" s="36">
        <v>2027</v>
      </c>
      <c r="G1765" s="36">
        <v>1294</v>
      </c>
      <c r="H1765" s="1" t="s">
        <v>2</v>
      </c>
      <c r="I1765" s="1"/>
      <c r="J1765" s="1"/>
      <c r="K1765" s="1"/>
      <c r="AA1765" s="1"/>
    </row>
    <row r="1766" spans="1:27" x14ac:dyDescent="0.25">
      <c r="A1766" t="s">
        <v>88</v>
      </c>
      <c r="B1766" t="str">
        <f t="shared" si="29"/>
        <v>50</v>
      </c>
      <c r="C1766" s="35">
        <v>2020</v>
      </c>
      <c r="D1766" s="1" t="s">
        <v>4</v>
      </c>
      <c r="E1766" s="36">
        <v>7004</v>
      </c>
      <c r="F1766" s="36">
        <v>4763</v>
      </c>
      <c r="G1766" s="36">
        <v>2241</v>
      </c>
      <c r="H1766" s="1" t="s">
        <v>2</v>
      </c>
      <c r="I1766" s="1"/>
      <c r="J1766" s="1"/>
      <c r="K1766" s="1"/>
      <c r="AA1766" s="1"/>
    </row>
    <row r="1767" spans="1:27" x14ac:dyDescent="0.25">
      <c r="A1767" t="s">
        <v>88</v>
      </c>
      <c r="B1767" t="str">
        <f t="shared" si="29"/>
        <v>50</v>
      </c>
      <c r="C1767" s="35">
        <v>2020</v>
      </c>
      <c r="D1767" s="35">
        <v>2019</v>
      </c>
      <c r="E1767" s="35">
        <v>19</v>
      </c>
      <c r="F1767" s="35">
        <v>15</v>
      </c>
      <c r="G1767" s="35">
        <v>4</v>
      </c>
      <c r="H1767" s="1" t="s">
        <v>2</v>
      </c>
      <c r="I1767" s="1"/>
      <c r="J1767" s="1"/>
      <c r="K1767" s="1"/>
      <c r="AA1767" s="1"/>
    </row>
    <row r="1768" spans="1:27" x14ac:dyDescent="0.25">
      <c r="A1768" t="s">
        <v>88</v>
      </c>
      <c r="B1768" t="str">
        <f t="shared" si="29"/>
        <v>50</v>
      </c>
      <c r="C1768" s="35">
        <v>2020</v>
      </c>
      <c r="D1768" s="35">
        <v>2020</v>
      </c>
      <c r="E1768" s="36">
        <v>6985</v>
      </c>
      <c r="F1768" s="36">
        <v>4748</v>
      </c>
      <c r="G1768" s="36">
        <v>2237</v>
      </c>
      <c r="H1768" s="1" t="s">
        <v>2</v>
      </c>
      <c r="I1768" s="1"/>
      <c r="J1768" s="1"/>
      <c r="K1768" s="1"/>
      <c r="AA1768" s="1"/>
    </row>
    <row r="1769" spans="1:27" x14ac:dyDescent="0.25">
      <c r="A1769" t="s">
        <v>88</v>
      </c>
      <c r="B1769" t="str">
        <f t="shared" si="29"/>
        <v>50</v>
      </c>
      <c r="C1769" s="35">
        <v>2021</v>
      </c>
      <c r="D1769" s="1" t="s">
        <v>4</v>
      </c>
      <c r="E1769" s="36">
        <v>6125</v>
      </c>
      <c r="F1769" s="36">
        <v>4011</v>
      </c>
      <c r="G1769" s="36">
        <v>2114</v>
      </c>
      <c r="H1769" s="1" t="s">
        <v>2</v>
      </c>
      <c r="I1769" s="1"/>
      <c r="J1769" s="1"/>
      <c r="K1769" s="1"/>
      <c r="AA1769" s="1"/>
    </row>
    <row r="1770" spans="1:27" x14ac:dyDescent="0.25">
      <c r="A1770" t="s">
        <v>88</v>
      </c>
      <c r="B1770" t="str">
        <f t="shared" si="29"/>
        <v>50</v>
      </c>
      <c r="C1770" s="35">
        <v>2021</v>
      </c>
      <c r="D1770" s="35">
        <v>2020</v>
      </c>
      <c r="E1770" s="35">
        <v>29</v>
      </c>
      <c r="F1770" s="35">
        <v>21</v>
      </c>
      <c r="G1770" s="35">
        <v>8</v>
      </c>
      <c r="H1770" s="1" t="s">
        <v>2</v>
      </c>
      <c r="I1770" s="1"/>
      <c r="J1770" s="1"/>
      <c r="K1770" s="1"/>
      <c r="AA1770" s="1"/>
    </row>
    <row r="1771" spans="1:27" x14ac:dyDescent="0.25">
      <c r="A1771" t="s">
        <v>88</v>
      </c>
      <c r="B1771" t="str">
        <f t="shared" si="29"/>
        <v>50</v>
      </c>
      <c r="C1771" s="35">
        <v>2021</v>
      </c>
      <c r="D1771" s="35">
        <v>2021</v>
      </c>
      <c r="E1771" s="36">
        <v>6096</v>
      </c>
      <c r="F1771" s="36">
        <v>3990</v>
      </c>
      <c r="G1771" s="36">
        <v>2106</v>
      </c>
      <c r="H1771" s="1" t="s">
        <v>2</v>
      </c>
      <c r="I1771" s="1"/>
      <c r="J1771" s="1"/>
      <c r="K1771" s="1"/>
      <c r="AA1771" s="1"/>
    </row>
    <row r="1772" spans="1:27" x14ac:dyDescent="0.25">
      <c r="A1772" t="s">
        <v>88</v>
      </c>
      <c r="B1772" t="str">
        <f t="shared" si="29"/>
        <v>50</v>
      </c>
      <c r="C1772" s="35">
        <v>2022</v>
      </c>
      <c r="D1772" s="1" t="s">
        <v>4</v>
      </c>
      <c r="E1772" s="36">
        <v>3381</v>
      </c>
      <c r="F1772" s="36">
        <v>2119</v>
      </c>
      <c r="G1772" s="36">
        <v>1262</v>
      </c>
      <c r="H1772" s="1" t="s">
        <v>2</v>
      </c>
      <c r="I1772" s="1"/>
      <c r="J1772" s="1"/>
      <c r="K1772" s="1"/>
      <c r="AA1772" s="1"/>
    </row>
    <row r="1773" spans="1:27" x14ac:dyDescent="0.25">
      <c r="A1773" t="s">
        <v>88</v>
      </c>
      <c r="B1773" t="str">
        <f t="shared" si="29"/>
        <v>50</v>
      </c>
      <c r="C1773" s="35">
        <v>2022</v>
      </c>
      <c r="D1773" s="35">
        <v>2008</v>
      </c>
      <c r="E1773" s="35">
        <v>1</v>
      </c>
      <c r="F1773" s="35">
        <v>1</v>
      </c>
      <c r="G1773" s="1" t="s">
        <v>2</v>
      </c>
      <c r="H1773" s="1" t="s">
        <v>2</v>
      </c>
      <c r="I1773" s="1"/>
      <c r="J1773" s="1"/>
      <c r="K1773" s="1"/>
      <c r="AA1773" s="1"/>
    </row>
    <row r="1774" spans="1:27" x14ac:dyDescent="0.25">
      <c r="A1774" t="s">
        <v>88</v>
      </c>
      <c r="B1774" t="str">
        <f t="shared" si="29"/>
        <v>50</v>
      </c>
      <c r="C1774" s="35">
        <v>2022</v>
      </c>
      <c r="D1774" s="35">
        <v>2009</v>
      </c>
      <c r="E1774" s="35">
        <v>3</v>
      </c>
      <c r="F1774" s="35">
        <v>3</v>
      </c>
      <c r="G1774" s="1" t="s">
        <v>2</v>
      </c>
      <c r="H1774" s="1" t="s">
        <v>2</v>
      </c>
      <c r="I1774" s="1"/>
      <c r="J1774" s="1"/>
      <c r="K1774" s="1"/>
      <c r="AA1774" s="1"/>
    </row>
    <row r="1775" spans="1:27" x14ac:dyDescent="0.25">
      <c r="A1775" t="s">
        <v>88</v>
      </c>
      <c r="B1775" t="str">
        <f t="shared" si="29"/>
        <v>50</v>
      </c>
      <c r="C1775" s="35">
        <v>2022</v>
      </c>
      <c r="D1775" s="35">
        <v>2010</v>
      </c>
      <c r="E1775" s="35">
        <v>1</v>
      </c>
      <c r="F1775" s="1" t="s">
        <v>2</v>
      </c>
      <c r="G1775" s="35">
        <v>1</v>
      </c>
      <c r="H1775" s="1" t="s">
        <v>2</v>
      </c>
      <c r="I1775" s="1"/>
      <c r="J1775" s="1"/>
      <c r="K1775" s="1"/>
      <c r="AA1775" s="1"/>
    </row>
    <row r="1776" spans="1:27" x14ac:dyDescent="0.25">
      <c r="A1776" t="s">
        <v>88</v>
      </c>
      <c r="B1776" t="str">
        <f t="shared" si="29"/>
        <v>50</v>
      </c>
      <c r="C1776" s="35">
        <v>2022</v>
      </c>
      <c r="D1776" s="35">
        <v>2021</v>
      </c>
      <c r="E1776" s="35">
        <v>16</v>
      </c>
      <c r="F1776" s="35">
        <v>9</v>
      </c>
      <c r="G1776" s="35">
        <v>7</v>
      </c>
      <c r="H1776" s="1" t="s">
        <v>2</v>
      </c>
      <c r="I1776" s="1"/>
      <c r="J1776" s="1"/>
      <c r="K1776" s="1"/>
      <c r="AA1776" s="1"/>
    </row>
    <row r="1777" spans="1:27" x14ac:dyDescent="0.25">
      <c r="A1777" t="s">
        <v>88</v>
      </c>
      <c r="B1777" t="str">
        <f t="shared" si="29"/>
        <v>50</v>
      </c>
      <c r="C1777" s="35">
        <v>2022</v>
      </c>
      <c r="D1777" s="35">
        <v>2022</v>
      </c>
      <c r="E1777" s="36">
        <v>3360</v>
      </c>
      <c r="F1777" s="36">
        <v>2106</v>
      </c>
      <c r="G1777" s="36">
        <v>1254</v>
      </c>
      <c r="H1777" s="1" t="s">
        <v>2</v>
      </c>
      <c r="I1777" s="1"/>
      <c r="J1777" s="1"/>
      <c r="K1777" s="1"/>
      <c r="AA1777" s="1"/>
    </row>
    <row r="1778" spans="1:27" x14ac:dyDescent="0.25">
      <c r="A1778" t="s">
        <v>88</v>
      </c>
      <c r="B1778" t="str">
        <f t="shared" si="29"/>
        <v>50</v>
      </c>
      <c r="C1778" s="35">
        <v>2023</v>
      </c>
      <c r="D1778" s="1" t="s">
        <v>4</v>
      </c>
      <c r="E1778" s="36">
        <v>3353</v>
      </c>
      <c r="F1778" s="36">
        <v>2118</v>
      </c>
      <c r="G1778" s="36">
        <v>1235</v>
      </c>
      <c r="H1778" s="1" t="s">
        <v>2</v>
      </c>
      <c r="I1778" s="1"/>
      <c r="J1778" s="1"/>
      <c r="K1778" s="1"/>
      <c r="AA1778" s="1"/>
    </row>
    <row r="1779" spans="1:27" x14ac:dyDescent="0.25">
      <c r="A1779" t="s">
        <v>88</v>
      </c>
      <c r="B1779" t="str">
        <f t="shared" si="29"/>
        <v>50</v>
      </c>
      <c r="C1779" s="35">
        <v>2023</v>
      </c>
      <c r="D1779" s="35">
        <v>2021</v>
      </c>
      <c r="E1779" s="35">
        <v>1</v>
      </c>
      <c r="F1779" s="35">
        <v>1</v>
      </c>
      <c r="G1779" s="1" t="s">
        <v>2</v>
      </c>
      <c r="H1779" s="1" t="s">
        <v>2</v>
      </c>
      <c r="I1779" s="1"/>
      <c r="J1779" s="1"/>
      <c r="K1779" s="1"/>
      <c r="AA1779" s="1"/>
    </row>
    <row r="1780" spans="1:27" x14ac:dyDescent="0.25">
      <c r="A1780" t="s">
        <v>88</v>
      </c>
      <c r="B1780" t="str">
        <f t="shared" si="29"/>
        <v>50</v>
      </c>
      <c r="C1780" s="35">
        <v>2023</v>
      </c>
      <c r="D1780" s="35">
        <v>2022</v>
      </c>
      <c r="E1780" s="35">
        <v>8</v>
      </c>
      <c r="F1780" s="35">
        <v>3</v>
      </c>
      <c r="G1780" s="35">
        <v>5</v>
      </c>
      <c r="H1780" s="1" t="s">
        <v>2</v>
      </c>
      <c r="I1780" s="1"/>
      <c r="J1780" s="1"/>
      <c r="K1780" s="1"/>
      <c r="AA1780" s="1"/>
    </row>
    <row r="1781" spans="1:27" x14ac:dyDescent="0.25">
      <c r="A1781" t="s">
        <v>88</v>
      </c>
      <c r="B1781" t="str">
        <f t="shared" si="29"/>
        <v>50</v>
      </c>
      <c r="C1781" s="35">
        <v>2023</v>
      </c>
      <c r="D1781" s="35">
        <v>2023</v>
      </c>
      <c r="E1781" s="36">
        <v>3344</v>
      </c>
      <c r="F1781" s="36">
        <v>2114</v>
      </c>
      <c r="G1781" s="36">
        <v>1230</v>
      </c>
      <c r="H1781" s="1" t="s">
        <v>2</v>
      </c>
      <c r="I1781" s="1"/>
      <c r="J1781" s="1"/>
      <c r="K1781" s="1"/>
      <c r="AA1781" s="1"/>
    </row>
    <row r="1782" spans="1:27" x14ac:dyDescent="0.25">
      <c r="A1782" t="s">
        <v>88</v>
      </c>
      <c r="B1782" t="str">
        <f t="shared" si="29"/>
        <v>50</v>
      </c>
      <c r="C1782" s="35">
        <v>2024</v>
      </c>
      <c r="D1782" s="1" t="s">
        <v>4</v>
      </c>
      <c r="E1782" s="36">
        <v>3350</v>
      </c>
      <c r="F1782" s="36">
        <v>2115</v>
      </c>
      <c r="G1782" s="36">
        <v>1235</v>
      </c>
      <c r="H1782" s="1" t="s">
        <v>2</v>
      </c>
      <c r="I1782" s="1"/>
      <c r="J1782" s="1"/>
      <c r="K1782" s="1"/>
      <c r="AA1782" s="1"/>
    </row>
    <row r="1783" spans="1:27" x14ac:dyDescent="0.25">
      <c r="A1783" t="s">
        <v>88</v>
      </c>
      <c r="B1783" t="str">
        <f t="shared" si="29"/>
        <v>50</v>
      </c>
      <c r="C1783" s="35">
        <v>2024</v>
      </c>
      <c r="D1783" s="35">
        <v>2023</v>
      </c>
      <c r="E1783" s="35">
        <v>10</v>
      </c>
      <c r="F1783" s="35">
        <v>9</v>
      </c>
      <c r="G1783" s="35">
        <v>1</v>
      </c>
      <c r="H1783" s="1" t="s">
        <v>2</v>
      </c>
      <c r="I1783" s="1"/>
      <c r="J1783" s="1"/>
      <c r="K1783" s="1"/>
      <c r="AA1783" s="1"/>
    </row>
    <row r="1784" spans="1:27" x14ac:dyDescent="0.25">
      <c r="A1784" t="s">
        <v>88</v>
      </c>
      <c r="B1784" t="str">
        <f t="shared" si="29"/>
        <v>50</v>
      </c>
      <c r="C1784" s="35">
        <v>2024</v>
      </c>
      <c r="D1784" s="35">
        <v>2024</v>
      </c>
      <c r="E1784" s="36">
        <v>3340</v>
      </c>
      <c r="F1784" s="36">
        <v>2106</v>
      </c>
      <c r="G1784" s="36">
        <v>1234</v>
      </c>
      <c r="H1784" s="1" t="s">
        <v>2</v>
      </c>
      <c r="I1784" s="1"/>
      <c r="J1784" s="1"/>
      <c r="K1784" s="1"/>
      <c r="AA1784" s="1"/>
    </row>
    <row r="1785" spans="1:27" x14ac:dyDescent="0.25">
      <c r="A1785" t="s">
        <v>89</v>
      </c>
      <c r="B1785" t="str">
        <f t="shared" si="29"/>
        <v>55</v>
      </c>
      <c r="C1785" s="35">
        <v>1990</v>
      </c>
      <c r="D1785" s="1" t="s">
        <v>4</v>
      </c>
      <c r="E1785" s="36">
        <v>2679</v>
      </c>
      <c r="F1785" s="36">
        <v>1515</v>
      </c>
      <c r="G1785" s="36">
        <v>1162</v>
      </c>
      <c r="H1785" s="35">
        <v>2</v>
      </c>
      <c r="I1785" s="1"/>
      <c r="J1785" s="1"/>
      <c r="K1785" s="1"/>
      <c r="AA1785" s="1"/>
    </row>
    <row r="1786" spans="1:27" x14ac:dyDescent="0.25">
      <c r="A1786" t="s">
        <v>89</v>
      </c>
      <c r="B1786" t="str">
        <f t="shared" si="29"/>
        <v>55</v>
      </c>
      <c r="C1786" s="35">
        <v>1990</v>
      </c>
      <c r="D1786" s="35">
        <v>1990</v>
      </c>
      <c r="E1786" s="36">
        <v>2667</v>
      </c>
      <c r="F1786" s="36">
        <v>1507</v>
      </c>
      <c r="G1786" s="36">
        <v>1159</v>
      </c>
      <c r="H1786" s="35">
        <v>1</v>
      </c>
      <c r="I1786" s="1"/>
      <c r="J1786" s="1"/>
      <c r="K1786" s="1"/>
      <c r="AA1786" s="1"/>
    </row>
    <row r="1787" spans="1:27" x14ac:dyDescent="0.25">
      <c r="A1787" t="s">
        <v>89</v>
      </c>
      <c r="B1787" t="str">
        <f t="shared" si="29"/>
        <v>55</v>
      </c>
      <c r="C1787" s="35">
        <v>1990</v>
      </c>
      <c r="D1787" s="1" t="s">
        <v>24</v>
      </c>
      <c r="E1787" s="35">
        <v>12</v>
      </c>
      <c r="F1787" s="35">
        <v>8</v>
      </c>
      <c r="G1787" s="35">
        <v>3</v>
      </c>
      <c r="H1787" s="35">
        <v>1</v>
      </c>
      <c r="I1787" s="1"/>
      <c r="J1787" s="1"/>
      <c r="K1787" s="1"/>
      <c r="AA1787" s="1"/>
    </row>
    <row r="1788" spans="1:27" x14ac:dyDescent="0.25">
      <c r="A1788" t="s">
        <v>89</v>
      </c>
      <c r="B1788" t="str">
        <f t="shared" si="29"/>
        <v>55</v>
      </c>
      <c r="C1788" s="35">
        <v>1991</v>
      </c>
      <c r="D1788" s="1" t="s">
        <v>4</v>
      </c>
      <c r="E1788" s="36">
        <v>2714</v>
      </c>
      <c r="F1788" s="36">
        <v>1528</v>
      </c>
      <c r="G1788" s="36">
        <v>1186</v>
      </c>
      <c r="H1788" s="1" t="s">
        <v>2</v>
      </c>
      <c r="I1788" s="1"/>
      <c r="J1788" s="1"/>
      <c r="K1788" s="1"/>
      <c r="AA1788" s="1"/>
    </row>
    <row r="1789" spans="1:27" x14ac:dyDescent="0.25">
      <c r="A1789" t="s">
        <v>89</v>
      </c>
      <c r="B1789" t="str">
        <f t="shared" si="29"/>
        <v>55</v>
      </c>
      <c r="C1789" s="35">
        <v>1991</v>
      </c>
      <c r="D1789" s="35">
        <v>1991</v>
      </c>
      <c r="E1789" s="36">
        <v>2709</v>
      </c>
      <c r="F1789" s="36">
        <v>1523</v>
      </c>
      <c r="G1789" s="36">
        <v>1186</v>
      </c>
      <c r="H1789" s="1" t="s">
        <v>2</v>
      </c>
      <c r="I1789" s="1"/>
      <c r="J1789" s="1"/>
      <c r="K1789" s="1"/>
      <c r="AA1789" s="1"/>
    </row>
    <row r="1790" spans="1:27" x14ac:dyDescent="0.25">
      <c r="A1790" t="s">
        <v>89</v>
      </c>
      <c r="B1790" t="str">
        <f t="shared" si="29"/>
        <v>55</v>
      </c>
      <c r="C1790" s="35">
        <v>1991</v>
      </c>
      <c r="D1790" s="1" t="s">
        <v>24</v>
      </c>
      <c r="E1790" s="35">
        <v>5</v>
      </c>
      <c r="F1790" s="35">
        <v>5</v>
      </c>
      <c r="G1790" s="1" t="s">
        <v>2</v>
      </c>
      <c r="H1790" s="1" t="s">
        <v>2</v>
      </c>
      <c r="I1790" s="1"/>
      <c r="J1790" s="1"/>
      <c r="K1790" s="1"/>
      <c r="AA1790" s="1"/>
    </row>
    <row r="1791" spans="1:27" x14ac:dyDescent="0.25">
      <c r="A1791" t="s">
        <v>89</v>
      </c>
      <c r="B1791" t="str">
        <f t="shared" si="29"/>
        <v>55</v>
      </c>
      <c r="C1791" s="35">
        <v>1992</v>
      </c>
      <c r="D1791" s="1" t="s">
        <v>4</v>
      </c>
      <c r="E1791" s="36">
        <v>2692</v>
      </c>
      <c r="F1791" s="36">
        <v>1545</v>
      </c>
      <c r="G1791" s="36">
        <v>1146</v>
      </c>
      <c r="H1791" s="35">
        <v>1</v>
      </c>
      <c r="I1791" s="1"/>
      <c r="J1791" s="1"/>
      <c r="K1791" s="1"/>
      <c r="AA1791" s="1"/>
    </row>
    <row r="1792" spans="1:27" x14ac:dyDescent="0.25">
      <c r="A1792" t="s">
        <v>89</v>
      </c>
      <c r="B1792" t="str">
        <f t="shared" si="29"/>
        <v>55</v>
      </c>
      <c r="C1792" s="35">
        <v>1992</v>
      </c>
      <c r="D1792" s="35">
        <v>1992</v>
      </c>
      <c r="E1792" s="36">
        <v>2690</v>
      </c>
      <c r="F1792" s="36">
        <v>1543</v>
      </c>
      <c r="G1792" s="36">
        <v>1146</v>
      </c>
      <c r="H1792" s="35">
        <v>1</v>
      </c>
      <c r="I1792" s="1"/>
      <c r="J1792" s="1"/>
      <c r="K1792" s="1"/>
      <c r="AA1792" s="1"/>
    </row>
    <row r="1793" spans="1:27" x14ac:dyDescent="0.25">
      <c r="A1793" t="s">
        <v>89</v>
      </c>
      <c r="B1793" t="str">
        <f t="shared" si="29"/>
        <v>55</v>
      </c>
      <c r="C1793" s="35">
        <v>1992</v>
      </c>
      <c r="D1793" s="1" t="s">
        <v>24</v>
      </c>
      <c r="E1793" s="35">
        <v>2</v>
      </c>
      <c r="F1793" s="35">
        <v>2</v>
      </c>
      <c r="G1793" s="1" t="s">
        <v>2</v>
      </c>
      <c r="H1793" s="1" t="s">
        <v>2</v>
      </c>
      <c r="I1793" s="1"/>
      <c r="J1793" s="1"/>
      <c r="K1793" s="1"/>
      <c r="AA1793" s="1"/>
    </row>
    <row r="1794" spans="1:27" x14ac:dyDescent="0.25">
      <c r="A1794" t="s">
        <v>89</v>
      </c>
      <c r="B1794" t="str">
        <f t="shared" si="29"/>
        <v>55</v>
      </c>
      <c r="C1794" s="35">
        <v>1993</v>
      </c>
      <c r="D1794" s="1" t="s">
        <v>4</v>
      </c>
      <c r="E1794" s="36">
        <v>2724</v>
      </c>
      <c r="F1794" s="36">
        <v>1525</v>
      </c>
      <c r="G1794" s="36">
        <v>1199</v>
      </c>
      <c r="H1794" s="1" t="s">
        <v>2</v>
      </c>
      <c r="I1794" s="1"/>
      <c r="J1794" s="1"/>
      <c r="K1794" s="1"/>
      <c r="AA1794" s="1"/>
    </row>
    <row r="1795" spans="1:27" x14ac:dyDescent="0.25">
      <c r="A1795" t="s">
        <v>89</v>
      </c>
      <c r="B1795" t="str">
        <f t="shared" si="29"/>
        <v>55</v>
      </c>
      <c r="C1795" s="35">
        <v>1993</v>
      </c>
      <c r="D1795" s="35">
        <v>1903</v>
      </c>
      <c r="E1795" s="35">
        <v>2</v>
      </c>
      <c r="F1795" s="35">
        <v>2</v>
      </c>
      <c r="G1795" s="1" t="s">
        <v>2</v>
      </c>
      <c r="H1795" s="1" t="s">
        <v>2</v>
      </c>
      <c r="I1795" s="1"/>
      <c r="J1795" s="1"/>
      <c r="K1795" s="1"/>
      <c r="AA1795" s="1"/>
    </row>
    <row r="1796" spans="1:27" x14ac:dyDescent="0.25">
      <c r="A1796" t="s">
        <v>89</v>
      </c>
      <c r="B1796" t="str">
        <f t="shared" si="29"/>
        <v>55</v>
      </c>
      <c r="C1796" s="35">
        <v>1993</v>
      </c>
      <c r="D1796" s="35">
        <v>1913</v>
      </c>
      <c r="E1796" s="35">
        <v>1</v>
      </c>
      <c r="F1796" s="35">
        <v>1</v>
      </c>
      <c r="G1796" s="1" t="s">
        <v>2</v>
      </c>
      <c r="H1796" s="1" t="s">
        <v>2</v>
      </c>
      <c r="I1796" s="1"/>
      <c r="J1796" s="1"/>
      <c r="K1796" s="1"/>
      <c r="AA1796" s="1"/>
    </row>
    <row r="1797" spans="1:27" x14ac:dyDescent="0.25">
      <c r="A1797" t="s">
        <v>89</v>
      </c>
      <c r="B1797" t="str">
        <f t="shared" si="29"/>
        <v>55</v>
      </c>
      <c r="C1797" s="35">
        <v>1993</v>
      </c>
      <c r="D1797" s="35">
        <v>1943</v>
      </c>
      <c r="E1797" s="35">
        <v>1</v>
      </c>
      <c r="F1797" s="1" t="s">
        <v>2</v>
      </c>
      <c r="G1797" s="35">
        <v>1</v>
      </c>
      <c r="H1797" s="1" t="s">
        <v>2</v>
      </c>
      <c r="I1797" s="1"/>
      <c r="J1797" s="1"/>
      <c r="K1797" s="1"/>
      <c r="AA1797" s="1"/>
    </row>
    <row r="1798" spans="1:27" x14ac:dyDescent="0.25">
      <c r="A1798" t="s">
        <v>89</v>
      </c>
      <c r="B1798" t="str">
        <f t="shared" si="29"/>
        <v>55</v>
      </c>
      <c r="C1798" s="35">
        <v>1993</v>
      </c>
      <c r="D1798" s="35">
        <v>1992</v>
      </c>
      <c r="E1798" s="35">
        <v>14</v>
      </c>
      <c r="F1798" s="35">
        <v>8</v>
      </c>
      <c r="G1798" s="35">
        <v>6</v>
      </c>
      <c r="H1798" s="1" t="s">
        <v>2</v>
      </c>
      <c r="I1798" s="1"/>
      <c r="J1798" s="1"/>
      <c r="K1798" s="1"/>
      <c r="AA1798" s="1"/>
    </row>
    <row r="1799" spans="1:27" x14ac:dyDescent="0.25">
      <c r="A1799" t="s">
        <v>89</v>
      </c>
      <c r="B1799" t="str">
        <f t="shared" ref="B1799:B1862" si="30">IF(A1799="Menores de 1 año",0,LEFT(A1799,2))</f>
        <v>55</v>
      </c>
      <c r="C1799" s="35">
        <v>1993</v>
      </c>
      <c r="D1799" s="35">
        <v>1993</v>
      </c>
      <c r="E1799" s="36">
        <v>2703</v>
      </c>
      <c r="F1799" s="36">
        <v>1511</v>
      </c>
      <c r="G1799" s="36">
        <v>1192</v>
      </c>
      <c r="H1799" s="1" t="s">
        <v>2</v>
      </c>
      <c r="I1799" s="1"/>
      <c r="J1799" s="1"/>
      <c r="K1799" s="1"/>
      <c r="AA1799" s="1"/>
    </row>
    <row r="1800" spans="1:27" x14ac:dyDescent="0.25">
      <c r="A1800" t="s">
        <v>89</v>
      </c>
      <c r="B1800" t="str">
        <f t="shared" si="30"/>
        <v>55</v>
      </c>
      <c r="C1800" s="35">
        <v>1993</v>
      </c>
      <c r="D1800" s="1" t="s">
        <v>24</v>
      </c>
      <c r="E1800" s="35">
        <v>3</v>
      </c>
      <c r="F1800" s="35">
        <v>3</v>
      </c>
      <c r="G1800" s="1" t="s">
        <v>2</v>
      </c>
      <c r="H1800" s="1" t="s">
        <v>2</v>
      </c>
      <c r="I1800" s="1"/>
      <c r="J1800" s="1"/>
      <c r="K1800" s="1"/>
      <c r="AA1800" s="1"/>
    </row>
    <row r="1801" spans="1:27" x14ac:dyDescent="0.25">
      <c r="A1801" t="s">
        <v>89</v>
      </c>
      <c r="B1801" t="str">
        <f t="shared" si="30"/>
        <v>55</v>
      </c>
      <c r="C1801" s="35">
        <v>1994</v>
      </c>
      <c r="D1801" s="1" t="s">
        <v>4</v>
      </c>
      <c r="E1801" s="36">
        <v>2767</v>
      </c>
      <c r="F1801" s="36">
        <v>1591</v>
      </c>
      <c r="G1801" s="36">
        <v>1176</v>
      </c>
      <c r="H1801" s="1" t="s">
        <v>2</v>
      </c>
      <c r="I1801" s="1"/>
      <c r="J1801" s="1"/>
      <c r="K1801" s="1"/>
      <c r="AA1801" s="1"/>
    </row>
    <row r="1802" spans="1:27" x14ac:dyDescent="0.25">
      <c r="A1802" t="s">
        <v>89</v>
      </c>
      <c r="B1802" t="str">
        <f t="shared" si="30"/>
        <v>55</v>
      </c>
      <c r="C1802" s="35">
        <v>1994</v>
      </c>
      <c r="D1802" s="35">
        <v>1993</v>
      </c>
      <c r="E1802" s="35">
        <v>12</v>
      </c>
      <c r="F1802" s="35">
        <v>10</v>
      </c>
      <c r="G1802" s="35">
        <v>2</v>
      </c>
      <c r="H1802" s="1" t="s">
        <v>2</v>
      </c>
      <c r="I1802" s="1"/>
      <c r="J1802" s="1"/>
      <c r="K1802" s="1"/>
      <c r="AA1802" s="1"/>
    </row>
    <row r="1803" spans="1:27" x14ac:dyDescent="0.25">
      <c r="A1803" t="s">
        <v>89</v>
      </c>
      <c r="B1803" t="str">
        <f t="shared" si="30"/>
        <v>55</v>
      </c>
      <c r="C1803" s="35">
        <v>1994</v>
      </c>
      <c r="D1803" s="35">
        <v>1994</v>
      </c>
      <c r="E1803" s="36">
        <v>2755</v>
      </c>
      <c r="F1803" s="36">
        <v>1581</v>
      </c>
      <c r="G1803" s="36">
        <v>1174</v>
      </c>
      <c r="H1803" s="1" t="s">
        <v>2</v>
      </c>
      <c r="I1803" s="1"/>
      <c r="J1803" s="1"/>
      <c r="K1803" s="1"/>
      <c r="AA1803" s="1"/>
    </row>
    <row r="1804" spans="1:27" x14ac:dyDescent="0.25">
      <c r="A1804" t="s">
        <v>89</v>
      </c>
      <c r="B1804" t="str">
        <f t="shared" si="30"/>
        <v>55</v>
      </c>
      <c r="C1804" s="35">
        <v>1995</v>
      </c>
      <c r="D1804" s="1" t="s">
        <v>4</v>
      </c>
      <c r="E1804" s="36">
        <v>2694</v>
      </c>
      <c r="F1804" s="36">
        <v>1491</v>
      </c>
      <c r="G1804" s="36">
        <v>1203</v>
      </c>
      <c r="H1804" s="1" t="s">
        <v>2</v>
      </c>
      <c r="I1804" s="1"/>
      <c r="J1804" s="1"/>
      <c r="K1804" s="1"/>
      <c r="AA1804" s="1"/>
    </row>
    <row r="1805" spans="1:27" x14ac:dyDescent="0.25">
      <c r="A1805" t="s">
        <v>89</v>
      </c>
      <c r="B1805" t="str">
        <f t="shared" si="30"/>
        <v>55</v>
      </c>
      <c r="C1805" s="35">
        <v>1995</v>
      </c>
      <c r="D1805" s="35">
        <v>1945</v>
      </c>
      <c r="E1805" s="35">
        <v>2</v>
      </c>
      <c r="F1805" s="35">
        <v>2</v>
      </c>
      <c r="G1805" s="1" t="s">
        <v>2</v>
      </c>
      <c r="H1805" s="1" t="s">
        <v>2</v>
      </c>
      <c r="I1805" s="1"/>
      <c r="J1805" s="1"/>
      <c r="K1805" s="1"/>
      <c r="AA1805" s="1"/>
    </row>
    <row r="1806" spans="1:27" x14ac:dyDescent="0.25">
      <c r="A1806" t="s">
        <v>89</v>
      </c>
      <c r="B1806" t="str">
        <f t="shared" si="30"/>
        <v>55</v>
      </c>
      <c r="C1806" s="35">
        <v>1995</v>
      </c>
      <c r="D1806" s="35">
        <v>1993</v>
      </c>
      <c r="E1806" s="35">
        <v>2</v>
      </c>
      <c r="F1806" s="35">
        <v>1</v>
      </c>
      <c r="G1806" s="35">
        <v>1</v>
      </c>
      <c r="H1806" s="1" t="s">
        <v>2</v>
      </c>
      <c r="I1806" s="1"/>
      <c r="J1806" s="1"/>
      <c r="K1806" s="1"/>
      <c r="AA1806" s="1"/>
    </row>
    <row r="1807" spans="1:27" x14ac:dyDescent="0.25">
      <c r="A1807" t="s">
        <v>89</v>
      </c>
      <c r="B1807" t="str">
        <f t="shared" si="30"/>
        <v>55</v>
      </c>
      <c r="C1807" s="35">
        <v>1995</v>
      </c>
      <c r="D1807" s="35">
        <v>1994</v>
      </c>
      <c r="E1807" s="35">
        <v>9</v>
      </c>
      <c r="F1807" s="35">
        <v>6</v>
      </c>
      <c r="G1807" s="35">
        <v>3</v>
      </c>
      <c r="H1807" s="1" t="s">
        <v>2</v>
      </c>
      <c r="I1807" s="1"/>
      <c r="J1807" s="1"/>
      <c r="K1807" s="1"/>
      <c r="AA1807" s="1"/>
    </row>
    <row r="1808" spans="1:27" x14ac:dyDescent="0.25">
      <c r="A1808" t="s">
        <v>89</v>
      </c>
      <c r="B1808" t="str">
        <f t="shared" si="30"/>
        <v>55</v>
      </c>
      <c r="C1808" s="35">
        <v>1995</v>
      </c>
      <c r="D1808" s="35">
        <v>1995</v>
      </c>
      <c r="E1808" s="36">
        <v>2680</v>
      </c>
      <c r="F1808" s="36">
        <v>1481</v>
      </c>
      <c r="G1808" s="36">
        <v>1199</v>
      </c>
      <c r="H1808" s="1" t="s">
        <v>2</v>
      </c>
      <c r="I1808" s="1"/>
      <c r="J1808" s="1"/>
      <c r="K1808" s="1"/>
      <c r="AA1808" s="1"/>
    </row>
    <row r="1809" spans="1:27" x14ac:dyDescent="0.25">
      <c r="A1809" t="s">
        <v>89</v>
      </c>
      <c r="B1809" t="str">
        <f t="shared" si="30"/>
        <v>55</v>
      </c>
      <c r="C1809" s="35">
        <v>1995</v>
      </c>
      <c r="D1809" s="1" t="s">
        <v>24</v>
      </c>
      <c r="E1809" s="35">
        <v>1</v>
      </c>
      <c r="F1809" s="35">
        <v>1</v>
      </c>
      <c r="G1809" s="1" t="s">
        <v>2</v>
      </c>
      <c r="H1809" s="1" t="s">
        <v>2</v>
      </c>
      <c r="I1809" s="1"/>
      <c r="J1809" s="1"/>
      <c r="K1809" s="1"/>
      <c r="AA1809" s="1"/>
    </row>
    <row r="1810" spans="1:27" x14ac:dyDescent="0.25">
      <c r="A1810" t="s">
        <v>89</v>
      </c>
      <c r="B1810" t="str">
        <f t="shared" si="30"/>
        <v>55</v>
      </c>
      <c r="C1810" s="35">
        <v>1996</v>
      </c>
      <c r="D1810" s="1" t="s">
        <v>4</v>
      </c>
      <c r="E1810" s="36">
        <v>2700</v>
      </c>
      <c r="F1810" s="36">
        <v>1500</v>
      </c>
      <c r="G1810" s="36">
        <v>1200</v>
      </c>
      <c r="H1810" s="1" t="s">
        <v>2</v>
      </c>
      <c r="I1810" s="1"/>
      <c r="J1810" s="1"/>
      <c r="K1810" s="1"/>
      <c r="AA1810" s="1"/>
    </row>
    <row r="1811" spans="1:27" x14ac:dyDescent="0.25">
      <c r="A1811" t="s">
        <v>89</v>
      </c>
      <c r="B1811" t="str">
        <f t="shared" si="30"/>
        <v>55</v>
      </c>
      <c r="C1811" s="35">
        <v>1996</v>
      </c>
      <c r="D1811" s="35">
        <v>1994</v>
      </c>
      <c r="E1811" s="35">
        <v>1</v>
      </c>
      <c r="F1811" s="35">
        <v>1</v>
      </c>
      <c r="G1811" s="1" t="s">
        <v>2</v>
      </c>
      <c r="H1811" s="1" t="s">
        <v>2</v>
      </c>
      <c r="I1811" s="1"/>
      <c r="J1811" s="1"/>
      <c r="K1811" s="1"/>
      <c r="AA1811" s="1"/>
    </row>
    <row r="1812" spans="1:27" x14ac:dyDescent="0.25">
      <c r="A1812" t="s">
        <v>89</v>
      </c>
      <c r="B1812" t="str">
        <f t="shared" si="30"/>
        <v>55</v>
      </c>
      <c r="C1812" s="35">
        <v>1996</v>
      </c>
      <c r="D1812" s="35">
        <v>1995</v>
      </c>
      <c r="E1812" s="35">
        <v>14</v>
      </c>
      <c r="F1812" s="35">
        <v>10</v>
      </c>
      <c r="G1812" s="35">
        <v>4</v>
      </c>
      <c r="H1812" s="1" t="s">
        <v>2</v>
      </c>
      <c r="I1812" s="1"/>
      <c r="J1812" s="1"/>
      <c r="K1812" s="1"/>
      <c r="AA1812" s="1"/>
    </row>
    <row r="1813" spans="1:27" x14ac:dyDescent="0.25">
      <c r="A1813" t="s">
        <v>89</v>
      </c>
      <c r="B1813" t="str">
        <f t="shared" si="30"/>
        <v>55</v>
      </c>
      <c r="C1813" s="35">
        <v>1996</v>
      </c>
      <c r="D1813" s="35">
        <v>1996</v>
      </c>
      <c r="E1813" s="36">
        <v>2685</v>
      </c>
      <c r="F1813" s="36">
        <v>1489</v>
      </c>
      <c r="G1813" s="36">
        <v>1196</v>
      </c>
      <c r="H1813" s="1" t="s">
        <v>2</v>
      </c>
      <c r="I1813" s="1"/>
      <c r="J1813" s="1"/>
      <c r="K1813" s="1"/>
      <c r="AA1813" s="1"/>
    </row>
    <row r="1814" spans="1:27" x14ac:dyDescent="0.25">
      <c r="A1814" t="s">
        <v>89</v>
      </c>
      <c r="B1814" t="str">
        <f t="shared" si="30"/>
        <v>55</v>
      </c>
      <c r="C1814" s="35">
        <v>1997</v>
      </c>
      <c r="D1814" s="1" t="s">
        <v>4</v>
      </c>
      <c r="E1814" s="36">
        <v>2729</v>
      </c>
      <c r="F1814" s="36">
        <v>1540</v>
      </c>
      <c r="G1814" s="36">
        <v>1189</v>
      </c>
      <c r="H1814" s="1" t="s">
        <v>2</v>
      </c>
      <c r="I1814" s="1"/>
      <c r="J1814" s="1"/>
      <c r="K1814" s="1"/>
      <c r="AA1814" s="1"/>
    </row>
    <row r="1815" spans="1:27" x14ac:dyDescent="0.25">
      <c r="A1815" t="s">
        <v>89</v>
      </c>
      <c r="B1815" t="str">
        <f t="shared" si="30"/>
        <v>55</v>
      </c>
      <c r="C1815" s="35">
        <v>1997</v>
      </c>
      <c r="D1815" s="35">
        <v>1996</v>
      </c>
      <c r="E1815" s="35">
        <v>6</v>
      </c>
      <c r="F1815" s="35">
        <v>4</v>
      </c>
      <c r="G1815" s="35">
        <v>2</v>
      </c>
      <c r="H1815" s="1" t="s">
        <v>2</v>
      </c>
      <c r="I1815" s="1"/>
      <c r="J1815" s="1"/>
      <c r="K1815" s="1"/>
      <c r="AA1815" s="1"/>
    </row>
    <row r="1816" spans="1:27" x14ac:dyDescent="0.25">
      <c r="A1816" t="s">
        <v>89</v>
      </c>
      <c r="B1816" t="str">
        <f t="shared" si="30"/>
        <v>55</v>
      </c>
      <c r="C1816" s="35">
        <v>1997</v>
      </c>
      <c r="D1816" s="35">
        <v>1997</v>
      </c>
      <c r="E1816" s="36">
        <v>2723</v>
      </c>
      <c r="F1816" s="36">
        <v>1536</v>
      </c>
      <c r="G1816" s="36">
        <v>1187</v>
      </c>
      <c r="H1816" s="1" t="s">
        <v>2</v>
      </c>
      <c r="I1816" s="1"/>
      <c r="J1816" s="1"/>
      <c r="K1816" s="1"/>
      <c r="AA1816" s="1"/>
    </row>
    <row r="1817" spans="1:27" x14ac:dyDescent="0.25">
      <c r="A1817" t="s">
        <v>89</v>
      </c>
      <c r="B1817" t="str">
        <f t="shared" si="30"/>
        <v>55</v>
      </c>
      <c r="C1817" s="35">
        <v>1998</v>
      </c>
      <c r="D1817" s="1" t="s">
        <v>4</v>
      </c>
      <c r="E1817" s="36">
        <v>2684</v>
      </c>
      <c r="F1817" s="36">
        <v>1490</v>
      </c>
      <c r="G1817" s="36">
        <v>1194</v>
      </c>
      <c r="H1817" s="1" t="s">
        <v>2</v>
      </c>
      <c r="I1817" s="1"/>
      <c r="J1817" s="1"/>
      <c r="K1817" s="1"/>
      <c r="AA1817" s="1"/>
    </row>
    <row r="1818" spans="1:27" x14ac:dyDescent="0.25">
      <c r="A1818" t="s">
        <v>89</v>
      </c>
      <c r="B1818" t="str">
        <f t="shared" si="30"/>
        <v>55</v>
      </c>
      <c r="C1818" s="35">
        <v>1998</v>
      </c>
      <c r="D1818" s="35">
        <v>1918</v>
      </c>
      <c r="E1818" s="35">
        <v>1</v>
      </c>
      <c r="F1818" s="35">
        <v>1</v>
      </c>
      <c r="G1818" s="1" t="s">
        <v>2</v>
      </c>
      <c r="H1818" s="1" t="s">
        <v>2</v>
      </c>
      <c r="I1818" s="1"/>
      <c r="J1818" s="1"/>
      <c r="K1818" s="1"/>
      <c r="AA1818" s="1"/>
    </row>
    <row r="1819" spans="1:27" x14ac:dyDescent="0.25">
      <c r="A1819" t="s">
        <v>89</v>
      </c>
      <c r="B1819" t="str">
        <f t="shared" si="30"/>
        <v>55</v>
      </c>
      <c r="C1819" s="35">
        <v>1998</v>
      </c>
      <c r="D1819" s="35">
        <v>1948</v>
      </c>
      <c r="E1819" s="35">
        <v>1</v>
      </c>
      <c r="F1819" s="35">
        <v>1</v>
      </c>
      <c r="G1819" s="1" t="s">
        <v>2</v>
      </c>
      <c r="H1819" s="1" t="s">
        <v>2</v>
      </c>
      <c r="I1819" s="1"/>
      <c r="J1819" s="1"/>
      <c r="K1819" s="1"/>
      <c r="AA1819" s="1"/>
    </row>
    <row r="1820" spans="1:27" x14ac:dyDescent="0.25">
      <c r="A1820" t="s">
        <v>89</v>
      </c>
      <c r="B1820" t="str">
        <f t="shared" si="30"/>
        <v>55</v>
      </c>
      <c r="C1820" s="35">
        <v>1998</v>
      </c>
      <c r="D1820" s="35">
        <v>1958</v>
      </c>
      <c r="E1820" s="35">
        <v>1</v>
      </c>
      <c r="F1820" s="35">
        <v>1</v>
      </c>
      <c r="G1820" s="1" t="s">
        <v>2</v>
      </c>
      <c r="H1820" s="1" t="s">
        <v>2</v>
      </c>
      <c r="I1820" s="1"/>
      <c r="J1820" s="1"/>
      <c r="K1820" s="1"/>
      <c r="AA1820" s="1"/>
    </row>
    <row r="1821" spans="1:27" x14ac:dyDescent="0.25">
      <c r="A1821" t="s">
        <v>89</v>
      </c>
      <c r="B1821" t="str">
        <f t="shared" si="30"/>
        <v>55</v>
      </c>
      <c r="C1821" s="35">
        <v>1998</v>
      </c>
      <c r="D1821" s="35">
        <v>1978</v>
      </c>
      <c r="E1821" s="35">
        <v>1</v>
      </c>
      <c r="F1821" s="35">
        <v>1</v>
      </c>
      <c r="G1821" s="1" t="s">
        <v>2</v>
      </c>
      <c r="H1821" s="1" t="s">
        <v>2</v>
      </c>
      <c r="I1821" s="1"/>
      <c r="J1821" s="1"/>
      <c r="K1821" s="1"/>
      <c r="AA1821" s="1"/>
    </row>
    <row r="1822" spans="1:27" x14ac:dyDescent="0.25">
      <c r="A1822" t="s">
        <v>89</v>
      </c>
      <c r="B1822" t="str">
        <f t="shared" si="30"/>
        <v>55</v>
      </c>
      <c r="C1822" s="35">
        <v>1998</v>
      </c>
      <c r="D1822" s="35">
        <v>1981</v>
      </c>
      <c r="E1822" s="35">
        <v>1</v>
      </c>
      <c r="F1822" s="35">
        <v>1</v>
      </c>
      <c r="G1822" s="1" t="s">
        <v>2</v>
      </c>
      <c r="H1822" s="1" t="s">
        <v>2</v>
      </c>
      <c r="I1822" s="1"/>
      <c r="J1822" s="1"/>
      <c r="K1822" s="1"/>
      <c r="AA1822" s="1"/>
    </row>
    <row r="1823" spans="1:27" x14ac:dyDescent="0.25">
      <c r="A1823" t="s">
        <v>89</v>
      </c>
      <c r="B1823" t="str">
        <f t="shared" si="30"/>
        <v>55</v>
      </c>
      <c r="C1823" s="35">
        <v>1998</v>
      </c>
      <c r="D1823" s="35">
        <v>1997</v>
      </c>
      <c r="E1823" s="35">
        <v>17</v>
      </c>
      <c r="F1823" s="35">
        <v>11</v>
      </c>
      <c r="G1823" s="35">
        <v>6</v>
      </c>
      <c r="H1823" s="1" t="s">
        <v>2</v>
      </c>
      <c r="I1823" s="1"/>
      <c r="J1823" s="1"/>
      <c r="K1823" s="1"/>
      <c r="AA1823" s="1"/>
    </row>
    <row r="1824" spans="1:27" x14ac:dyDescent="0.25">
      <c r="A1824" t="s">
        <v>89</v>
      </c>
      <c r="B1824" t="str">
        <f t="shared" si="30"/>
        <v>55</v>
      </c>
      <c r="C1824" s="35">
        <v>1998</v>
      </c>
      <c r="D1824" s="35">
        <v>1998</v>
      </c>
      <c r="E1824" s="36">
        <v>2662</v>
      </c>
      <c r="F1824" s="36">
        <v>1474</v>
      </c>
      <c r="G1824" s="36">
        <v>1188</v>
      </c>
      <c r="H1824" s="1" t="s">
        <v>2</v>
      </c>
      <c r="I1824" s="1"/>
      <c r="J1824" s="1"/>
      <c r="K1824" s="1"/>
      <c r="AA1824" s="1"/>
    </row>
    <row r="1825" spans="1:27" x14ac:dyDescent="0.25">
      <c r="A1825" t="s">
        <v>89</v>
      </c>
      <c r="B1825" t="str">
        <f t="shared" si="30"/>
        <v>55</v>
      </c>
      <c r="C1825" s="35">
        <v>1999</v>
      </c>
      <c r="D1825" s="1" t="s">
        <v>4</v>
      </c>
      <c r="E1825" s="36">
        <v>2773</v>
      </c>
      <c r="F1825" s="36">
        <v>1562</v>
      </c>
      <c r="G1825" s="36">
        <v>1211</v>
      </c>
      <c r="H1825" s="1" t="s">
        <v>2</v>
      </c>
      <c r="I1825" s="1"/>
      <c r="J1825" s="1"/>
      <c r="K1825" s="1"/>
      <c r="AA1825" s="1"/>
    </row>
    <row r="1826" spans="1:27" x14ac:dyDescent="0.25">
      <c r="A1826" t="s">
        <v>89</v>
      </c>
      <c r="B1826" t="str">
        <f t="shared" si="30"/>
        <v>55</v>
      </c>
      <c r="C1826" s="35">
        <v>1999</v>
      </c>
      <c r="D1826" s="35">
        <v>1995</v>
      </c>
      <c r="E1826" s="35">
        <v>1</v>
      </c>
      <c r="F1826" s="35">
        <v>1</v>
      </c>
      <c r="G1826" s="1" t="s">
        <v>2</v>
      </c>
      <c r="H1826" s="1" t="s">
        <v>2</v>
      </c>
      <c r="I1826" s="1"/>
      <c r="J1826" s="1"/>
      <c r="K1826" s="1"/>
      <c r="AA1826" s="1"/>
    </row>
    <row r="1827" spans="1:27" x14ac:dyDescent="0.25">
      <c r="A1827" t="s">
        <v>89</v>
      </c>
      <c r="B1827" t="str">
        <f t="shared" si="30"/>
        <v>55</v>
      </c>
      <c r="C1827" s="35">
        <v>1999</v>
      </c>
      <c r="D1827" s="35">
        <v>1998</v>
      </c>
      <c r="E1827" s="35">
        <v>10</v>
      </c>
      <c r="F1827" s="35">
        <v>9</v>
      </c>
      <c r="G1827" s="35">
        <v>1</v>
      </c>
      <c r="H1827" s="1" t="s">
        <v>2</v>
      </c>
      <c r="I1827" s="1"/>
      <c r="J1827" s="1"/>
      <c r="K1827" s="1"/>
      <c r="AA1827" s="1"/>
    </row>
    <row r="1828" spans="1:27" x14ac:dyDescent="0.25">
      <c r="A1828" t="s">
        <v>89</v>
      </c>
      <c r="B1828" t="str">
        <f t="shared" si="30"/>
        <v>55</v>
      </c>
      <c r="C1828" s="35">
        <v>1999</v>
      </c>
      <c r="D1828" s="35">
        <v>1999</v>
      </c>
      <c r="E1828" s="36">
        <v>2762</v>
      </c>
      <c r="F1828" s="36">
        <v>1552</v>
      </c>
      <c r="G1828" s="36">
        <v>1210</v>
      </c>
      <c r="H1828" s="1" t="s">
        <v>2</v>
      </c>
      <c r="I1828" s="1"/>
      <c r="J1828" s="1"/>
      <c r="K1828" s="1"/>
      <c r="AA1828" s="1"/>
    </row>
    <row r="1829" spans="1:27" x14ac:dyDescent="0.25">
      <c r="A1829" t="s">
        <v>89</v>
      </c>
      <c r="B1829" t="str">
        <f t="shared" si="30"/>
        <v>55</v>
      </c>
      <c r="C1829" s="35">
        <v>2000</v>
      </c>
      <c r="D1829" s="1" t="s">
        <v>4</v>
      </c>
      <c r="E1829" s="36">
        <v>2721</v>
      </c>
      <c r="F1829" s="36">
        <v>1546</v>
      </c>
      <c r="G1829" s="36">
        <v>1175</v>
      </c>
      <c r="H1829" s="1" t="s">
        <v>2</v>
      </c>
      <c r="I1829" s="1"/>
      <c r="J1829" s="1"/>
      <c r="K1829" s="1"/>
      <c r="AA1829" s="1"/>
    </row>
    <row r="1830" spans="1:27" x14ac:dyDescent="0.25">
      <c r="A1830" t="s">
        <v>89</v>
      </c>
      <c r="B1830" t="str">
        <f t="shared" si="30"/>
        <v>55</v>
      </c>
      <c r="C1830" s="35">
        <v>2000</v>
      </c>
      <c r="D1830" s="35">
        <v>1999</v>
      </c>
      <c r="E1830" s="35">
        <v>10</v>
      </c>
      <c r="F1830" s="35">
        <v>7</v>
      </c>
      <c r="G1830" s="35">
        <v>3</v>
      </c>
      <c r="H1830" s="1" t="s">
        <v>2</v>
      </c>
      <c r="I1830" s="1"/>
      <c r="J1830" s="1"/>
      <c r="K1830" s="1"/>
      <c r="AA1830" s="1"/>
    </row>
    <row r="1831" spans="1:27" x14ac:dyDescent="0.25">
      <c r="A1831" t="s">
        <v>89</v>
      </c>
      <c r="B1831" t="str">
        <f t="shared" si="30"/>
        <v>55</v>
      </c>
      <c r="C1831" s="35">
        <v>2000</v>
      </c>
      <c r="D1831" s="35">
        <v>2000</v>
      </c>
      <c r="E1831" s="36">
        <v>2711</v>
      </c>
      <c r="F1831" s="36">
        <v>1539</v>
      </c>
      <c r="G1831" s="36">
        <v>1172</v>
      </c>
      <c r="H1831" s="1" t="s">
        <v>2</v>
      </c>
      <c r="I1831" s="1"/>
      <c r="J1831" s="1"/>
      <c r="K1831" s="1"/>
      <c r="AA1831" s="1"/>
    </row>
    <row r="1832" spans="1:27" x14ac:dyDescent="0.25">
      <c r="A1832" t="s">
        <v>89</v>
      </c>
      <c r="B1832" t="str">
        <f t="shared" si="30"/>
        <v>55</v>
      </c>
      <c r="C1832" s="35">
        <v>2001</v>
      </c>
      <c r="D1832" s="1" t="s">
        <v>4</v>
      </c>
      <c r="E1832" s="36">
        <v>2812</v>
      </c>
      <c r="F1832" s="36">
        <v>1566</v>
      </c>
      <c r="G1832" s="36">
        <v>1246</v>
      </c>
      <c r="H1832" s="1" t="s">
        <v>2</v>
      </c>
      <c r="I1832" s="1"/>
      <c r="J1832" s="1"/>
      <c r="K1832" s="1"/>
      <c r="AA1832" s="1"/>
    </row>
    <row r="1833" spans="1:27" x14ac:dyDescent="0.25">
      <c r="A1833" t="s">
        <v>89</v>
      </c>
      <c r="B1833" t="str">
        <f t="shared" si="30"/>
        <v>55</v>
      </c>
      <c r="C1833" s="35">
        <v>2001</v>
      </c>
      <c r="D1833" s="35">
        <v>2000</v>
      </c>
      <c r="E1833" s="35">
        <v>13</v>
      </c>
      <c r="F1833" s="35">
        <v>5</v>
      </c>
      <c r="G1833" s="35">
        <v>8</v>
      </c>
      <c r="H1833" s="1" t="s">
        <v>2</v>
      </c>
      <c r="I1833" s="1"/>
      <c r="J1833" s="1"/>
      <c r="K1833" s="1"/>
      <c r="AA1833" s="1"/>
    </row>
    <row r="1834" spans="1:27" x14ac:dyDescent="0.25">
      <c r="A1834" t="s">
        <v>89</v>
      </c>
      <c r="B1834" t="str">
        <f t="shared" si="30"/>
        <v>55</v>
      </c>
      <c r="C1834" s="35">
        <v>2001</v>
      </c>
      <c r="D1834" s="35">
        <v>2001</v>
      </c>
      <c r="E1834" s="36">
        <v>2799</v>
      </c>
      <c r="F1834" s="36">
        <v>1561</v>
      </c>
      <c r="G1834" s="36">
        <v>1238</v>
      </c>
      <c r="H1834" s="1" t="s">
        <v>2</v>
      </c>
      <c r="I1834" s="1"/>
      <c r="J1834" s="1"/>
      <c r="K1834" s="1"/>
      <c r="AA1834" s="1"/>
    </row>
    <row r="1835" spans="1:27" x14ac:dyDescent="0.25">
      <c r="A1835" t="s">
        <v>89</v>
      </c>
      <c r="B1835" t="str">
        <f t="shared" si="30"/>
        <v>55</v>
      </c>
      <c r="C1835" s="35">
        <v>2002</v>
      </c>
      <c r="D1835" s="1" t="s">
        <v>4</v>
      </c>
      <c r="E1835" s="36">
        <v>2864</v>
      </c>
      <c r="F1835" s="36">
        <v>1639</v>
      </c>
      <c r="G1835" s="36">
        <v>1225</v>
      </c>
      <c r="H1835" s="1" t="s">
        <v>2</v>
      </c>
      <c r="I1835" s="1"/>
      <c r="J1835" s="1"/>
      <c r="K1835" s="1"/>
      <c r="AA1835" s="1"/>
    </row>
    <row r="1836" spans="1:27" x14ac:dyDescent="0.25">
      <c r="A1836" t="s">
        <v>89</v>
      </c>
      <c r="B1836" t="str">
        <f t="shared" si="30"/>
        <v>55</v>
      </c>
      <c r="C1836" s="35">
        <v>2002</v>
      </c>
      <c r="D1836" s="35">
        <v>2000</v>
      </c>
      <c r="E1836" s="35">
        <v>1</v>
      </c>
      <c r="F1836" s="35">
        <v>1</v>
      </c>
      <c r="G1836" s="1" t="s">
        <v>2</v>
      </c>
      <c r="H1836" s="1" t="s">
        <v>2</v>
      </c>
      <c r="I1836" s="1"/>
      <c r="J1836" s="1"/>
      <c r="K1836" s="1"/>
      <c r="AA1836" s="1"/>
    </row>
    <row r="1837" spans="1:27" x14ac:dyDescent="0.25">
      <c r="A1837" t="s">
        <v>89</v>
      </c>
      <c r="B1837" t="str">
        <f t="shared" si="30"/>
        <v>55</v>
      </c>
      <c r="C1837" s="35">
        <v>2002</v>
      </c>
      <c r="D1837" s="35">
        <v>2001</v>
      </c>
      <c r="E1837" s="35">
        <v>17</v>
      </c>
      <c r="F1837" s="35">
        <v>7</v>
      </c>
      <c r="G1837" s="35">
        <v>10</v>
      </c>
      <c r="H1837" s="1" t="s">
        <v>2</v>
      </c>
      <c r="I1837" s="1"/>
      <c r="J1837" s="1"/>
      <c r="K1837" s="1"/>
      <c r="AA1837" s="1"/>
    </row>
    <row r="1838" spans="1:27" x14ac:dyDescent="0.25">
      <c r="A1838" t="s">
        <v>89</v>
      </c>
      <c r="B1838" t="str">
        <f t="shared" si="30"/>
        <v>55</v>
      </c>
      <c r="C1838" s="35">
        <v>2002</v>
      </c>
      <c r="D1838" s="35">
        <v>2002</v>
      </c>
      <c r="E1838" s="36">
        <v>2846</v>
      </c>
      <c r="F1838" s="36">
        <v>1631</v>
      </c>
      <c r="G1838" s="36">
        <v>1215</v>
      </c>
      <c r="H1838" s="1" t="s">
        <v>2</v>
      </c>
      <c r="I1838" s="1"/>
      <c r="J1838" s="1"/>
      <c r="K1838" s="1"/>
      <c r="AA1838" s="1"/>
    </row>
    <row r="1839" spans="1:27" x14ac:dyDescent="0.25">
      <c r="A1839" t="s">
        <v>89</v>
      </c>
      <c r="B1839" t="str">
        <f t="shared" si="30"/>
        <v>55</v>
      </c>
      <c r="C1839" s="35">
        <v>2003</v>
      </c>
      <c r="D1839" s="1" t="s">
        <v>4</v>
      </c>
      <c r="E1839" s="36">
        <v>2940</v>
      </c>
      <c r="F1839" s="36">
        <v>1641</v>
      </c>
      <c r="G1839" s="36">
        <v>1299</v>
      </c>
      <c r="H1839" s="1" t="s">
        <v>2</v>
      </c>
      <c r="I1839" s="1"/>
      <c r="J1839" s="1"/>
      <c r="K1839" s="1"/>
      <c r="AA1839" s="1"/>
    </row>
    <row r="1840" spans="1:27" x14ac:dyDescent="0.25">
      <c r="A1840" t="s">
        <v>89</v>
      </c>
      <c r="B1840" t="str">
        <f t="shared" si="30"/>
        <v>55</v>
      </c>
      <c r="C1840" s="35">
        <v>2003</v>
      </c>
      <c r="D1840" s="35">
        <v>2002</v>
      </c>
      <c r="E1840" s="35">
        <v>12</v>
      </c>
      <c r="F1840" s="35">
        <v>6</v>
      </c>
      <c r="G1840" s="35">
        <v>6</v>
      </c>
      <c r="H1840" s="1" t="s">
        <v>2</v>
      </c>
      <c r="I1840" s="1"/>
      <c r="J1840" s="1"/>
      <c r="K1840" s="1"/>
      <c r="AA1840" s="1"/>
    </row>
    <row r="1841" spans="1:27" x14ac:dyDescent="0.25">
      <c r="A1841" t="s">
        <v>89</v>
      </c>
      <c r="B1841" t="str">
        <f t="shared" si="30"/>
        <v>55</v>
      </c>
      <c r="C1841" s="35">
        <v>2003</v>
      </c>
      <c r="D1841" s="35">
        <v>2003</v>
      </c>
      <c r="E1841" s="36">
        <v>2928</v>
      </c>
      <c r="F1841" s="36">
        <v>1635</v>
      </c>
      <c r="G1841" s="36">
        <v>1293</v>
      </c>
      <c r="H1841" s="1" t="s">
        <v>2</v>
      </c>
      <c r="I1841" s="1"/>
      <c r="J1841" s="1"/>
      <c r="K1841" s="1"/>
      <c r="AA1841" s="1"/>
    </row>
    <row r="1842" spans="1:27" x14ac:dyDescent="0.25">
      <c r="A1842" t="s">
        <v>89</v>
      </c>
      <c r="B1842" t="str">
        <f t="shared" si="30"/>
        <v>55</v>
      </c>
      <c r="C1842" s="35">
        <v>2004</v>
      </c>
      <c r="D1842" s="1" t="s">
        <v>4</v>
      </c>
      <c r="E1842" s="36">
        <v>3048</v>
      </c>
      <c r="F1842" s="36">
        <v>1680</v>
      </c>
      <c r="G1842" s="36">
        <v>1368</v>
      </c>
      <c r="H1842" s="1" t="s">
        <v>2</v>
      </c>
      <c r="I1842" s="1"/>
      <c r="J1842" s="1"/>
      <c r="K1842" s="1"/>
      <c r="AA1842" s="1"/>
    </row>
    <row r="1843" spans="1:27" x14ac:dyDescent="0.25">
      <c r="A1843" t="s">
        <v>89</v>
      </c>
      <c r="B1843" t="str">
        <f t="shared" si="30"/>
        <v>55</v>
      </c>
      <c r="C1843" s="35">
        <v>2004</v>
      </c>
      <c r="D1843" s="35">
        <v>2000</v>
      </c>
      <c r="E1843" s="35">
        <v>1</v>
      </c>
      <c r="F1843" s="35">
        <v>1</v>
      </c>
      <c r="G1843" s="1" t="s">
        <v>2</v>
      </c>
      <c r="H1843" s="1" t="s">
        <v>2</v>
      </c>
      <c r="I1843" s="1"/>
      <c r="J1843" s="1"/>
      <c r="K1843" s="1"/>
      <c r="AA1843" s="1"/>
    </row>
    <row r="1844" spans="1:27" x14ac:dyDescent="0.25">
      <c r="A1844" t="s">
        <v>89</v>
      </c>
      <c r="B1844" t="str">
        <f t="shared" si="30"/>
        <v>55</v>
      </c>
      <c r="C1844" s="35">
        <v>2004</v>
      </c>
      <c r="D1844" s="35">
        <v>2003</v>
      </c>
      <c r="E1844" s="35">
        <v>15</v>
      </c>
      <c r="F1844" s="35">
        <v>10</v>
      </c>
      <c r="G1844" s="35">
        <v>5</v>
      </c>
      <c r="H1844" s="1" t="s">
        <v>2</v>
      </c>
      <c r="I1844" s="1"/>
      <c r="J1844" s="1"/>
      <c r="K1844" s="1"/>
      <c r="AA1844" s="1"/>
    </row>
    <row r="1845" spans="1:27" x14ac:dyDescent="0.25">
      <c r="A1845" t="s">
        <v>89</v>
      </c>
      <c r="B1845" t="str">
        <f t="shared" si="30"/>
        <v>55</v>
      </c>
      <c r="C1845" s="35">
        <v>2004</v>
      </c>
      <c r="D1845" s="35">
        <v>2004</v>
      </c>
      <c r="E1845" s="36">
        <v>3032</v>
      </c>
      <c r="F1845" s="36">
        <v>1669</v>
      </c>
      <c r="G1845" s="36">
        <v>1363</v>
      </c>
      <c r="H1845" s="1" t="s">
        <v>2</v>
      </c>
      <c r="I1845" s="1"/>
      <c r="J1845" s="1"/>
      <c r="K1845" s="1"/>
      <c r="AA1845" s="1"/>
    </row>
    <row r="1846" spans="1:27" x14ac:dyDescent="0.25">
      <c r="A1846" t="s">
        <v>89</v>
      </c>
      <c r="B1846" t="str">
        <f t="shared" si="30"/>
        <v>55</v>
      </c>
      <c r="C1846" s="35">
        <v>2005</v>
      </c>
      <c r="D1846" s="1" t="s">
        <v>4</v>
      </c>
      <c r="E1846" s="36">
        <v>3146</v>
      </c>
      <c r="F1846" s="36">
        <v>1759</v>
      </c>
      <c r="G1846" s="36">
        <v>1387</v>
      </c>
      <c r="H1846" s="1" t="s">
        <v>2</v>
      </c>
      <c r="I1846" s="1"/>
      <c r="J1846" s="1"/>
      <c r="K1846" s="1"/>
      <c r="AA1846" s="1"/>
    </row>
    <row r="1847" spans="1:27" x14ac:dyDescent="0.25">
      <c r="A1847" t="s">
        <v>89</v>
      </c>
      <c r="B1847" t="str">
        <f t="shared" si="30"/>
        <v>55</v>
      </c>
      <c r="C1847" s="35">
        <v>2005</v>
      </c>
      <c r="D1847" s="35">
        <v>2004</v>
      </c>
      <c r="E1847" s="35">
        <v>13</v>
      </c>
      <c r="F1847" s="35">
        <v>6</v>
      </c>
      <c r="G1847" s="35">
        <v>7</v>
      </c>
      <c r="H1847" s="1" t="s">
        <v>2</v>
      </c>
      <c r="I1847" s="1"/>
      <c r="J1847" s="1"/>
      <c r="K1847" s="1"/>
      <c r="AA1847" s="1"/>
    </row>
    <row r="1848" spans="1:27" x14ac:dyDescent="0.25">
      <c r="A1848" t="s">
        <v>89</v>
      </c>
      <c r="B1848" t="str">
        <f t="shared" si="30"/>
        <v>55</v>
      </c>
      <c r="C1848" s="35">
        <v>2005</v>
      </c>
      <c r="D1848" s="35">
        <v>2005</v>
      </c>
      <c r="E1848" s="36">
        <v>3133</v>
      </c>
      <c r="F1848" s="36">
        <v>1753</v>
      </c>
      <c r="G1848" s="36">
        <v>1380</v>
      </c>
      <c r="H1848" s="1" t="s">
        <v>2</v>
      </c>
      <c r="I1848" s="1"/>
      <c r="J1848" s="1"/>
      <c r="K1848" s="1"/>
      <c r="AA1848" s="1"/>
    </row>
    <row r="1849" spans="1:27" x14ac:dyDescent="0.25">
      <c r="A1849" t="s">
        <v>89</v>
      </c>
      <c r="B1849" t="str">
        <f t="shared" si="30"/>
        <v>55</v>
      </c>
      <c r="C1849" s="35">
        <v>2006</v>
      </c>
      <c r="D1849" s="1" t="s">
        <v>4</v>
      </c>
      <c r="E1849" s="36">
        <v>3270</v>
      </c>
      <c r="F1849" s="36">
        <v>1847</v>
      </c>
      <c r="G1849" s="36">
        <v>1423</v>
      </c>
      <c r="H1849" s="1" t="s">
        <v>2</v>
      </c>
      <c r="I1849" s="1"/>
      <c r="J1849" s="1"/>
      <c r="K1849" s="1"/>
      <c r="AA1849" s="1"/>
    </row>
    <row r="1850" spans="1:27" x14ac:dyDescent="0.25">
      <c r="A1850" t="s">
        <v>89</v>
      </c>
      <c r="B1850" t="str">
        <f t="shared" si="30"/>
        <v>55</v>
      </c>
      <c r="C1850" s="35">
        <v>2006</v>
      </c>
      <c r="D1850" s="35">
        <v>2005</v>
      </c>
      <c r="E1850" s="35">
        <v>20</v>
      </c>
      <c r="F1850" s="35">
        <v>15</v>
      </c>
      <c r="G1850" s="35">
        <v>5</v>
      </c>
      <c r="H1850" s="1" t="s">
        <v>2</v>
      </c>
      <c r="I1850" s="1"/>
      <c r="J1850" s="1"/>
      <c r="K1850" s="1"/>
      <c r="AA1850" s="1"/>
    </row>
    <row r="1851" spans="1:27" x14ac:dyDescent="0.25">
      <c r="A1851" t="s">
        <v>89</v>
      </c>
      <c r="B1851" t="str">
        <f t="shared" si="30"/>
        <v>55</v>
      </c>
      <c r="C1851" s="35">
        <v>2006</v>
      </c>
      <c r="D1851" s="35">
        <v>2006</v>
      </c>
      <c r="E1851" s="36">
        <v>3250</v>
      </c>
      <c r="F1851" s="36">
        <v>1832</v>
      </c>
      <c r="G1851" s="36">
        <v>1418</v>
      </c>
      <c r="H1851" s="1" t="s">
        <v>2</v>
      </c>
      <c r="I1851" s="1"/>
      <c r="J1851" s="1"/>
      <c r="K1851" s="1"/>
      <c r="AA1851" s="1"/>
    </row>
    <row r="1852" spans="1:27" x14ac:dyDescent="0.25">
      <c r="A1852" t="s">
        <v>89</v>
      </c>
      <c r="B1852" t="str">
        <f t="shared" si="30"/>
        <v>55</v>
      </c>
      <c r="C1852" s="35">
        <v>2007</v>
      </c>
      <c r="D1852" s="1" t="s">
        <v>4</v>
      </c>
      <c r="E1852" s="36">
        <v>3306</v>
      </c>
      <c r="F1852" s="36">
        <v>1833</v>
      </c>
      <c r="G1852" s="36">
        <v>1473</v>
      </c>
      <c r="H1852" s="1" t="s">
        <v>2</v>
      </c>
      <c r="I1852" s="1"/>
      <c r="J1852" s="1"/>
      <c r="K1852" s="1"/>
      <c r="AA1852" s="1"/>
    </row>
    <row r="1853" spans="1:27" x14ac:dyDescent="0.25">
      <c r="A1853" t="s">
        <v>89</v>
      </c>
      <c r="B1853" t="str">
        <f t="shared" si="30"/>
        <v>55</v>
      </c>
      <c r="C1853" s="35">
        <v>2007</v>
      </c>
      <c r="D1853" s="35">
        <v>2003</v>
      </c>
      <c r="E1853" s="35">
        <v>1</v>
      </c>
      <c r="F1853" s="1" t="s">
        <v>2</v>
      </c>
      <c r="G1853" s="35">
        <v>1</v>
      </c>
      <c r="H1853" s="1" t="s">
        <v>2</v>
      </c>
      <c r="I1853" s="1"/>
      <c r="J1853" s="1"/>
      <c r="K1853" s="1"/>
      <c r="AA1853" s="1"/>
    </row>
    <row r="1854" spans="1:27" x14ac:dyDescent="0.25">
      <c r="A1854" t="s">
        <v>89</v>
      </c>
      <c r="B1854" t="str">
        <f t="shared" si="30"/>
        <v>55</v>
      </c>
      <c r="C1854" s="35">
        <v>2007</v>
      </c>
      <c r="D1854" s="35">
        <v>2005</v>
      </c>
      <c r="E1854" s="35">
        <v>2</v>
      </c>
      <c r="F1854" s="35">
        <v>2</v>
      </c>
      <c r="G1854" s="1" t="s">
        <v>2</v>
      </c>
      <c r="H1854" s="1" t="s">
        <v>2</v>
      </c>
      <c r="I1854" s="1"/>
      <c r="J1854" s="1"/>
      <c r="K1854" s="1"/>
      <c r="AA1854" s="1"/>
    </row>
    <row r="1855" spans="1:27" x14ac:dyDescent="0.25">
      <c r="A1855" t="s">
        <v>89</v>
      </c>
      <c r="B1855" t="str">
        <f t="shared" si="30"/>
        <v>55</v>
      </c>
      <c r="C1855" s="35">
        <v>2007</v>
      </c>
      <c r="D1855" s="35">
        <v>2006</v>
      </c>
      <c r="E1855" s="35">
        <v>31</v>
      </c>
      <c r="F1855" s="35">
        <v>24</v>
      </c>
      <c r="G1855" s="35">
        <v>7</v>
      </c>
      <c r="H1855" s="1" t="s">
        <v>2</v>
      </c>
      <c r="I1855" s="1"/>
      <c r="J1855" s="1"/>
      <c r="K1855" s="1"/>
      <c r="AA1855" s="1"/>
    </row>
    <row r="1856" spans="1:27" x14ac:dyDescent="0.25">
      <c r="A1856" t="s">
        <v>89</v>
      </c>
      <c r="B1856" t="str">
        <f t="shared" si="30"/>
        <v>55</v>
      </c>
      <c r="C1856" s="35">
        <v>2007</v>
      </c>
      <c r="D1856" s="35">
        <v>2007</v>
      </c>
      <c r="E1856" s="36">
        <v>3272</v>
      </c>
      <c r="F1856" s="36">
        <v>1807</v>
      </c>
      <c r="G1856" s="36">
        <v>1465</v>
      </c>
      <c r="H1856" s="1" t="s">
        <v>2</v>
      </c>
      <c r="I1856" s="1"/>
      <c r="J1856" s="1"/>
      <c r="K1856" s="1"/>
      <c r="AA1856" s="1"/>
    </row>
    <row r="1857" spans="1:27" x14ac:dyDescent="0.25">
      <c r="A1857" t="s">
        <v>89</v>
      </c>
      <c r="B1857" t="str">
        <f t="shared" si="30"/>
        <v>55</v>
      </c>
      <c r="C1857" s="35">
        <v>2008</v>
      </c>
      <c r="D1857" s="1" t="s">
        <v>4</v>
      </c>
      <c r="E1857" s="36">
        <v>3298</v>
      </c>
      <c r="F1857" s="36">
        <v>1860</v>
      </c>
      <c r="G1857" s="36">
        <v>1438</v>
      </c>
      <c r="H1857" s="1" t="s">
        <v>2</v>
      </c>
      <c r="I1857" s="1"/>
      <c r="J1857" s="1"/>
      <c r="K1857" s="1"/>
      <c r="AA1857" s="1"/>
    </row>
    <row r="1858" spans="1:27" x14ac:dyDescent="0.25">
      <c r="A1858" t="s">
        <v>89</v>
      </c>
      <c r="B1858" t="str">
        <f t="shared" si="30"/>
        <v>55</v>
      </c>
      <c r="C1858" s="35">
        <v>2008</v>
      </c>
      <c r="D1858" s="35">
        <v>2004</v>
      </c>
      <c r="E1858" s="35">
        <v>3</v>
      </c>
      <c r="F1858" s="35">
        <v>3</v>
      </c>
      <c r="G1858" s="1" t="s">
        <v>2</v>
      </c>
      <c r="H1858" s="1" t="s">
        <v>2</v>
      </c>
      <c r="I1858" s="1"/>
      <c r="J1858" s="1"/>
      <c r="K1858" s="1"/>
      <c r="AA1858" s="1"/>
    </row>
    <row r="1859" spans="1:27" x14ac:dyDescent="0.25">
      <c r="A1859" t="s">
        <v>89</v>
      </c>
      <c r="B1859" t="str">
        <f t="shared" si="30"/>
        <v>55</v>
      </c>
      <c r="C1859" s="35">
        <v>2008</v>
      </c>
      <c r="D1859" s="35">
        <v>2005</v>
      </c>
      <c r="E1859" s="35">
        <v>4</v>
      </c>
      <c r="F1859" s="35">
        <v>3</v>
      </c>
      <c r="G1859" s="35">
        <v>1</v>
      </c>
      <c r="H1859" s="1" t="s">
        <v>2</v>
      </c>
      <c r="I1859" s="1"/>
      <c r="J1859" s="1"/>
      <c r="K1859" s="1"/>
      <c r="AA1859" s="1"/>
    </row>
    <row r="1860" spans="1:27" x14ac:dyDescent="0.25">
      <c r="A1860" t="s">
        <v>89</v>
      </c>
      <c r="B1860" t="str">
        <f t="shared" si="30"/>
        <v>55</v>
      </c>
      <c r="C1860" s="35">
        <v>2008</v>
      </c>
      <c r="D1860" s="35">
        <v>2007</v>
      </c>
      <c r="E1860" s="35">
        <v>22</v>
      </c>
      <c r="F1860" s="35">
        <v>20</v>
      </c>
      <c r="G1860" s="35">
        <v>2</v>
      </c>
      <c r="H1860" s="1" t="s">
        <v>2</v>
      </c>
      <c r="I1860" s="1"/>
      <c r="J1860" s="1"/>
      <c r="K1860" s="1"/>
      <c r="AA1860" s="1"/>
    </row>
    <row r="1861" spans="1:27" x14ac:dyDescent="0.25">
      <c r="A1861" t="s">
        <v>89</v>
      </c>
      <c r="B1861" t="str">
        <f t="shared" si="30"/>
        <v>55</v>
      </c>
      <c r="C1861" s="35">
        <v>2008</v>
      </c>
      <c r="D1861" s="35">
        <v>2008</v>
      </c>
      <c r="E1861" s="36">
        <v>3269</v>
      </c>
      <c r="F1861" s="36">
        <v>1834</v>
      </c>
      <c r="G1861" s="36">
        <v>1435</v>
      </c>
      <c r="H1861" s="1" t="s">
        <v>2</v>
      </c>
      <c r="I1861" s="1"/>
      <c r="J1861" s="1"/>
      <c r="K1861" s="1"/>
      <c r="AA1861" s="1"/>
    </row>
    <row r="1862" spans="1:27" x14ac:dyDescent="0.25">
      <c r="A1862" t="s">
        <v>89</v>
      </c>
      <c r="B1862" t="str">
        <f t="shared" si="30"/>
        <v>55</v>
      </c>
      <c r="C1862" s="35">
        <v>2009</v>
      </c>
      <c r="D1862" s="1" t="s">
        <v>4</v>
      </c>
      <c r="E1862" s="36">
        <v>3506</v>
      </c>
      <c r="F1862" s="36">
        <v>1961</v>
      </c>
      <c r="G1862" s="36">
        <v>1545</v>
      </c>
      <c r="H1862" s="1" t="s">
        <v>2</v>
      </c>
      <c r="I1862" s="1"/>
      <c r="J1862" s="1"/>
      <c r="K1862" s="1"/>
      <c r="AA1862" s="1"/>
    </row>
    <row r="1863" spans="1:27" x14ac:dyDescent="0.25">
      <c r="A1863" t="s">
        <v>89</v>
      </c>
      <c r="B1863" t="str">
        <f t="shared" ref="B1863:B1926" si="31">IF(A1863="Menores de 1 año",0,LEFT(A1863,2))</f>
        <v>55</v>
      </c>
      <c r="C1863" s="35">
        <v>2009</v>
      </c>
      <c r="D1863" s="35">
        <v>2004</v>
      </c>
      <c r="E1863" s="35">
        <v>1</v>
      </c>
      <c r="F1863" s="35">
        <v>1</v>
      </c>
      <c r="G1863" s="1" t="s">
        <v>2</v>
      </c>
      <c r="H1863" s="1" t="s">
        <v>2</v>
      </c>
      <c r="I1863" s="1"/>
      <c r="J1863" s="1"/>
      <c r="K1863" s="1"/>
      <c r="AA1863" s="1"/>
    </row>
    <row r="1864" spans="1:27" x14ac:dyDescent="0.25">
      <c r="A1864" t="s">
        <v>89</v>
      </c>
      <c r="B1864" t="str">
        <f t="shared" si="31"/>
        <v>55</v>
      </c>
      <c r="C1864" s="35">
        <v>2009</v>
      </c>
      <c r="D1864" s="35">
        <v>2005</v>
      </c>
      <c r="E1864" s="35">
        <v>1</v>
      </c>
      <c r="F1864" s="35">
        <v>1</v>
      </c>
      <c r="G1864" s="1" t="s">
        <v>2</v>
      </c>
      <c r="H1864" s="1" t="s">
        <v>2</v>
      </c>
      <c r="I1864" s="1"/>
      <c r="J1864" s="1"/>
      <c r="K1864" s="1"/>
      <c r="AA1864" s="1"/>
    </row>
    <row r="1865" spans="1:27" x14ac:dyDescent="0.25">
      <c r="A1865" t="s">
        <v>89</v>
      </c>
      <c r="B1865" t="str">
        <f t="shared" si="31"/>
        <v>55</v>
      </c>
      <c r="C1865" s="35">
        <v>2009</v>
      </c>
      <c r="D1865" s="35">
        <v>2008</v>
      </c>
      <c r="E1865" s="35">
        <v>33</v>
      </c>
      <c r="F1865" s="35">
        <v>27</v>
      </c>
      <c r="G1865" s="35">
        <v>6</v>
      </c>
      <c r="H1865" s="1" t="s">
        <v>2</v>
      </c>
      <c r="I1865" s="1"/>
      <c r="J1865" s="1"/>
      <c r="K1865" s="1"/>
      <c r="AA1865" s="1"/>
    </row>
    <row r="1866" spans="1:27" x14ac:dyDescent="0.25">
      <c r="A1866" t="s">
        <v>89</v>
      </c>
      <c r="B1866" t="str">
        <f t="shared" si="31"/>
        <v>55</v>
      </c>
      <c r="C1866" s="35">
        <v>2009</v>
      </c>
      <c r="D1866" s="35">
        <v>2009</v>
      </c>
      <c r="E1866" s="36">
        <v>3471</v>
      </c>
      <c r="F1866" s="36">
        <v>1932</v>
      </c>
      <c r="G1866" s="36">
        <v>1539</v>
      </c>
      <c r="H1866" s="1" t="s">
        <v>2</v>
      </c>
      <c r="I1866" s="1"/>
      <c r="J1866" s="1"/>
      <c r="K1866" s="1"/>
      <c r="AA1866" s="1"/>
    </row>
    <row r="1867" spans="1:27" x14ac:dyDescent="0.25">
      <c r="A1867" t="s">
        <v>89</v>
      </c>
      <c r="B1867" t="str">
        <f t="shared" si="31"/>
        <v>55</v>
      </c>
      <c r="C1867" s="35">
        <v>2010</v>
      </c>
      <c r="D1867" s="1" t="s">
        <v>4</v>
      </c>
      <c r="E1867" s="36">
        <v>3518</v>
      </c>
      <c r="F1867" s="36">
        <v>2000</v>
      </c>
      <c r="G1867" s="36">
        <v>1518</v>
      </c>
      <c r="H1867" s="1" t="s">
        <v>2</v>
      </c>
      <c r="I1867" s="1"/>
      <c r="J1867" s="1"/>
      <c r="K1867" s="1"/>
      <c r="AA1867" s="1"/>
    </row>
    <row r="1868" spans="1:27" x14ac:dyDescent="0.25">
      <c r="A1868" t="s">
        <v>89</v>
      </c>
      <c r="B1868" t="str">
        <f t="shared" si="31"/>
        <v>55</v>
      </c>
      <c r="C1868" s="35">
        <v>2010</v>
      </c>
      <c r="D1868" s="35">
        <v>2009</v>
      </c>
      <c r="E1868" s="35">
        <v>26</v>
      </c>
      <c r="F1868" s="35">
        <v>20</v>
      </c>
      <c r="G1868" s="35">
        <v>6</v>
      </c>
      <c r="H1868" s="1" t="s">
        <v>2</v>
      </c>
      <c r="I1868" s="1"/>
      <c r="J1868" s="1"/>
      <c r="K1868" s="1"/>
      <c r="AA1868" s="1"/>
    </row>
    <row r="1869" spans="1:27" x14ac:dyDescent="0.25">
      <c r="A1869" t="s">
        <v>89</v>
      </c>
      <c r="B1869" t="str">
        <f t="shared" si="31"/>
        <v>55</v>
      </c>
      <c r="C1869" s="35">
        <v>2010</v>
      </c>
      <c r="D1869" s="35">
        <v>2010</v>
      </c>
      <c r="E1869" s="36">
        <v>3492</v>
      </c>
      <c r="F1869" s="36">
        <v>1980</v>
      </c>
      <c r="G1869" s="36">
        <v>1512</v>
      </c>
      <c r="H1869" s="1" t="s">
        <v>2</v>
      </c>
      <c r="I1869" s="1"/>
      <c r="J1869" s="1"/>
      <c r="K1869" s="1"/>
      <c r="AA1869" s="1"/>
    </row>
    <row r="1870" spans="1:27" x14ac:dyDescent="0.25">
      <c r="A1870" t="s">
        <v>89</v>
      </c>
      <c r="B1870" t="str">
        <f t="shared" si="31"/>
        <v>55</v>
      </c>
      <c r="C1870" s="35">
        <v>2011</v>
      </c>
      <c r="D1870" s="1" t="s">
        <v>4</v>
      </c>
      <c r="E1870" s="36">
        <v>3533</v>
      </c>
      <c r="F1870" s="36">
        <v>2082</v>
      </c>
      <c r="G1870" s="36">
        <v>1451</v>
      </c>
      <c r="H1870" s="1" t="s">
        <v>2</v>
      </c>
      <c r="I1870" s="1"/>
      <c r="J1870" s="1"/>
      <c r="K1870" s="1"/>
      <c r="AA1870" s="1"/>
    </row>
    <row r="1871" spans="1:27" x14ac:dyDescent="0.25">
      <c r="A1871" t="s">
        <v>89</v>
      </c>
      <c r="B1871" t="str">
        <f t="shared" si="31"/>
        <v>55</v>
      </c>
      <c r="C1871" s="35">
        <v>2011</v>
      </c>
      <c r="D1871" s="35">
        <v>2010</v>
      </c>
      <c r="E1871" s="35">
        <v>48</v>
      </c>
      <c r="F1871" s="35">
        <v>33</v>
      </c>
      <c r="G1871" s="35">
        <v>15</v>
      </c>
      <c r="H1871" s="1" t="s">
        <v>2</v>
      </c>
      <c r="I1871" s="1"/>
      <c r="J1871" s="1"/>
      <c r="K1871" s="1"/>
      <c r="AA1871" s="1"/>
    </row>
    <row r="1872" spans="1:27" x14ac:dyDescent="0.25">
      <c r="A1872" t="s">
        <v>89</v>
      </c>
      <c r="B1872" t="str">
        <f t="shared" si="31"/>
        <v>55</v>
      </c>
      <c r="C1872" s="35">
        <v>2011</v>
      </c>
      <c r="D1872" s="35">
        <v>2011</v>
      </c>
      <c r="E1872" s="36">
        <v>3485</v>
      </c>
      <c r="F1872" s="36">
        <v>2049</v>
      </c>
      <c r="G1872" s="36">
        <v>1436</v>
      </c>
      <c r="H1872" s="1" t="s">
        <v>2</v>
      </c>
      <c r="I1872" s="1"/>
      <c r="J1872" s="1"/>
      <c r="K1872" s="1"/>
      <c r="AA1872" s="1"/>
    </row>
    <row r="1873" spans="1:27" x14ac:dyDescent="0.25">
      <c r="A1873" t="s">
        <v>89</v>
      </c>
      <c r="B1873" t="str">
        <f t="shared" si="31"/>
        <v>55</v>
      </c>
      <c r="C1873" s="35">
        <v>2012</v>
      </c>
      <c r="D1873" s="1" t="s">
        <v>4</v>
      </c>
      <c r="E1873" s="36">
        <v>3683</v>
      </c>
      <c r="F1873" s="36">
        <v>2133</v>
      </c>
      <c r="G1873" s="36">
        <v>1550</v>
      </c>
      <c r="H1873" s="1" t="s">
        <v>2</v>
      </c>
      <c r="I1873" s="1"/>
      <c r="J1873" s="1"/>
      <c r="K1873" s="1"/>
      <c r="AA1873" s="1"/>
    </row>
    <row r="1874" spans="1:27" x14ac:dyDescent="0.25">
      <c r="A1874" t="s">
        <v>89</v>
      </c>
      <c r="B1874" t="str">
        <f t="shared" si="31"/>
        <v>55</v>
      </c>
      <c r="C1874" s="35">
        <v>2012</v>
      </c>
      <c r="D1874" s="35">
        <v>2008</v>
      </c>
      <c r="E1874" s="35">
        <v>1</v>
      </c>
      <c r="F1874" s="35">
        <v>1</v>
      </c>
      <c r="G1874" s="1" t="s">
        <v>2</v>
      </c>
      <c r="H1874" s="1" t="s">
        <v>2</v>
      </c>
      <c r="I1874" s="1"/>
      <c r="J1874" s="1"/>
      <c r="K1874" s="1"/>
      <c r="AA1874" s="1"/>
    </row>
    <row r="1875" spans="1:27" x14ac:dyDescent="0.25">
      <c r="A1875" t="s">
        <v>89</v>
      </c>
      <c r="B1875" t="str">
        <f t="shared" si="31"/>
        <v>55</v>
      </c>
      <c r="C1875" s="35">
        <v>2012</v>
      </c>
      <c r="D1875" s="35">
        <v>2011</v>
      </c>
      <c r="E1875" s="35">
        <v>40</v>
      </c>
      <c r="F1875" s="35">
        <v>31</v>
      </c>
      <c r="G1875" s="35">
        <v>9</v>
      </c>
      <c r="H1875" s="1" t="s">
        <v>2</v>
      </c>
      <c r="I1875" s="1"/>
      <c r="J1875" s="1"/>
      <c r="K1875" s="1"/>
      <c r="AA1875" s="1"/>
    </row>
    <row r="1876" spans="1:27" x14ac:dyDescent="0.25">
      <c r="A1876" t="s">
        <v>89</v>
      </c>
      <c r="B1876" t="str">
        <f t="shared" si="31"/>
        <v>55</v>
      </c>
      <c r="C1876" s="35">
        <v>2012</v>
      </c>
      <c r="D1876" s="35">
        <v>2012</v>
      </c>
      <c r="E1876" s="36">
        <v>3642</v>
      </c>
      <c r="F1876" s="36">
        <v>2101</v>
      </c>
      <c r="G1876" s="36">
        <v>1541</v>
      </c>
      <c r="H1876" s="1" t="s">
        <v>2</v>
      </c>
      <c r="I1876" s="1"/>
      <c r="J1876" s="1"/>
      <c r="K1876" s="1"/>
      <c r="AA1876" s="1"/>
    </row>
    <row r="1877" spans="1:27" x14ac:dyDescent="0.25">
      <c r="A1877" t="s">
        <v>89</v>
      </c>
      <c r="B1877" t="str">
        <f t="shared" si="31"/>
        <v>55</v>
      </c>
      <c r="C1877" s="35">
        <v>2013</v>
      </c>
      <c r="D1877" s="1" t="s">
        <v>4</v>
      </c>
      <c r="E1877" s="36">
        <v>3864</v>
      </c>
      <c r="F1877" s="36">
        <v>2244</v>
      </c>
      <c r="G1877" s="36">
        <v>1620</v>
      </c>
      <c r="H1877" s="1" t="s">
        <v>2</v>
      </c>
      <c r="I1877" s="1"/>
      <c r="J1877" s="1"/>
      <c r="K1877" s="1"/>
      <c r="AA1877" s="1"/>
    </row>
    <row r="1878" spans="1:27" x14ac:dyDescent="0.25">
      <c r="A1878" t="s">
        <v>89</v>
      </c>
      <c r="B1878" t="str">
        <f t="shared" si="31"/>
        <v>55</v>
      </c>
      <c r="C1878" s="35">
        <v>2013</v>
      </c>
      <c r="D1878" s="35">
        <v>2012</v>
      </c>
      <c r="E1878" s="35">
        <v>39</v>
      </c>
      <c r="F1878" s="35">
        <v>30</v>
      </c>
      <c r="G1878" s="35">
        <v>9</v>
      </c>
      <c r="H1878" s="1" t="s">
        <v>2</v>
      </c>
      <c r="I1878" s="1"/>
      <c r="J1878" s="1"/>
      <c r="K1878" s="1"/>
      <c r="AA1878" s="1"/>
    </row>
    <row r="1879" spans="1:27" x14ac:dyDescent="0.25">
      <c r="A1879" t="s">
        <v>89</v>
      </c>
      <c r="B1879" t="str">
        <f t="shared" si="31"/>
        <v>55</v>
      </c>
      <c r="C1879" s="35">
        <v>2013</v>
      </c>
      <c r="D1879" s="35">
        <v>2013</v>
      </c>
      <c r="E1879" s="36">
        <v>3825</v>
      </c>
      <c r="F1879" s="36">
        <v>2214</v>
      </c>
      <c r="G1879" s="36">
        <v>1611</v>
      </c>
      <c r="H1879" s="1" t="s">
        <v>2</v>
      </c>
      <c r="I1879" s="1"/>
      <c r="J1879" s="1"/>
      <c r="K1879" s="1"/>
      <c r="AA1879" s="1"/>
    </row>
    <row r="1880" spans="1:27" x14ac:dyDescent="0.25">
      <c r="A1880" t="s">
        <v>89</v>
      </c>
      <c r="B1880" t="str">
        <f t="shared" si="31"/>
        <v>55</v>
      </c>
      <c r="C1880" s="35">
        <v>2014</v>
      </c>
      <c r="D1880" s="1" t="s">
        <v>4</v>
      </c>
      <c r="E1880" s="36">
        <v>3949</v>
      </c>
      <c r="F1880" s="36">
        <v>2279</v>
      </c>
      <c r="G1880" s="36">
        <v>1670</v>
      </c>
      <c r="H1880" s="1" t="s">
        <v>2</v>
      </c>
      <c r="I1880" s="1"/>
      <c r="J1880" s="1"/>
      <c r="K1880" s="1"/>
      <c r="AA1880" s="1"/>
    </row>
    <row r="1881" spans="1:27" x14ac:dyDescent="0.25">
      <c r="A1881" t="s">
        <v>89</v>
      </c>
      <c r="B1881" t="str">
        <f t="shared" si="31"/>
        <v>55</v>
      </c>
      <c r="C1881" s="35">
        <v>2014</v>
      </c>
      <c r="D1881" s="35">
        <v>2009</v>
      </c>
      <c r="E1881" s="35">
        <v>1</v>
      </c>
      <c r="F1881" s="35">
        <v>1</v>
      </c>
      <c r="G1881" s="1" t="s">
        <v>2</v>
      </c>
      <c r="H1881" s="1" t="s">
        <v>2</v>
      </c>
      <c r="I1881" s="1"/>
      <c r="J1881" s="1"/>
      <c r="K1881" s="1"/>
      <c r="AA1881" s="1"/>
    </row>
    <row r="1882" spans="1:27" x14ac:dyDescent="0.25">
      <c r="A1882" t="s">
        <v>89</v>
      </c>
      <c r="B1882" t="str">
        <f t="shared" si="31"/>
        <v>55</v>
      </c>
      <c r="C1882" s="35">
        <v>2014</v>
      </c>
      <c r="D1882" s="35">
        <v>2010</v>
      </c>
      <c r="E1882" s="35">
        <v>2</v>
      </c>
      <c r="F1882" s="35">
        <v>2</v>
      </c>
      <c r="G1882" s="1" t="s">
        <v>2</v>
      </c>
      <c r="H1882" s="1" t="s">
        <v>2</v>
      </c>
      <c r="I1882" s="1"/>
      <c r="J1882" s="1"/>
      <c r="K1882" s="1"/>
      <c r="AA1882" s="1"/>
    </row>
    <row r="1883" spans="1:27" x14ac:dyDescent="0.25">
      <c r="A1883" t="s">
        <v>89</v>
      </c>
      <c r="B1883" t="str">
        <f t="shared" si="31"/>
        <v>55</v>
      </c>
      <c r="C1883" s="35">
        <v>2014</v>
      </c>
      <c r="D1883" s="35">
        <v>2011</v>
      </c>
      <c r="E1883" s="35">
        <v>2</v>
      </c>
      <c r="F1883" s="35">
        <v>2</v>
      </c>
      <c r="G1883" s="1" t="s">
        <v>2</v>
      </c>
      <c r="H1883" s="1" t="s">
        <v>2</v>
      </c>
      <c r="I1883" s="1"/>
      <c r="J1883" s="1"/>
      <c r="K1883" s="1"/>
      <c r="AA1883" s="1"/>
    </row>
    <row r="1884" spans="1:27" x14ac:dyDescent="0.25">
      <c r="A1884" t="s">
        <v>89</v>
      </c>
      <c r="B1884" t="str">
        <f t="shared" si="31"/>
        <v>55</v>
      </c>
      <c r="C1884" s="35">
        <v>2014</v>
      </c>
      <c r="D1884" s="35">
        <v>2013</v>
      </c>
      <c r="E1884" s="35">
        <v>45</v>
      </c>
      <c r="F1884" s="35">
        <v>33</v>
      </c>
      <c r="G1884" s="35">
        <v>12</v>
      </c>
      <c r="H1884" s="1" t="s">
        <v>2</v>
      </c>
      <c r="I1884" s="1"/>
      <c r="J1884" s="1"/>
      <c r="K1884" s="1"/>
      <c r="AA1884" s="1"/>
    </row>
    <row r="1885" spans="1:27" x14ac:dyDescent="0.25">
      <c r="A1885" t="s">
        <v>89</v>
      </c>
      <c r="B1885" t="str">
        <f t="shared" si="31"/>
        <v>55</v>
      </c>
      <c r="C1885" s="35">
        <v>2014</v>
      </c>
      <c r="D1885" s="35">
        <v>2014</v>
      </c>
      <c r="E1885" s="36">
        <v>3899</v>
      </c>
      <c r="F1885" s="36">
        <v>2241</v>
      </c>
      <c r="G1885" s="36">
        <v>1658</v>
      </c>
      <c r="H1885" s="1" t="s">
        <v>2</v>
      </c>
      <c r="I1885" s="1"/>
      <c r="J1885" s="1"/>
      <c r="K1885" s="1"/>
      <c r="AA1885" s="1"/>
    </row>
    <row r="1886" spans="1:27" x14ac:dyDescent="0.25">
      <c r="A1886" t="s">
        <v>89</v>
      </c>
      <c r="B1886" t="str">
        <f t="shared" si="31"/>
        <v>55</v>
      </c>
      <c r="C1886" s="35">
        <v>2015</v>
      </c>
      <c r="D1886" s="1" t="s">
        <v>4</v>
      </c>
      <c r="E1886" s="36">
        <v>3957</v>
      </c>
      <c r="F1886" s="36">
        <v>2319</v>
      </c>
      <c r="G1886" s="36">
        <v>1638</v>
      </c>
      <c r="H1886" s="1" t="s">
        <v>2</v>
      </c>
      <c r="I1886" s="1"/>
      <c r="J1886" s="1"/>
      <c r="K1886" s="1"/>
      <c r="AA1886" s="1"/>
    </row>
    <row r="1887" spans="1:27" x14ac:dyDescent="0.25">
      <c r="A1887" t="s">
        <v>89</v>
      </c>
      <c r="B1887" t="str">
        <f t="shared" si="31"/>
        <v>55</v>
      </c>
      <c r="C1887" s="35">
        <v>2015</v>
      </c>
      <c r="D1887" s="35">
        <v>2014</v>
      </c>
      <c r="E1887" s="35">
        <v>39</v>
      </c>
      <c r="F1887" s="35">
        <v>31</v>
      </c>
      <c r="G1887" s="35">
        <v>8</v>
      </c>
      <c r="H1887" s="1" t="s">
        <v>2</v>
      </c>
      <c r="I1887" s="1"/>
      <c r="J1887" s="1"/>
      <c r="K1887" s="1"/>
      <c r="AA1887" s="1"/>
    </row>
    <row r="1888" spans="1:27" x14ac:dyDescent="0.25">
      <c r="A1888" t="s">
        <v>89</v>
      </c>
      <c r="B1888" t="str">
        <f t="shared" si="31"/>
        <v>55</v>
      </c>
      <c r="C1888" s="35">
        <v>2015</v>
      </c>
      <c r="D1888" s="35">
        <v>2015</v>
      </c>
      <c r="E1888" s="36">
        <v>3918</v>
      </c>
      <c r="F1888" s="36">
        <v>2288</v>
      </c>
      <c r="G1888" s="36">
        <v>1630</v>
      </c>
      <c r="H1888" s="1" t="s">
        <v>2</v>
      </c>
      <c r="I1888" s="1"/>
      <c r="J1888" s="1"/>
      <c r="K1888" s="1"/>
      <c r="AA1888" s="1"/>
    </row>
    <row r="1889" spans="1:27" x14ac:dyDescent="0.25">
      <c r="A1889" t="s">
        <v>89</v>
      </c>
      <c r="B1889" t="str">
        <f t="shared" si="31"/>
        <v>55</v>
      </c>
      <c r="C1889" s="35">
        <v>2016</v>
      </c>
      <c r="D1889" s="1" t="s">
        <v>4</v>
      </c>
      <c r="E1889" s="36">
        <v>4183</v>
      </c>
      <c r="F1889" s="36">
        <v>2537</v>
      </c>
      <c r="G1889" s="36">
        <v>1646</v>
      </c>
      <c r="H1889" s="1" t="s">
        <v>2</v>
      </c>
      <c r="I1889" s="1"/>
      <c r="J1889" s="1"/>
      <c r="K1889" s="1"/>
      <c r="AA1889" s="1"/>
    </row>
    <row r="1890" spans="1:27" x14ac:dyDescent="0.25">
      <c r="A1890" t="s">
        <v>89</v>
      </c>
      <c r="B1890" t="str">
        <f t="shared" si="31"/>
        <v>55</v>
      </c>
      <c r="C1890" s="35">
        <v>2016</v>
      </c>
      <c r="D1890" s="35">
        <v>2010</v>
      </c>
      <c r="E1890" s="35">
        <v>1</v>
      </c>
      <c r="F1890" s="35">
        <v>1</v>
      </c>
      <c r="G1890" s="1" t="s">
        <v>2</v>
      </c>
      <c r="H1890" s="1" t="s">
        <v>2</v>
      </c>
      <c r="I1890" s="1"/>
      <c r="J1890" s="1"/>
      <c r="K1890" s="1"/>
      <c r="AA1890" s="1"/>
    </row>
    <row r="1891" spans="1:27" x14ac:dyDescent="0.25">
      <c r="A1891" t="s">
        <v>89</v>
      </c>
      <c r="B1891" t="str">
        <f t="shared" si="31"/>
        <v>55</v>
      </c>
      <c r="C1891" s="35">
        <v>2016</v>
      </c>
      <c r="D1891" s="35">
        <v>2012</v>
      </c>
      <c r="E1891" s="35">
        <v>1</v>
      </c>
      <c r="F1891" s="35">
        <v>1</v>
      </c>
      <c r="G1891" s="1" t="s">
        <v>2</v>
      </c>
      <c r="H1891" s="1" t="s">
        <v>2</v>
      </c>
      <c r="I1891" s="1"/>
      <c r="J1891" s="1"/>
      <c r="K1891" s="1"/>
      <c r="AA1891" s="1"/>
    </row>
    <row r="1892" spans="1:27" x14ac:dyDescent="0.25">
      <c r="A1892" t="s">
        <v>89</v>
      </c>
      <c r="B1892" t="str">
        <f t="shared" si="31"/>
        <v>55</v>
      </c>
      <c r="C1892" s="35">
        <v>2016</v>
      </c>
      <c r="D1892" s="35">
        <v>2013</v>
      </c>
      <c r="E1892" s="35">
        <v>2</v>
      </c>
      <c r="F1892" s="35">
        <v>1</v>
      </c>
      <c r="G1892" s="35">
        <v>1</v>
      </c>
      <c r="H1892" s="1" t="s">
        <v>2</v>
      </c>
      <c r="I1892" s="1"/>
      <c r="J1892" s="1"/>
      <c r="K1892" s="1"/>
      <c r="AA1892" s="1"/>
    </row>
    <row r="1893" spans="1:27" x14ac:dyDescent="0.25">
      <c r="A1893" t="s">
        <v>89</v>
      </c>
      <c r="B1893" t="str">
        <f t="shared" si="31"/>
        <v>55</v>
      </c>
      <c r="C1893" s="35">
        <v>2016</v>
      </c>
      <c r="D1893" s="35">
        <v>2015</v>
      </c>
      <c r="E1893" s="35">
        <v>28</v>
      </c>
      <c r="F1893" s="35">
        <v>22</v>
      </c>
      <c r="G1893" s="35">
        <v>6</v>
      </c>
      <c r="H1893" s="1" t="s">
        <v>2</v>
      </c>
      <c r="I1893" s="1"/>
      <c r="J1893" s="1"/>
      <c r="K1893" s="1"/>
      <c r="AA1893" s="1"/>
    </row>
    <row r="1894" spans="1:27" x14ac:dyDescent="0.25">
      <c r="A1894" t="s">
        <v>89</v>
      </c>
      <c r="B1894" t="str">
        <f t="shared" si="31"/>
        <v>55</v>
      </c>
      <c r="C1894" s="35">
        <v>2016</v>
      </c>
      <c r="D1894" s="35">
        <v>2016</v>
      </c>
      <c r="E1894" s="36">
        <v>4151</v>
      </c>
      <c r="F1894" s="36">
        <v>2512</v>
      </c>
      <c r="G1894" s="36">
        <v>1639</v>
      </c>
      <c r="H1894" s="1" t="s">
        <v>2</v>
      </c>
      <c r="I1894" s="1"/>
      <c r="J1894" s="1"/>
      <c r="K1894" s="1"/>
      <c r="AA1894" s="1"/>
    </row>
    <row r="1895" spans="1:27" x14ac:dyDescent="0.25">
      <c r="A1895" t="s">
        <v>89</v>
      </c>
      <c r="B1895" t="str">
        <f t="shared" si="31"/>
        <v>55</v>
      </c>
      <c r="C1895" s="35">
        <v>2017</v>
      </c>
      <c r="D1895" s="1" t="s">
        <v>4</v>
      </c>
      <c r="E1895" s="36">
        <v>4140</v>
      </c>
      <c r="F1895" s="36">
        <v>2407</v>
      </c>
      <c r="G1895" s="36">
        <v>1733</v>
      </c>
      <c r="H1895" s="1" t="s">
        <v>2</v>
      </c>
      <c r="I1895" s="1"/>
      <c r="J1895" s="1"/>
      <c r="K1895" s="1"/>
      <c r="AA1895" s="1"/>
    </row>
    <row r="1896" spans="1:27" x14ac:dyDescent="0.25">
      <c r="A1896" t="s">
        <v>89</v>
      </c>
      <c r="B1896" t="str">
        <f t="shared" si="31"/>
        <v>55</v>
      </c>
      <c r="C1896" s="35">
        <v>2017</v>
      </c>
      <c r="D1896" s="35">
        <v>2002</v>
      </c>
      <c r="E1896" s="35">
        <v>1</v>
      </c>
      <c r="F1896" s="1" t="s">
        <v>2</v>
      </c>
      <c r="G1896" s="35">
        <v>1</v>
      </c>
      <c r="H1896" s="1" t="s">
        <v>2</v>
      </c>
      <c r="I1896" s="1"/>
      <c r="J1896" s="1"/>
      <c r="K1896" s="1"/>
      <c r="AA1896" s="1"/>
    </row>
    <row r="1897" spans="1:27" x14ac:dyDescent="0.25">
      <c r="A1897" t="s">
        <v>89</v>
      </c>
      <c r="B1897" t="str">
        <f t="shared" si="31"/>
        <v>55</v>
      </c>
      <c r="C1897" s="35">
        <v>2017</v>
      </c>
      <c r="D1897" s="35">
        <v>2016</v>
      </c>
      <c r="E1897" s="35">
        <v>18</v>
      </c>
      <c r="F1897" s="35">
        <v>13</v>
      </c>
      <c r="G1897" s="35">
        <v>5</v>
      </c>
      <c r="H1897" s="1" t="s">
        <v>2</v>
      </c>
      <c r="I1897" s="1"/>
      <c r="J1897" s="1"/>
      <c r="K1897" s="1"/>
      <c r="AA1897" s="1"/>
    </row>
    <row r="1898" spans="1:27" x14ac:dyDescent="0.25">
      <c r="A1898" t="s">
        <v>89</v>
      </c>
      <c r="B1898" t="str">
        <f t="shared" si="31"/>
        <v>55</v>
      </c>
      <c r="C1898" s="35">
        <v>2017</v>
      </c>
      <c r="D1898" s="35">
        <v>2017</v>
      </c>
      <c r="E1898" s="36">
        <v>4121</v>
      </c>
      <c r="F1898" s="36">
        <v>2394</v>
      </c>
      <c r="G1898" s="36">
        <v>1727</v>
      </c>
      <c r="H1898" s="1" t="s">
        <v>2</v>
      </c>
      <c r="I1898" s="1"/>
      <c r="J1898" s="1"/>
      <c r="K1898" s="1"/>
      <c r="AA1898" s="1"/>
    </row>
    <row r="1899" spans="1:27" x14ac:dyDescent="0.25">
      <c r="A1899" t="s">
        <v>89</v>
      </c>
      <c r="B1899" t="str">
        <f t="shared" si="31"/>
        <v>55</v>
      </c>
      <c r="C1899" s="35">
        <v>2018</v>
      </c>
      <c r="D1899" s="1" t="s">
        <v>4</v>
      </c>
      <c r="E1899" s="36">
        <v>4294</v>
      </c>
      <c r="F1899" s="36">
        <v>2588</v>
      </c>
      <c r="G1899" s="36">
        <v>1706</v>
      </c>
      <c r="H1899" s="1" t="s">
        <v>2</v>
      </c>
      <c r="I1899" s="1"/>
      <c r="J1899" s="1"/>
      <c r="K1899" s="1"/>
      <c r="AA1899" s="1"/>
    </row>
    <row r="1900" spans="1:27" x14ac:dyDescent="0.25">
      <c r="A1900" t="s">
        <v>89</v>
      </c>
      <c r="B1900" t="str">
        <f t="shared" si="31"/>
        <v>55</v>
      </c>
      <c r="C1900" s="35">
        <v>2018</v>
      </c>
      <c r="D1900" s="35">
        <v>2017</v>
      </c>
      <c r="E1900" s="35">
        <v>19</v>
      </c>
      <c r="F1900" s="35">
        <v>14</v>
      </c>
      <c r="G1900" s="35">
        <v>5</v>
      </c>
      <c r="H1900" s="1" t="s">
        <v>2</v>
      </c>
      <c r="I1900" s="1"/>
      <c r="J1900" s="1"/>
      <c r="K1900" s="1"/>
      <c r="AA1900" s="1"/>
    </row>
    <row r="1901" spans="1:27" x14ac:dyDescent="0.25">
      <c r="A1901" t="s">
        <v>89</v>
      </c>
      <c r="B1901" t="str">
        <f t="shared" si="31"/>
        <v>55</v>
      </c>
      <c r="C1901" s="35">
        <v>2018</v>
      </c>
      <c r="D1901" s="35">
        <v>2018</v>
      </c>
      <c r="E1901" s="36">
        <v>4275</v>
      </c>
      <c r="F1901" s="36">
        <v>2574</v>
      </c>
      <c r="G1901" s="36">
        <v>1701</v>
      </c>
      <c r="H1901" s="1" t="s">
        <v>2</v>
      </c>
      <c r="I1901" s="1"/>
      <c r="J1901" s="1"/>
      <c r="K1901" s="1"/>
      <c r="AA1901" s="1"/>
    </row>
    <row r="1902" spans="1:27" x14ac:dyDescent="0.25">
      <c r="A1902" t="s">
        <v>89</v>
      </c>
      <c r="B1902" t="str">
        <f t="shared" si="31"/>
        <v>55</v>
      </c>
      <c r="C1902" s="35">
        <v>2019</v>
      </c>
      <c r="D1902" s="1" t="s">
        <v>4</v>
      </c>
      <c r="E1902" s="36">
        <v>4249</v>
      </c>
      <c r="F1902" s="36">
        <v>2522</v>
      </c>
      <c r="G1902" s="36">
        <v>1727</v>
      </c>
      <c r="H1902" s="1" t="s">
        <v>2</v>
      </c>
      <c r="I1902" s="1"/>
      <c r="J1902" s="1"/>
      <c r="K1902" s="1"/>
      <c r="AA1902" s="1"/>
    </row>
    <row r="1903" spans="1:27" x14ac:dyDescent="0.25">
      <c r="A1903" t="s">
        <v>89</v>
      </c>
      <c r="B1903" t="str">
        <f t="shared" si="31"/>
        <v>55</v>
      </c>
      <c r="C1903" s="35">
        <v>2019</v>
      </c>
      <c r="D1903" s="35">
        <v>2018</v>
      </c>
      <c r="E1903" s="35">
        <v>23</v>
      </c>
      <c r="F1903" s="35">
        <v>11</v>
      </c>
      <c r="G1903" s="35">
        <v>12</v>
      </c>
      <c r="H1903" s="1" t="s">
        <v>2</v>
      </c>
      <c r="I1903" s="1"/>
      <c r="J1903" s="1"/>
      <c r="K1903" s="1"/>
      <c r="AA1903" s="1"/>
    </row>
    <row r="1904" spans="1:27" x14ac:dyDescent="0.25">
      <c r="A1904" t="s">
        <v>89</v>
      </c>
      <c r="B1904" t="str">
        <f t="shared" si="31"/>
        <v>55</v>
      </c>
      <c r="C1904" s="35">
        <v>2019</v>
      </c>
      <c r="D1904" s="35">
        <v>2019</v>
      </c>
      <c r="E1904" s="36">
        <v>4226</v>
      </c>
      <c r="F1904" s="36">
        <v>2511</v>
      </c>
      <c r="G1904" s="36">
        <v>1715</v>
      </c>
      <c r="H1904" s="1" t="s">
        <v>2</v>
      </c>
      <c r="I1904" s="1"/>
      <c r="J1904" s="1"/>
      <c r="K1904" s="1"/>
      <c r="AA1904" s="1"/>
    </row>
    <row r="1905" spans="1:27" x14ac:dyDescent="0.25">
      <c r="A1905" t="s">
        <v>89</v>
      </c>
      <c r="B1905" t="str">
        <f t="shared" si="31"/>
        <v>55</v>
      </c>
      <c r="C1905" s="35">
        <v>2020</v>
      </c>
      <c r="D1905" s="1" t="s">
        <v>4</v>
      </c>
      <c r="E1905" s="36">
        <v>9177</v>
      </c>
      <c r="F1905" s="36">
        <v>6028</v>
      </c>
      <c r="G1905" s="36">
        <v>3149</v>
      </c>
      <c r="H1905" s="1" t="s">
        <v>2</v>
      </c>
      <c r="I1905" s="1"/>
      <c r="J1905" s="1"/>
      <c r="K1905" s="1"/>
      <c r="AA1905" s="1"/>
    </row>
    <row r="1906" spans="1:27" x14ac:dyDescent="0.25">
      <c r="A1906" t="s">
        <v>89</v>
      </c>
      <c r="B1906" t="str">
        <f t="shared" si="31"/>
        <v>55</v>
      </c>
      <c r="C1906" s="35">
        <v>2020</v>
      </c>
      <c r="D1906" s="35">
        <v>2019</v>
      </c>
      <c r="E1906" s="35">
        <v>26</v>
      </c>
      <c r="F1906" s="35">
        <v>15</v>
      </c>
      <c r="G1906" s="35">
        <v>11</v>
      </c>
      <c r="H1906" s="1" t="s">
        <v>2</v>
      </c>
      <c r="I1906" s="1"/>
      <c r="J1906" s="1"/>
      <c r="K1906" s="1"/>
      <c r="AA1906" s="1"/>
    </row>
    <row r="1907" spans="1:27" x14ac:dyDescent="0.25">
      <c r="A1907" t="s">
        <v>89</v>
      </c>
      <c r="B1907" t="str">
        <f t="shared" si="31"/>
        <v>55</v>
      </c>
      <c r="C1907" s="35">
        <v>2020</v>
      </c>
      <c r="D1907" s="35">
        <v>2020</v>
      </c>
      <c r="E1907" s="36">
        <v>9151</v>
      </c>
      <c r="F1907" s="36">
        <v>6013</v>
      </c>
      <c r="G1907" s="36">
        <v>3138</v>
      </c>
      <c r="H1907" s="1" t="s">
        <v>2</v>
      </c>
      <c r="I1907" s="1"/>
      <c r="J1907" s="1"/>
      <c r="K1907" s="1"/>
      <c r="AA1907" s="1"/>
    </row>
    <row r="1908" spans="1:27" x14ac:dyDescent="0.25">
      <c r="A1908" t="s">
        <v>89</v>
      </c>
      <c r="B1908" t="str">
        <f t="shared" si="31"/>
        <v>55</v>
      </c>
      <c r="C1908" s="35">
        <v>2021</v>
      </c>
      <c r="D1908" s="1" t="s">
        <v>4</v>
      </c>
      <c r="E1908" s="36">
        <v>8132</v>
      </c>
      <c r="F1908" s="36">
        <v>5070</v>
      </c>
      <c r="G1908" s="36">
        <v>3062</v>
      </c>
      <c r="H1908" s="1" t="s">
        <v>2</v>
      </c>
      <c r="I1908" s="1"/>
      <c r="J1908" s="1"/>
      <c r="K1908" s="1"/>
      <c r="AA1908" s="1"/>
    </row>
    <row r="1909" spans="1:27" x14ac:dyDescent="0.25">
      <c r="A1909" t="s">
        <v>89</v>
      </c>
      <c r="B1909" t="str">
        <f t="shared" si="31"/>
        <v>55</v>
      </c>
      <c r="C1909" s="35">
        <v>2021</v>
      </c>
      <c r="D1909" s="35">
        <v>2020</v>
      </c>
      <c r="E1909" s="35">
        <v>41</v>
      </c>
      <c r="F1909" s="35">
        <v>33</v>
      </c>
      <c r="G1909" s="35">
        <v>8</v>
      </c>
      <c r="H1909" s="1" t="s">
        <v>2</v>
      </c>
      <c r="I1909" s="1"/>
      <c r="J1909" s="1"/>
      <c r="K1909" s="1"/>
      <c r="AA1909" s="1"/>
    </row>
    <row r="1910" spans="1:27" x14ac:dyDescent="0.25">
      <c r="A1910" t="s">
        <v>89</v>
      </c>
      <c r="B1910" t="str">
        <f t="shared" si="31"/>
        <v>55</v>
      </c>
      <c r="C1910" s="35">
        <v>2021</v>
      </c>
      <c r="D1910" s="35">
        <v>2021</v>
      </c>
      <c r="E1910" s="36">
        <v>8091</v>
      </c>
      <c r="F1910" s="36">
        <v>5037</v>
      </c>
      <c r="G1910" s="36">
        <v>3054</v>
      </c>
      <c r="H1910" s="1" t="s">
        <v>2</v>
      </c>
      <c r="I1910" s="1"/>
      <c r="J1910" s="1"/>
      <c r="K1910" s="1"/>
      <c r="AA1910" s="1"/>
    </row>
    <row r="1911" spans="1:27" x14ac:dyDescent="0.25">
      <c r="A1911" t="s">
        <v>89</v>
      </c>
      <c r="B1911" t="str">
        <f t="shared" si="31"/>
        <v>55</v>
      </c>
      <c r="C1911" s="35">
        <v>2022</v>
      </c>
      <c r="D1911" s="1" t="s">
        <v>4</v>
      </c>
      <c r="E1911" s="36">
        <v>4472</v>
      </c>
      <c r="F1911" s="36">
        <v>2653</v>
      </c>
      <c r="G1911" s="36">
        <v>1819</v>
      </c>
      <c r="H1911" s="1" t="s">
        <v>2</v>
      </c>
      <c r="I1911" s="1"/>
      <c r="J1911" s="1"/>
      <c r="K1911" s="1"/>
      <c r="AA1911" s="1"/>
    </row>
    <row r="1912" spans="1:27" x14ac:dyDescent="0.25">
      <c r="A1912" t="s">
        <v>89</v>
      </c>
      <c r="B1912" t="str">
        <f t="shared" si="31"/>
        <v>55</v>
      </c>
      <c r="C1912" s="35">
        <v>2022</v>
      </c>
      <c r="D1912" s="35">
        <v>2006</v>
      </c>
      <c r="E1912" s="35">
        <v>1</v>
      </c>
      <c r="F1912" s="35">
        <v>1</v>
      </c>
      <c r="G1912" s="1" t="s">
        <v>2</v>
      </c>
      <c r="H1912" s="1" t="s">
        <v>2</v>
      </c>
      <c r="I1912" s="1"/>
      <c r="J1912" s="1"/>
      <c r="K1912" s="1"/>
      <c r="AA1912" s="1"/>
    </row>
    <row r="1913" spans="1:27" x14ac:dyDescent="0.25">
      <c r="A1913" t="s">
        <v>89</v>
      </c>
      <c r="B1913" t="str">
        <f t="shared" si="31"/>
        <v>55</v>
      </c>
      <c r="C1913" s="35">
        <v>2022</v>
      </c>
      <c r="D1913" s="35">
        <v>2008</v>
      </c>
      <c r="E1913" s="35">
        <v>1</v>
      </c>
      <c r="F1913" s="35">
        <v>1</v>
      </c>
      <c r="G1913" s="1" t="s">
        <v>2</v>
      </c>
      <c r="H1913" s="1" t="s">
        <v>2</v>
      </c>
      <c r="I1913" s="1"/>
      <c r="J1913" s="1"/>
      <c r="K1913" s="1"/>
      <c r="AA1913" s="1"/>
    </row>
    <row r="1914" spans="1:27" x14ac:dyDescent="0.25">
      <c r="A1914" t="s">
        <v>89</v>
      </c>
      <c r="B1914" t="str">
        <f t="shared" si="31"/>
        <v>55</v>
      </c>
      <c r="C1914" s="35">
        <v>2022</v>
      </c>
      <c r="D1914" s="35">
        <v>2009</v>
      </c>
      <c r="E1914" s="35">
        <v>2</v>
      </c>
      <c r="F1914" s="35">
        <v>2</v>
      </c>
      <c r="G1914" s="1" t="s">
        <v>2</v>
      </c>
      <c r="H1914" s="1" t="s">
        <v>2</v>
      </c>
      <c r="I1914" s="1"/>
      <c r="J1914" s="1"/>
      <c r="K1914" s="1"/>
      <c r="AA1914" s="1"/>
    </row>
    <row r="1915" spans="1:27" x14ac:dyDescent="0.25">
      <c r="A1915" t="s">
        <v>89</v>
      </c>
      <c r="B1915" t="str">
        <f t="shared" si="31"/>
        <v>55</v>
      </c>
      <c r="C1915" s="35">
        <v>2022</v>
      </c>
      <c r="D1915" s="35">
        <v>2021</v>
      </c>
      <c r="E1915" s="35">
        <v>13</v>
      </c>
      <c r="F1915" s="35">
        <v>10</v>
      </c>
      <c r="G1915" s="35">
        <v>3</v>
      </c>
      <c r="H1915" s="1" t="s">
        <v>2</v>
      </c>
      <c r="I1915" s="1"/>
      <c r="J1915" s="1"/>
      <c r="K1915" s="1"/>
      <c r="AA1915" s="1"/>
    </row>
    <row r="1916" spans="1:27" x14ac:dyDescent="0.25">
      <c r="A1916" t="s">
        <v>89</v>
      </c>
      <c r="B1916" t="str">
        <f t="shared" si="31"/>
        <v>55</v>
      </c>
      <c r="C1916" s="35">
        <v>2022</v>
      </c>
      <c r="D1916" s="35">
        <v>2022</v>
      </c>
      <c r="E1916" s="36">
        <v>4455</v>
      </c>
      <c r="F1916" s="36">
        <v>2639</v>
      </c>
      <c r="G1916" s="36">
        <v>1816</v>
      </c>
      <c r="H1916" s="1" t="s">
        <v>2</v>
      </c>
      <c r="I1916" s="1"/>
      <c r="J1916" s="1"/>
      <c r="K1916" s="1"/>
      <c r="AA1916" s="1"/>
    </row>
    <row r="1917" spans="1:27" x14ac:dyDescent="0.25">
      <c r="A1917" t="s">
        <v>89</v>
      </c>
      <c r="B1917" t="str">
        <f t="shared" si="31"/>
        <v>55</v>
      </c>
      <c r="C1917" s="35">
        <v>2023</v>
      </c>
      <c r="D1917" s="1" t="s">
        <v>4</v>
      </c>
      <c r="E1917" s="36">
        <v>4292</v>
      </c>
      <c r="F1917" s="36">
        <v>2540</v>
      </c>
      <c r="G1917" s="36">
        <v>1752</v>
      </c>
      <c r="H1917" s="1" t="s">
        <v>2</v>
      </c>
      <c r="I1917" s="1"/>
      <c r="J1917" s="1"/>
      <c r="K1917" s="1"/>
      <c r="AA1917" s="1"/>
    </row>
    <row r="1918" spans="1:27" x14ac:dyDescent="0.25">
      <c r="A1918" t="s">
        <v>89</v>
      </c>
      <c r="B1918" t="str">
        <f t="shared" si="31"/>
        <v>55</v>
      </c>
      <c r="C1918" s="35">
        <v>2023</v>
      </c>
      <c r="D1918" s="35">
        <v>2022</v>
      </c>
      <c r="E1918" s="35">
        <v>16</v>
      </c>
      <c r="F1918" s="35">
        <v>12</v>
      </c>
      <c r="G1918" s="35">
        <v>4</v>
      </c>
      <c r="H1918" s="1" t="s">
        <v>2</v>
      </c>
      <c r="I1918" s="1"/>
      <c r="J1918" s="1"/>
      <c r="K1918" s="1"/>
      <c r="AA1918" s="1"/>
    </row>
    <row r="1919" spans="1:27" x14ac:dyDescent="0.25">
      <c r="A1919" t="s">
        <v>89</v>
      </c>
      <c r="B1919" t="str">
        <f t="shared" si="31"/>
        <v>55</v>
      </c>
      <c r="C1919" s="35">
        <v>2023</v>
      </c>
      <c r="D1919" s="35">
        <v>2023</v>
      </c>
      <c r="E1919" s="36">
        <v>4276</v>
      </c>
      <c r="F1919" s="36">
        <v>2528</v>
      </c>
      <c r="G1919" s="36">
        <v>1748</v>
      </c>
      <c r="H1919" s="1" t="s">
        <v>2</v>
      </c>
      <c r="I1919" s="1"/>
      <c r="J1919" s="1"/>
      <c r="K1919" s="1"/>
      <c r="AA1919" s="1"/>
    </row>
    <row r="1920" spans="1:27" x14ac:dyDescent="0.25">
      <c r="A1920" t="s">
        <v>89</v>
      </c>
      <c r="B1920" t="str">
        <f t="shared" si="31"/>
        <v>55</v>
      </c>
      <c r="C1920" s="35">
        <v>2024</v>
      </c>
      <c r="D1920" s="1" t="s">
        <v>4</v>
      </c>
      <c r="E1920" s="36">
        <v>4271</v>
      </c>
      <c r="F1920" s="36">
        <v>2604</v>
      </c>
      <c r="G1920" s="36">
        <v>1667</v>
      </c>
      <c r="H1920" s="1" t="s">
        <v>2</v>
      </c>
      <c r="I1920" s="1"/>
      <c r="J1920" s="1"/>
      <c r="K1920" s="1"/>
      <c r="AA1920" s="1"/>
    </row>
    <row r="1921" spans="1:27" x14ac:dyDescent="0.25">
      <c r="A1921" t="s">
        <v>89</v>
      </c>
      <c r="B1921" t="str">
        <f t="shared" si="31"/>
        <v>55</v>
      </c>
      <c r="C1921" s="35">
        <v>2024</v>
      </c>
      <c r="D1921" s="35">
        <v>2023</v>
      </c>
      <c r="E1921" s="35">
        <v>13</v>
      </c>
      <c r="F1921" s="35">
        <v>10</v>
      </c>
      <c r="G1921" s="35">
        <v>3</v>
      </c>
      <c r="H1921" s="1" t="s">
        <v>2</v>
      </c>
      <c r="I1921" s="1"/>
      <c r="J1921" s="1"/>
      <c r="K1921" s="1"/>
      <c r="AA1921" s="1"/>
    </row>
    <row r="1922" spans="1:27" x14ac:dyDescent="0.25">
      <c r="A1922" t="s">
        <v>89</v>
      </c>
      <c r="B1922" t="str">
        <f t="shared" si="31"/>
        <v>55</v>
      </c>
      <c r="C1922" s="35">
        <v>2024</v>
      </c>
      <c r="D1922" s="35">
        <v>2024</v>
      </c>
      <c r="E1922" s="36">
        <v>4258</v>
      </c>
      <c r="F1922" s="36">
        <v>2594</v>
      </c>
      <c r="G1922" s="36">
        <v>1664</v>
      </c>
      <c r="H1922" s="1" t="s">
        <v>2</v>
      </c>
      <c r="I1922" s="1"/>
      <c r="J1922" s="1"/>
      <c r="K1922" s="1"/>
      <c r="AA1922" s="1"/>
    </row>
    <row r="1923" spans="1:27" x14ac:dyDescent="0.25">
      <c r="A1923" t="s">
        <v>90</v>
      </c>
      <c r="B1923" t="str">
        <f t="shared" si="31"/>
        <v>60</v>
      </c>
      <c r="C1923" s="35">
        <v>1990</v>
      </c>
      <c r="D1923" s="1" t="s">
        <v>4</v>
      </c>
      <c r="E1923" s="36">
        <v>3183</v>
      </c>
      <c r="F1923" s="36">
        <v>1673</v>
      </c>
      <c r="G1923" s="36">
        <v>1510</v>
      </c>
      <c r="H1923" s="1" t="s">
        <v>2</v>
      </c>
      <c r="I1923" s="1"/>
      <c r="J1923" s="1"/>
      <c r="K1923" s="1"/>
      <c r="AA1923" s="1"/>
    </row>
    <row r="1924" spans="1:27" x14ac:dyDescent="0.25">
      <c r="A1924" t="s">
        <v>90</v>
      </c>
      <c r="B1924" t="str">
        <f t="shared" si="31"/>
        <v>60</v>
      </c>
      <c r="C1924" s="35">
        <v>1990</v>
      </c>
      <c r="D1924" s="35">
        <v>1990</v>
      </c>
      <c r="E1924" s="36">
        <v>3176</v>
      </c>
      <c r="F1924" s="36">
        <v>1669</v>
      </c>
      <c r="G1924" s="36">
        <v>1507</v>
      </c>
      <c r="H1924" s="1" t="s">
        <v>2</v>
      </c>
      <c r="I1924" s="1"/>
      <c r="J1924" s="1"/>
      <c r="K1924" s="1"/>
      <c r="AA1924" s="1"/>
    </row>
    <row r="1925" spans="1:27" x14ac:dyDescent="0.25">
      <c r="A1925" t="s">
        <v>90</v>
      </c>
      <c r="B1925" t="str">
        <f t="shared" si="31"/>
        <v>60</v>
      </c>
      <c r="C1925" s="35">
        <v>1990</v>
      </c>
      <c r="D1925" s="1" t="s">
        <v>24</v>
      </c>
      <c r="E1925" s="35">
        <v>7</v>
      </c>
      <c r="F1925" s="35">
        <v>4</v>
      </c>
      <c r="G1925" s="35">
        <v>3</v>
      </c>
      <c r="H1925" s="1" t="s">
        <v>2</v>
      </c>
      <c r="I1925" s="1"/>
      <c r="J1925" s="1"/>
      <c r="K1925" s="1"/>
      <c r="AA1925" s="1"/>
    </row>
    <row r="1926" spans="1:27" x14ac:dyDescent="0.25">
      <c r="A1926" t="s">
        <v>90</v>
      </c>
      <c r="B1926" t="str">
        <f t="shared" si="31"/>
        <v>60</v>
      </c>
      <c r="C1926" s="35">
        <v>1991</v>
      </c>
      <c r="D1926" s="1" t="s">
        <v>4</v>
      </c>
      <c r="E1926" s="36">
        <v>3348</v>
      </c>
      <c r="F1926" s="36">
        <v>1806</v>
      </c>
      <c r="G1926" s="36">
        <v>1541</v>
      </c>
      <c r="H1926" s="35">
        <v>1</v>
      </c>
      <c r="I1926" s="1"/>
      <c r="J1926" s="1"/>
      <c r="K1926" s="1"/>
      <c r="AA1926" s="1"/>
    </row>
    <row r="1927" spans="1:27" x14ac:dyDescent="0.25">
      <c r="A1927" t="s">
        <v>90</v>
      </c>
      <c r="B1927" t="str">
        <f t="shared" ref="B1927:B1990" si="32">IF(A1927="Menores de 1 año",0,LEFT(A1927,2))</f>
        <v>60</v>
      </c>
      <c r="C1927" s="35">
        <v>1991</v>
      </c>
      <c r="D1927" s="35">
        <v>1991</v>
      </c>
      <c r="E1927" s="36">
        <v>3344</v>
      </c>
      <c r="F1927" s="36">
        <v>1802</v>
      </c>
      <c r="G1927" s="36">
        <v>1541</v>
      </c>
      <c r="H1927" s="35">
        <v>1</v>
      </c>
      <c r="I1927" s="1"/>
      <c r="J1927" s="1"/>
      <c r="K1927" s="1"/>
      <c r="AA1927" s="1"/>
    </row>
    <row r="1928" spans="1:27" x14ac:dyDescent="0.25">
      <c r="A1928" t="s">
        <v>90</v>
      </c>
      <c r="B1928" t="str">
        <f t="shared" si="32"/>
        <v>60</v>
      </c>
      <c r="C1928" s="35">
        <v>1991</v>
      </c>
      <c r="D1928" s="1" t="s">
        <v>24</v>
      </c>
      <c r="E1928" s="35">
        <v>4</v>
      </c>
      <c r="F1928" s="35">
        <v>4</v>
      </c>
      <c r="G1928" s="1" t="s">
        <v>2</v>
      </c>
      <c r="H1928" s="1" t="s">
        <v>2</v>
      </c>
      <c r="I1928" s="1"/>
      <c r="J1928" s="1"/>
      <c r="K1928" s="1"/>
      <c r="AA1928" s="1"/>
    </row>
    <row r="1929" spans="1:27" x14ac:dyDescent="0.25">
      <c r="A1929" t="s">
        <v>90</v>
      </c>
      <c r="B1929" t="str">
        <f t="shared" si="32"/>
        <v>60</v>
      </c>
      <c r="C1929" s="35">
        <v>1992</v>
      </c>
      <c r="D1929" s="1" t="s">
        <v>4</v>
      </c>
      <c r="E1929" s="36">
        <v>3483</v>
      </c>
      <c r="F1929" s="36">
        <v>1891</v>
      </c>
      <c r="G1929" s="36">
        <v>1592</v>
      </c>
      <c r="H1929" s="1" t="s">
        <v>2</v>
      </c>
      <c r="I1929" s="1"/>
      <c r="J1929" s="1"/>
      <c r="K1929" s="1"/>
      <c r="AA1929" s="1"/>
    </row>
    <row r="1930" spans="1:27" x14ac:dyDescent="0.25">
      <c r="A1930" t="s">
        <v>90</v>
      </c>
      <c r="B1930" t="str">
        <f t="shared" si="32"/>
        <v>60</v>
      </c>
      <c r="C1930" s="35">
        <v>1992</v>
      </c>
      <c r="D1930" s="35">
        <v>1992</v>
      </c>
      <c r="E1930" s="36">
        <v>3480</v>
      </c>
      <c r="F1930" s="36">
        <v>1888</v>
      </c>
      <c r="G1930" s="36">
        <v>1592</v>
      </c>
      <c r="H1930" s="1" t="s">
        <v>2</v>
      </c>
      <c r="I1930" s="1"/>
      <c r="J1930" s="1"/>
      <c r="K1930" s="1"/>
      <c r="AA1930" s="1"/>
    </row>
    <row r="1931" spans="1:27" x14ac:dyDescent="0.25">
      <c r="A1931" t="s">
        <v>90</v>
      </c>
      <c r="B1931" t="str">
        <f t="shared" si="32"/>
        <v>60</v>
      </c>
      <c r="C1931" s="35">
        <v>1992</v>
      </c>
      <c r="D1931" s="1" t="s">
        <v>24</v>
      </c>
      <c r="E1931" s="35">
        <v>3</v>
      </c>
      <c r="F1931" s="35">
        <v>3</v>
      </c>
      <c r="G1931" s="1" t="s">
        <v>2</v>
      </c>
      <c r="H1931" s="1" t="s">
        <v>2</v>
      </c>
      <c r="I1931" s="1"/>
      <c r="J1931" s="1"/>
      <c r="K1931" s="1"/>
      <c r="AA1931" s="1"/>
    </row>
    <row r="1932" spans="1:27" x14ac:dyDescent="0.25">
      <c r="A1932" t="s">
        <v>90</v>
      </c>
      <c r="B1932" t="str">
        <f t="shared" si="32"/>
        <v>60</v>
      </c>
      <c r="C1932" s="35">
        <v>1993</v>
      </c>
      <c r="D1932" s="1" t="s">
        <v>4</v>
      </c>
      <c r="E1932" s="36">
        <v>3599</v>
      </c>
      <c r="F1932" s="36">
        <v>1898</v>
      </c>
      <c r="G1932" s="36">
        <v>1701</v>
      </c>
      <c r="H1932" s="1" t="s">
        <v>2</v>
      </c>
      <c r="I1932" s="1"/>
      <c r="J1932" s="1"/>
      <c r="K1932" s="1"/>
      <c r="AA1932" s="1"/>
    </row>
    <row r="1933" spans="1:27" x14ac:dyDescent="0.25">
      <c r="A1933" t="s">
        <v>90</v>
      </c>
      <c r="B1933" t="str">
        <f t="shared" si="32"/>
        <v>60</v>
      </c>
      <c r="C1933" s="35">
        <v>1993</v>
      </c>
      <c r="D1933" s="35">
        <v>1913</v>
      </c>
      <c r="E1933" s="35">
        <v>1</v>
      </c>
      <c r="F1933" s="1" t="s">
        <v>2</v>
      </c>
      <c r="G1933" s="35">
        <v>1</v>
      </c>
      <c r="H1933" s="1" t="s">
        <v>2</v>
      </c>
      <c r="I1933" s="1"/>
      <c r="J1933" s="1"/>
      <c r="K1933" s="1"/>
      <c r="AA1933" s="1"/>
    </row>
    <row r="1934" spans="1:27" x14ac:dyDescent="0.25">
      <c r="A1934" t="s">
        <v>90</v>
      </c>
      <c r="B1934" t="str">
        <f t="shared" si="32"/>
        <v>60</v>
      </c>
      <c r="C1934" s="35">
        <v>1993</v>
      </c>
      <c r="D1934" s="35">
        <v>1992</v>
      </c>
      <c r="E1934" s="35">
        <v>11</v>
      </c>
      <c r="F1934" s="35">
        <v>6</v>
      </c>
      <c r="G1934" s="35">
        <v>5</v>
      </c>
      <c r="H1934" s="1" t="s">
        <v>2</v>
      </c>
      <c r="I1934" s="1"/>
      <c r="J1934" s="1"/>
      <c r="K1934" s="1"/>
      <c r="AA1934" s="1"/>
    </row>
    <row r="1935" spans="1:27" x14ac:dyDescent="0.25">
      <c r="A1935" t="s">
        <v>90</v>
      </c>
      <c r="B1935" t="str">
        <f t="shared" si="32"/>
        <v>60</v>
      </c>
      <c r="C1935" s="35">
        <v>1993</v>
      </c>
      <c r="D1935" s="35">
        <v>1993</v>
      </c>
      <c r="E1935" s="36">
        <v>3581</v>
      </c>
      <c r="F1935" s="36">
        <v>1887</v>
      </c>
      <c r="G1935" s="36">
        <v>1694</v>
      </c>
      <c r="H1935" s="1" t="s">
        <v>2</v>
      </c>
      <c r="I1935" s="1"/>
      <c r="J1935" s="1"/>
      <c r="K1935" s="1"/>
      <c r="AA1935" s="1"/>
    </row>
    <row r="1936" spans="1:27" x14ac:dyDescent="0.25">
      <c r="A1936" t="s">
        <v>90</v>
      </c>
      <c r="B1936" t="str">
        <f t="shared" si="32"/>
        <v>60</v>
      </c>
      <c r="C1936" s="35">
        <v>1993</v>
      </c>
      <c r="D1936" s="1" t="s">
        <v>24</v>
      </c>
      <c r="E1936" s="35">
        <v>6</v>
      </c>
      <c r="F1936" s="35">
        <v>5</v>
      </c>
      <c r="G1936" s="35">
        <v>1</v>
      </c>
      <c r="H1936" s="1" t="s">
        <v>2</v>
      </c>
      <c r="I1936" s="1"/>
      <c r="J1936" s="1"/>
      <c r="K1936" s="1"/>
      <c r="AA1936" s="1"/>
    </row>
    <row r="1937" spans="1:27" x14ac:dyDescent="0.25">
      <c r="A1937" t="s">
        <v>90</v>
      </c>
      <c r="B1937" t="str">
        <f t="shared" si="32"/>
        <v>60</v>
      </c>
      <c r="C1937" s="35">
        <v>1994</v>
      </c>
      <c r="D1937" s="1" t="s">
        <v>4</v>
      </c>
      <c r="E1937" s="36">
        <v>3425</v>
      </c>
      <c r="F1937" s="36">
        <v>1793</v>
      </c>
      <c r="G1937" s="36">
        <v>1632</v>
      </c>
      <c r="H1937" s="1" t="s">
        <v>2</v>
      </c>
      <c r="I1937" s="1"/>
      <c r="J1937" s="1"/>
      <c r="K1937" s="1"/>
      <c r="AA1937" s="1"/>
    </row>
    <row r="1938" spans="1:27" x14ac:dyDescent="0.25">
      <c r="A1938" t="s">
        <v>90</v>
      </c>
      <c r="B1938" t="str">
        <f t="shared" si="32"/>
        <v>60</v>
      </c>
      <c r="C1938" s="35">
        <v>1994</v>
      </c>
      <c r="D1938" s="35">
        <v>1949</v>
      </c>
      <c r="E1938" s="35">
        <v>1</v>
      </c>
      <c r="F1938" s="35">
        <v>1</v>
      </c>
      <c r="G1938" s="1" t="s">
        <v>2</v>
      </c>
      <c r="H1938" s="1" t="s">
        <v>2</v>
      </c>
      <c r="I1938" s="1"/>
      <c r="J1938" s="1"/>
      <c r="K1938" s="1"/>
      <c r="AA1938" s="1"/>
    </row>
    <row r="1939" spans="1:27" x14ac:dyDescent="0.25">
      <c r="A1939" t="s">
        <v>90</v>
      </c>
      <c r="B1939" t="str">
        <f t="shared" si="32"/>
        <v>60</v>
      </c>
      <c r="C1939" s="35">
        <v>1994</v>
      </c>
      <c r="D1939" s="35">
        <v>1991</v>
      </c>
      <c r="E1939" s="35">
        <v>3</v>
      </c>
      <c r="F1939" s="35">
        <v>2</v>
      </c>
      <c r="G1939" s="35">
        <v>1</v>
      </c>
      <c r="H1939" s="1" t="s">
        <v>2</v>
      </c>
      <c r="I1939" s="1"/>
      <c r="J1939" s="1"/>
      <c r="K1939" s="1"/>
      <c r="AA1939" s="1"/>
    </row>
    <row r="1940" spans="1:27" x14ac:dyDescent="0.25">
      <c r="A1940" t="s">
        <v>90</v>
      </c>
      <c r="B1940" t="str">
        <f t="shared" si="32"/>
        <v>60</v>
      </c>
      <c r="C1940" s="35">
        <v>1994</v>
      </c>
      <c r="D1940" s="35">
        <v>1993</v>
      </c>
      <c r="E1940" s="35">
        <v>11</v>
      </c>
      <c r="F1940" s="35">
        <v>7</v>
      </c>
      <c r="G1940" s="35">
        <v>4</v>
      </c>
      <c r="H1940" s="1" t="s">
        <v>2</v>
      </c>
      <c r="I1940" s="1"/>
      <c r="J1940" s="1"/>
      <c r="K1940" s="1"/>
      <c r="AA1940" s="1"/>
    </row>
    <row r="1941" spans="1:27" x14ac:dyDescent="0.25">
      <c r="A1941" t="s">
        <v>90</v>
      </c>
      <c r="B1941" t="str">
        <f t="shared" si="32"/>
        <v>60</v>
      </c>
      <c r="C1941" s="35">
        <v>1994</v>
      </c>
      <c r="D1941" s="35">
        <v>1994</v>
      </c>
      <c r="E1941" s="36">
        <v>3410</v>
      </c>
      <c r="F1941" s="36">
        <v>1783</v>
      </c>
      <c r="G1941" s="36">
        <v>1627</v>
      </c>
      <c r="H1941" s="1" t="s">
        <v>2</v>
      </c>
      <c r="I1941" s="1"/>
      <c r="J1941" s="1"/>
      <c r="K1941" s="1"/>
      <c r="AA1941" s="1"/>
    </row>
    <row r="1942" spans="1:27" x14ac:dyDescent="0.25">
      <c r="A1942" t="s">
        <v>90</v>
      </c>
      <c r="B1942" t="str">
        <f t="shared" si="32"/>
        <v>60</v>
      </c>
      <c r="C1942" s="35">
        <v>1995</v>
      </c>
      <c r="D1942" s="1" t="s">
        <v>4</v>
      </c>
      <c r="E1942" s="36">
        <v>3471</v>
      </c>
      <c r="F1942" s="36">
        <v>1854</v>
      </c>
      <c r="G1942" s="36">
        <v>1617</v>
      </c>
      <c r="H1942" s="1" t="s">
        <v>2</v>
      </c>
      <c r="I1942" s="1"/>
      <c r="J1942" s="1"/>
      <c r="K1942" s="1"/>
      <c r="AA1942" s="1"/>
    </row>
    <row r="1943" spans="1:27" x14ac:dyDescent="0.25">
      <c r="A1943" t="s">
        <v>90</v>
      </c>
      <c r="B1943" t="str">
        <f t="shared" si="32"/>
        <v>60</v>
      </c>
      <c r="C1943" s="35">
        <v>1995</v>
      </c>
      <c r="D1943" s="35">
        <v>1975</v>
      </c>
      <c r="E1943" s="35">
        <v>1</v>
      </c>
      <c r="F1943" s="35">
        <v>1</v>
      </c>
      <c r="G1943" s="1" t="s">
        <v>2</v>
      </c>
      <c r="H1943" s="1" t="s">
        <v>2</v>
      </c>
      <c r="I1943" s="1"/>
      <c r="J1943" s="1"/>
      <c r="K1943" s="1"/>
      <c r="AA1943" s="1"/>
    </row>
    <row r="1944" spans="1:27" x14ac:dyDescent="0.25">
      <c r="A1944" t="s">
        <v>90</v>
      </c>
      <c r="B1944" t="str">
        <f t="shared" si="32"/>
        <v>60</v>
      </c>
      <c r="C1944" s="35">
        <v>1995</v>
      </c>
      <c r="D1944" s="35">
        <v>1990</v>
      </c>
      <c r="E1944" s="35">
        <v>1</v>
      </c>
      <c r="F1944" s="35">
        <v>1</v>
      </c>
      <c r="G1944" s="1" t="s">
        <v>2</v>
      </c>
      <c r="H1944" s="1" t="s">
        <v>2</v>
      </c>
      <c r="I1944" s="1"/>
      <c r="J1944" s="1"/>
      <c r="K1944" s="1"/>
      <c r="AA1944" s="1"/>
    </row>
    <row r="1945" spans="1:27" x14ac:dyDescent="0.25">
      <c r="A1945" t="s">
        <v>90</v>
      </c>
      <c r="B1945" t="str">
        <f t="shared" si="32"/>
        <v>60</v>
      </c>
      <c r="C1945" s="35">
        <v>1995</v>
      </c>
      <c r="D1945" s="35">
        <v>1993</v>
      </c>
      <c r="E1945" s="35">
        <v>1</v>
      </c>
      <c r="F1945" s="35">
        <v>1</v>
      </c>
      <c r="G1945" s="1" t="s">
        <v>2</v>
      </c>
      <c r="H1945" s="1" t="s">
        <v>2</v>
      </c>
      <c r="I1945" s="1"/>
      <c r="J1945" s="1"/>
      <c r="K1945" s="1"/>
      <c r="AA1945" s="1"/>
    </row>
    <row r="1946" spans="1:27" x14ac:dyDescent="0.25">
      <c r="A1946" t="s">
        <v>90</v>
      </c>
      <c r="B1946" t="str">
        <f t="shared" si="32"/>
        <v>60</v>
      </c>
      <c r="C1946" s="35">
        <v>1995</v>
      </c>
      <c r="D1946" s="35">
        <v>1994</v>
      </c>
      <c r="E1946" s="35">
        <v>24</v>
      </c>
      <c r="F1946" s="35">
        <v>19</v>
      </c>
      <c r="G1946" s="35">
        <v>5</v>
      </c>
      <c r="H1946" s="1" t="s">
        <v>2</v>
      </c>
      <c r="I1946" s="1"/>
      <c r="J1946" s="1"/>
      <c r="K1946" s="1"/>
      <c r="AA1946" s="1"/>
    </row>
    <row r="1947" spans="1:27" x14ac:dyDescent="0.25">
      <c r="A1947" t="s">
        <v>90</v>
      </c>
      <c r="B1947" t="str">
        <f t="shared" si="32"/>
        <v>60</v>
      </c>
      <c r="C1947" s="35">
        <v>1995</v>
      </c>
      <c r="D1947" s="35">
        <v>1995</v>
      </c>
      <c r="E1947" s="36">
        <v>3444</v>
      </c>
      <c r="F1947" s="36">
        <v>1832</v>
      </c>
      <c r="G1947" s="36">
        <v>1612</v>
      </c>
      <c r="H1947" s="1" t="s">
        <v>2</v>
      </c>
      <c r="I1947" s="1"/>
      <c r="J1947" s="1"/>
      <c r="K1947" s="1"/>
      <c r="AA1947" s="1"/>
    </row>
    <row r="1948" spans="1:27" x14ac:dyDescent="0.25">
      <c r="A1948" t="s">
        <v>90</v>
      </c>
      <c r="B1948" t="str">
        <f t="shared" si="32"/>
        <v>60</v>
      </c>
      <c r="C1948" s="35">
        <v>1996</v>
      </c>
      <c r="D1948" s="1" t="s">
        <v>4</v>
      </c>
      <c r="E1948" s="36">
        <v>3481</v>
      </c>
      <c r="F1948" s="36">
        <v>1835</v>
      </c>
      <c r="G1948" s="36">
        <v>1646</v>
      </c>
      <c r="H1948" s="1" t="s">
        <v>2</v>
      </c>
      <c r="I1948" s="1"/>
      <c r="J1948" s="1"/>
      <c r="K1948" s="1"/>
      <c r="AA1948" s="1"/>
    </row>
    <row r="1949" spans="1:27" x14ac:dyDescent="0.25">
      <c r="A1949" t="s">
        <v>90</v>
      </c>
      <c r="B1949" t="str">
        <f t="shared" si="32"/>
        <v>60</v>
      </c>
      <c r="C1949" s="35">
        <v>1996</v>
      </c>
      <c r="D1949" s="35">
        <v>1940</v>
      </c>
      <c r="E1949" s="35">
        <v>1</v>
      </c>
      <c r="F1949" s="1" t="s">
        <v>2</v>
      </c>
      <c r="G1949" s="35">
        <v>1</v>
      </c>
      <c r="H1949" s="1" t="s">
        <v>2</v>
      </c>
      <c r="I1949" s="1"/>
      <c r="J1949" s="1"/>
      <c r="K1949" s="1"/>
      <c r="AA1949" s="1"/>
    </row>
    <row r="1950" spans="1:27" x14ac:dyDescent="0.25">
      <c r="A1950" t="s">
        <v>90</v>
      </c>
      <c r="B1950" t="str">
        <f t="shared" si="32"/>
        <v>60</v>
      </c>
      <c r="C1950" s="35">
        <v>1996</v>
      </c>
      <c r="D1950" s="35">
        <v>1995</v>
      </c>
      <c r="E1950" s="35">
        <v>18</v>
      </c>
      <c r="F1950" s="35">
        <v>12</v>
      </c>
      <c r="G1950" s="35">
        <v>6</v>
      </c>
      <c r="H1950" s="1" t="s">
        <v>2</v>
      </c>
      <c r="I1950" s="1"/>
      <c r="J1950" s="1"/>
      <c r="K1950" s="1"/>
      <c r="AA1950" s="1"/>
    </row>
    <row r="1951" spans="1:27" x14ac:dyDescent="0.25">
      <c r="A1951" t="s">
        <v>90</v>
      </c>
      <c r="B1951" t="str">
        <f t="shared" si="32"/>
        <v>60</v>
      </c>
      <c r="C1951" s="35">
        <v>1996</v>
      </c>
      <c r="D1951" s="35">
        <v>1996</v>
      </c>
      <c r="E1951" s="36">
        <v>3462</v>
      </c>
      <c r="F1951" s="36">
        <v>1823</v>
      </c>
      <c r="G1951" s="36">
        <v>1639</v>
      </c>
      <c r="H1951" s="1" t="s">
        <v>2</v>
      </c>
      <c r="I1951" s="1"/>
      <c r="J1951" s="1"/>
      <c r="K1951" s="1"/>
      <c r="AA1951" s="1"/>
    </row>
    <row r="1952" spans="1:27" x14ac:dyDescent="0.25">
      <c r="A1952" t="s">
        <v>90</v>
      </c>
      <c r="B1952" t="str">
        <f t="shared" si="32"/>
        <v>60</v>
      </c>
      <c r="C1952" s="35">
        <v>1997</v>
      </c>
      <c r="D1952" s="1" t="s">
        <v>4</v>
      </c>
      <c r="E1952" s="36">
        <v>3466</v>
      </c>
      <c r="F1952" s="36">
        <v>1835</v>
      </c>
      <c r="G1952" s="36">
        <v>1631</v>
      </c>
      <c r="H1952" s="1" t="s">
        <v>2</v>
      </c>
      <c r="I1952" s="1"/>
      <c r="J1952" s="1"/>
      <c r="K1952" s="1"/>
      <c r="AA1952" s="1"/>
    </row>
    <row r="1953" spans="1:27" x14ac:dyDescent="0.25">
      <c r="A1953" t="s">
        <v>90</v>
      </c>
      <c r="B1953" t="str">
        <f t="shared" si="32"/>
        <v>60</v>
      </c>
      <c r="C1953" s="35">
        <v>1997</v>
      </c>
      <c r="D1953" s="35">
        <v>1943</v>
      </c>
      <c r="E1953" s="35">
        <v>1</v>
      </c>
      <c r="F1953" s="1" t="s">
        <v>2</v>
      </c>
      <c r="G1953" s="35">
        <v>1</v>
      </c>
      <c r="H1953" s="1" t="s">
        <v>2</v>
      </c>
      <c r="I1953" s="1"/>
      <c r="J1953" s="1"/>
      <c r="K1953" s="1"/>
      <c r="AA1953" s="1"/>
    </row>
    <row r="1954" spans="1:27" x14ac:dyDescent="0.25">
      <c r="A1954" t="s">
        <v>90</v>
      </c>
      <c r="B1954" t="str">
        <f t="shared" si="32"/>
        <v>60</v>
      </c>
      <c r="C1954" s="35">
        <v>1997</v>
      </c>
      <c r="D1954" s="35">
        <v>1991</v>
      </c>
      <c r="E1954" s="35">
        <v>1</v>
      </c>
      <c r="F1954" s="1" t="s">
        <v>2</v>
      </c>
      <c r="G1954" s="35">
        <v>1</v>
      </c>
      <c r="H1954" s="1" t="s">
        <v>2</v>
      </c>
      <c r="I1954" s="1"/>
      <c r="J1954" s="1"/>
      <c r="K1954" s="1"/>
      <c r="AA1954" s="1"/>
    </row>
    <row r="1955" spans="1:27" x14ac:dyDescent="0.25">
      <c r="A1955" t="s">
        <v>90</v>
      </c>
      <c r="B1955" t="str">
        <f t="shared" si="32"/>
        <v>60</v>
      </c>
      <c r="C1955" s="35">
        <v>1997</v>
      </c>
      <c r="D1955" s="35">
        <v>1994</v>
      </c>
      <c r="E1955" s="35">
        <v>1</v>
      </c>
      <c r="F1955" s="35">
        <v>1</v>
      </c>
      <c r="G1955" s="1" t="s">
        <v>2</v>
      </c>
      <c r="H1955" s="1" t="s">
        <v>2</v>
      </c>
      <c r="I1955" s="1"/>
      <c r="J1955" s="1"/>
      <c r="K1955" s="1"/>
      <c r="AA1955" s="1"/>
    </row>
    <row r="1956" spans="1:27" x14ac:dyDescent="0.25">
      <c r="A1956" t="s">
        <v>90</v>
      </c>
      <c r="B1956" t="str">
        <f t="shared" si="32"/>
        <v>60</v>
      </c>
      <c r="C1956" s="35">
        <v>1997</v>
      </c>
      <c r="D1956" s="35">
        <v>1996</v>
      </c>
      <c r="E1956" s="35">
        <v>13</v>
      </c>
      <c r="F1956" s="35">
        <v>3</v>
      </c>
      <c r="G1956" s="35">
        <v>10</v>
      </c>
      <c r="H1956" s="1" t="s">
        <v>2</v>
      </c>
      <c r="I1956" s="1"/>
      <c r="J1956" s="1"/>
      <c r="K1956" s="1"/>
      <c r="AA1956" s="1"/>
    </row>
    <row r="1957" spans="1:27" x14ac:dyDescent="0.25">
      <c r="A1957" t="s">
        <v>90</v>
      </c>
      <c r="B1957" t="str">
        <f t="shared" si="32"/>
        <v>60</v>
      </c>
      <c r="C1957" s="35">
        <v>1997</v>
      </c>
      <c r="D1957" s="35">
        <v>1997</v>
      </c>
      <c r="E1957" s="36">
        <v>3450</v>
      </c>
      <c r="F1957" s="36">
        <v>1831</v>
      </c>
      <c r="G1957" s="36">
        <v>1619</v>
      </c>
      <c r="H1957" s="1" t="s">
        <v>2</v>
      </c>
      <c r="I1957" s="1"/>
      <c r="J1957" s="1"/>
      <c r="K1957" s="1"/>
      <c r="AA1957" s="1"/>
    </row>
    <row r="1958" spans="1:27" x14ac:dyDescent="0.25">
      <c r="A1958" t="s">
        <v>90</v>
      </c>
      <c r="B1958" t="str">
        <f t="shared" si="32"/>
        <v>60</v>
      </c>
      <c r="C1958" s="35">
        <v>1998</v>
      </c>
      <c r="D1958" s="1" t="s">
        <v>4</v>
      </c>
      <c r="E1958" s="36">
        <v>3418</v>
      </c>
      <c r="F1958" s="36">
        <v>1812</v>
      </c>
      <c r="G1958" s="36">
        <v>1606</v>
      </c>
      <c r="H1958" s="1" t="s">
        <v>2</v>
      </c>
      <c r="I1958" s="1"/>
      <c r="J1958" s="1"/>
      <c r="K1958" s="1"/>
      <c r="AA1958" s="1"/>
    </row>
    <row r="1959" spans="1:27" x14ac:dyDescent="0.25">
      <c r="A1959" t="s">
        <v>90</v>
      </c>
      <c r="B1959" t="str">
        <f t="shared" si="32"/>
        <v>60</v>
      </c>
      <c r="C1959" s="35">
        <v>1998</v>
      </c>
      <c r="D1959" s="35">
        <v>1900</v>
      </c>
      <c r="E1959" s="35">
        <v>1</v>
      </c>
      <c r="F1959" s="35">
        <v>1</v>
      </c>
      <c r="G1959" s="1" t="s">
        <v>2</v>
      </c>
      <c r="H1959" s="1" t="s">
        <v>2</v>
      </c>
      <c r="I1959" s="1"/>
      <c r="J1959" s="1"/>
      <c r="K1959" s="1"/>
      <c r="AA1959" s="1"/>
    </row>
    <row r="1960" spans="1:27" x14ac:dyDescent="0.25">
      <c r="A1960" t="s">
        <v>90</v>
      </c>
      <c r="B1960" t="str">
        <f t="shared" si="32"/>
        <v>60</v>
      </c>
      <c r="C1960" s="35">
        <v>1998</v>
      </c>
      <c r="D1960" s="35">
        <v>1980</v>
      </c>
      <c r="E1960" s="35">
        <v>1</v>
      </c>
      <c r="F1960" s="35">
        <v>1</v>
      </c>
      <c r="G1960" s="1" t="s">
        <v>2</v>
      </c>
      <c r="H1960" s="1" t="s">
        <v>2</v>
      </c>
      <c r="I1960" s="1"/>
      <c r="J1960" s="1"/>
      <c r="K1960" s="1"/>
      <c r="AA1960" s="1"/>
    </row>
    <row r="1961" spans="1:27" x14ac:dyDescent="0.25">
      <c r="A1961" t="s">
        <v>90</v>
      </c>
      <c r="B1961" t="str">
        <f t="shared" si="32"/>
        <v>60</v>
      </c>
      <c r="C1961" s="35">
        <v>1998</v>
      </c>
      <c r="D1961" s="35">
        <v>1996</v>
      </c>
      <c r="E1961" s="35">
        <v>1</v>
      </c>
      <c r="F1961" s="1" t="s">
        <v>2</v>
      </c>
      <c r="G1961" s="35">
        <v>1</v>
      </c>
      <c r="H1961" s="1" t="s">
        <v>2</v>
      </c>
      <c r="I1961" s="1"/>
      <c r="J1961" s="1"/>
      <c r="K1961" s="1"/>
      <c r="AA1961" s="1"/>
    </row>
    <row r="1962" spans="1:27" x14ac:dyDescent="0.25">
      <c r="A1962" t="s">
        <v>90</v>
      </c>
      <c r="B1962" t="str">
        <f t="shared" si="32"/>
        <v>60</v>
      </c>
      <c r="C1962" s="35">
        <v>1998</v>
      </c>
      <c r="D1962" s="35">
        <v>1997</v>
      </c>
      <c r="E1962" s="35">
        <v>11</v>
      </c>
      <c r="F1962" s="35">
        <v>5</v>
      </c>
      <c r="G1962" s="35">
        <v>6</v>
      </c>
      <c r="H1962" s="1" t="s">
        <v>2</v>
      </c>
      <c r="I1962" s="1"/>
      <c r="J1962" s="1"/>
      <c r="K1962" s="1"/>
      <c r="AA1962" s="1"/>
    </row>
    <row r="1963" spans="1:27" x14ac:dyDescent="0.25">
      <c r="A1963" t="s">
        <v>90</v>
      </c>
      <c r="B1963" t="str">
        <f t="shared" si="32"/>
        <v>60</v>
      </c>
      <c r="C1963" s="35">
        <v>1998</v>
      </c>
      <c r="D1963" s="35">
        <v>1998</v>
      </c>
      <c r="E1963" s="36">
        <v>3404</v>
      </c>
      <c r="F1963" s="36">
        <v>1805</v>
      </c>
      <c r="G1963" s="36">
        <v>1599</v>
      </c>
      <c r="H1963" s="1" t="s">
        <v>2</v>
      </c>
      <c r="I1963" s="1"/>
      <c r="J1963" s="1"/>
      <c r="K1963" s="1"/>
      <c r="AA1963" s="1"/>
    </row>
    <row r="1964" spans="1:27" x14ac:dyDescent="0.25">
      <c r="A1964" t="s">
        <v>90</v>
      </c>
      <c r="B1964" t="str">
        <f t="shared" si="32"/>
        <v>60</v>
      </c>
      <c r="C1964" s="35">
        <v>1999</v>
      </c>
      <c r="D1964" s="1" t="s">
        <v>4</v>
      </c>
      <c r="E1964" s="36">
        <v>3382</v>
      </c>
      <c r="F1964" s="36">
        <v>1841</v>
      </c>
      <c r="G1964" s="36">
        <v>1541</v>
      </c>
      <c r="H1964" s="1" t="s">
        <v>2</v>
      </c>
      <c r="I1964" s="1"/>
      <c r="J1964" s="1"/>
      <c r="K1964" s="1"/>
      <c r="AA1964" s="1"/>
    </row>
    <row r="1965" spans="1:27" x14ac:dyDescent="0.25">
      <c r="A1965" t="s">
        <v>90</v>
      </c>
      <c r="B1965" t="str">
        <f t="shared" si="32"/>
        <v>60</v>
      </c>
      <c r="C1965" s="35">
        <v>1999</v>
      </c>
      <c r="D1965" s="35">
        <v>1998</v>
      </c>
      <c r="E1965" s="35">
        <v>8</v>
      </c>
      <c r="F1965" s="35">
        <v>4</v>
      </c>
      <c r="G1965" s="35">
        <v>4</v>
      </c>
      <c r="H1965" s="1" t="s">
        <v>2</v>
      </c>
      <c r="I1965" s="1"/>
      <c r="J1965" s="1"/>
      <c r="K1965" s="1"/>
      <c r="AA1965" s="1"/>
    </row>
    <row r="1966" spans="1:27" x14ac:dyDescent="0.25">
      <c r="A1966" t="s">
        <v>90</v>
      </c>
      <c r="B1966" t="str">
        <f t="shared" si="32"/>
        <v>60</v>
      </c>
      <c r="C1966" s="35">
        <v>1999</v>
      </c>
      <c r="D1966" s="35">
        <v>1999</v>
      </c>
      <c r="E1966" s="36">
        <v>3374</v>
      </c>
      <c r="F1966" s="36">
        <v>1837</v>
      </c>
      <c r="G1966" s="36">
        <v>1537</v>
      </c>
      <c r="H1966" s="1" t="s">
        <v>2</v>
      </c>
      <c r="I1966" s="1"/>
      <c r="J1966" s="1"/>
      <c r="K1966" s="1"/>
      <c r="AA1966" s="1"/>
    </row>
    <row r="1967" spans="1:27" x14ac:dyDescent="0.25">
      <c r="A1967" t="s">
        <v>90</v>
      </c>
      <c r="B1967" t="str">
        <f t="shared" si="32"/>
        <v>60</v>
      </c>
      <c r="C1967" s="35">
        <v>2000</v>
      </c>
      <c r="D1967" s="1" t="s">
        <v>4</v>
      </c>
      <c r="E1967" s="36">
        <v>3307</v>
      </c>
      <c r="F1967" s="36">
        <v>1749</v>
      </c>
      <c r="G1967" s="36">
        <v>1558</v>
      </c>
      <c r="H1967" s="1" t="s">
        <v>2</v>
      </c>
      <c r="I1967" s="1"/>
      <c r="J1967" s="1"/>
      <c r="K1967" s="1"/>
      <c r="AA1967" s="1"/>
    </row>
    <row r="1968" spans="1:27" x14ac:dyDescent="0.25">
      <c r="A1968" t="s">
        <v>90</v>
      </c>
      <c r="B1968" t="str">
        <f t="shared" si="32"/>
        <v>60</v>
      </c>
      <c r="C1968" s="35">
        <v>2000</v>
      </c>
      <c r="D1968" s="35">
        <v>1993</v>
      </c>
      <c r="E1968" s="35">
        <v>1</v>
      </c>
      <c r="F1968" s="35">
        <v>1</v>
      </c>
      <c r="G1968" s="1" t="s">
        <v>2</v>
      </c>
      <c r="H1968" s="1" t="s">
        <v>2</v>
      </c>
      <c r="I1968" s="1"/>
      <c r="J1968" s="1"/>
      <c r="K1968" s="1"/>
      <c r="AA1968" s="1"/>
    </row>
    <row r="1969" spans="1:27" x14ac:dyDescent="0.25">
      <c r="A1969" t="s">
        <v>90</v>
      </c>
      <c r="B1969" t="str">
        <f t="shared" si="32"/>
        <v>60</v>
      </c>
      <c r="C1969" s="35">
        <v>2000</v>
      </c>
      <c r="D1969" s="35">
        <v>1999</v>
      </c>
      <c r="E1969" s="35">
        <v>18</v>
      </c>
      <c r="F1969" s="35">
        <v>10</v>
      </c>
      <c r="G1969" s="35">
        <v>8</v>
      </c>
      <c r="H1969" s="1" t="s">
        <v>2</v>
      </c>
      <c r="I1969" s="1"/>
      <c r="J1969" s="1"/>
      <c r="K1969" s="1"/>
      <c r="AA1969" s="1"/>
    </row>
    <row r="1970" spans="1:27" x14ac:dyDescent="0.25">
      <c r="A1970" t="s">
        <v>90</v>
      </c>
      <c r="B1970" t="str">
        <f t="shared" si="32"/>
        <v>60</v>
      </c>
      <c r="C1970" s="35">
        <v>2000</v>
      </c>
      <c r="D1970" s="35">
        <v>2000</v>
      </c>
      <c r="E1970" s="36">
        <v>3288</v>
      </c>
      <c r="F1970" s="36">
        <v>1738</v>
      </c>
      <c r="G1970" s="36">
        <v>1550</v>
      </c>
      <c r="H1970" s="1" t="s">
        <v>2</v>
      </c>
      <c r="I1970" s="1"/>
      <c r="J1970" s="1"/>
      <c r="K1970" s="1"/>
      <c r="AA1970" s="1"/>
    </row>
    <row r="1971" spans="1:27" x14ac:dyDescent="0.25">
      <c r="A1971" t="s">
        <v>90</v>
      </c>
      <c r="B1971" t="str">
        <f t="shared" si="32"/>
        <v>60</v>
      </c>
      <c r="C1971" s="35">
        <v>2001</v>
      </c>
      <c r="D1971" s="1" t="s">
        <v>4</v>
      </c>
      <c r="E1971" s="36">
        <v>3496</v>
      </c>
      <c r="F1971" s="36">
        <v>1845</v>
      </c>
      <c r="G1971" s="36">
        <v>1651</v>
      </c>
      <c r="H1971" s="1" t="s">
        <v>2</v>
      </c>
      <c r="I1971" s="1"/>
      <c r="J1971" s="1"/>
      <c r="K1971" s="1"/>
      <c r="AA1971" s="1"/>
    </row>
    <row r="1972" spans="1:27" x14ac:dyDescent="0.25">
      <c r="A1972" t="s">
        <v>90</v>
      </c>
      <c r="B1972" t="str">
        <f t="shared" si="32"/>
        <v>60</v>
      </c>
      <c r="C1972" s="35">
        <v>2001</v>
      </c>
      <c r="D1972" s="35">
        <v>2000</v>
      </c>
      <c r="E1972" s="35">
        <v>24</v>
      </c>
      <c r="F1972" s="35">
        <v>16</v>
      </c>
      <c r="G1972" s="35">
        <v>8</v>
      </c>
      <c r="H1972" s="1" t="s">
        <v>2</v>
      </c>
      <c r="I1972" s="1"/>
      <c r="J1972" s="1"/>
      <c r="K1972" s="1"/>
      <c r="AA1972" s="1"/>
    </row>
    <row r="1973" spans="1:27" x14ac:dyDescent="0.25">
      <c r="A1973" t="s">
        <v>90</v>
      </c>
      <c r="B1973" t="str">
        <f t="shared" si="32"/>
        <v>60</v>
      </c>
      <c r="C1973" s="35">
        <v>2001</v>
      </c>
      <c r="D1973" s="35">
        <v>2001</v>
      </c>
      <c r="E1973" s="36">
        <v>3472</v>
      </c>
      <c r="F1973" s="36">
        <v>1829</v>
      </c>
      <c r="G1973" s="36">
        <v>1643</v>
      </c>
      <c r="H1973" s="1" t="s">
        <v>2</v>
      </c>
      <c r="I1973" s="1"/>
      <c r="J1973" s="1"/>
      <c r="K1973" s="1"/>
      <c r="AA1973" s="1"/>
    </row>
    <row r="1974" spans="1:27" x14ac:dyDescent="0.25">
      <c r="A1974" t="s">
        <v>90</v>
      </c>
      <c r="B1974" t="str">
        <f t="shared" si="32"/>
        <v>60</v>
      </c>
      <c r="C1974" s="35">
        <v>2002</v>
      </c>
      <c r="D1974" s="1" t="s">
        <v>4</v>
      </c>
      <c r="E1974" s="36">
        <v>3443</v>
      </c>
      <c r="F1974" s="36">
        <v>1873</v>
      </c>
      <c r="G1974" s="36">
        <v>1570</v>
      </c>
      <c r="H1974" s="1" t="s">
        <v>2</v>
      </c>
      <c r="I1974" s="1"/>
      <c r="J1974" s="1"/>
      <c r="K1974" s="1"/>
      <c r="AA1974" s="1"/>
    </row>
    <row r="1975" spans="1:27" x14ac:dyDescent="0.25">
      <c r="A1975" t="s">
        <v>90</v>
      </c>
      <c r="B1975" t="str">
        <f t="shared" si="32"/>
        <v>60</v>
      </c>
      <c r="C1975" s="35">
        <v>2002</v>
      </c>
      <c r="D1975" s="35">
        <v>2001</v>
      </c>
      <c r="E1975" s="35">
        <v>16</v>
      </c>
      <c r="F1975" s="35">
        <v>10</v>
      </c>
      <c r="G1975" s="35">
        <v>6</v>
      </c>
      <c r="H1975" s="1" t="s">
        <v>2</v>
      </c>
      <c r="I1975" s="1"/>
      <c r="J1975" s="1"/>
      <c r="K1975" s="1"/>
      <c r="AA1975" s="1"/>
    </row>
    <row r="1976" spans="1:27" x14ac:dyDescent="0.25">
      <c r="A1976" t="s">
        <v>90</v>
      </c>
      <c r="B1976" t="str">
        <f t="shared" si="32"/>
        <v>60</v>
      </c>
      <c r="C1976" s="35">
        <v>2002</v>
      </c>
      <c r="D1976" s="35">
        <v>2002</v>
      </c>
      <c r="E1976" s="36">
        <v>3427</v>
      </c>
      <c r="F1976" s="36">
        <v>1863</v>
      </c>
      <c r="G1976" s="36">
        <v>1564</v>
      </c>
      <c r="H1976" s="1" t="s">
        <v>2</v>
      </c>
      <c r="I1976" s="1"/>
      <c r="J1976" s="1"/>
      <c r="K1976" s="1"/>
      <c r="AA1976" s="1"/>
    </row>
    <row r="1977" spans="1:27" x14ac:dyDescent="0.25">
      <c r="A1977" t="s">
        <v>90</v>
      </c>
      <c r="B1977" t="str">
        <f t="shared" si="32"/>
        <v>60</v>
      </c>
      <c r="C1977" s="35">
        <v>2003</v>
      </c>
      <c r="D1977" s="1" t="s">
        <v>4</v>
      </c>
      <c r="E1977" s="36">
        <v>3608</v>
      </c>
      <c r="F1977" s="36">
        <v>1905</v>
      </c>
      <c r="G1977" s="36">
        <v>1702</v>
      </c>
      <c r="H1977" s="35">
        <v>1</v>
      </c>
      <c r="I1977" s="1"/>
      <c r="J1977" s="1"/>
      <c r="K1977" s="1"/>
      <c r="AA1977" s="1"/>
    </row>
    <row r="1978" spans="1:27" x14ac:dyDescent="0.25">
      <c r="A1978" t="s">
        <v>90</v>
      </c>
      <c r="B1978" t="str">
        <f t="shared" si="32"/>
        <v>60</v>
      </c>
      <c r="C1978" s="35">
        <v>2003</v>
      </c>
      <c r="D1978" s="35">
        <v>2001</v>
      </c>
      <c r="E1978" s="35">
        <v>1</v>
      </c>
      <c r="F1978" s="35">
        <v>1</v>
      </c>
      <c r="G1978" s="1" t="s">
        <v>2</v>
      </c>
      <c r="H1978" s="1" t="s">
        <v>2</v>
      </c>
      <c r="I1978" s="1"/>
      <c r="J1978" s="1"/>
      <c r="K1978" s="1"/>
      <c r="AA1978" s="1"/>
    </row>
    <row r="1979" spans="1:27" x14ac:dyDescent="0.25">
      <c r="A1979" t="s">
        <v>90</v>
      </c>
      <c r="B1979" t="str">
        <f t="shared" si="32"/>
        <v>60</v>
      </c>
      <c r="C1979" s="35">
        <v>2003</v>
      </c>
      <c r="D1979" s="35">
        <v>2002</v>
      </c>
      <c r="E1979" s="35">
        <v>11</v>
      </c>
      <c r="F1979" s="35">
        <v>4</v>
      </c>
      <c r="G1979" s="35">
        <v>7</v>
      </c>
      <c r="H1979" s="1" t="s">
        <v>2</v>
      </c>
      <c r="I1979" s="1"/>
      <c r="J1979" s="1"/>
      <c r="K1979" s="1"/>
      <c r="AA1979" s="1"/>
    </row>
    <row r="1980" spans="1:27" x14ac:dyDescent="0.25">
      <c r="A1980" t="s">
        <v>90</v>
      </c>
      <c r="B1980" t="str">
        <f t="shared" si="32"/>
        <v>60</v>
      </c>
      <c r="C1980" s="35">
        <v>2003</v>
      </c>
      <c r="D1980" s="35">
        <v>2003</v>
      </c>
      <c r="E1980" s="36">
        <v>3596</v>
      </c>
      <c r="F1980" s="36">
        <v>1900</v>
      </c>
      <c r="G1980" s="36">
        <v>1695</v>
      </c>
      <c r="H1980" s="35">
        <v>1</v>
      </c>
      <c r="I1980" s="1"/>
      <c r="J1980" s="1"/>
      <c r="K1980" s="1"/>
      <c r="AA1980" s="1"/>
    </row>
    <row r="1981" spans="1:27" x14ac:dyDescent="0.25">
      <c r="A1981" t="s">
        <v>90</v>
      </c>
      <c r="B1981" t="str">
        <f t="shared" si="32"/>
        <v>60</v>
      </c>
      <c r="C1981" s="35">
        <v>2004</v>
      </c>
      <c r="D1981" s="1" t="s">
        <v>4</v>
      </c>
      <c r="E1981" s="36">
        <v>3602</v>
      </c>
      <c r="F1981" s="36">
        <v>1959</v>
      </c>
      <c r="G1981" s="36">
        <v>1643</v>
      </c>
      <c r="H1981" s="1" t="s">
        <v>2</v>
      </c>
      <c r="I1981" s="1"/>
      <c r="J1981" s="1"/>
      <c r="K1981" s="1"/>
      <c r="AA1981" s="1"/>
    </row>
    <row r="1982" spans="1:27" x14ac:dyDescent="0.25">
      <c r="A1982" t="s">
        <v>90</v>
      </c>
      <c r="B1982" t="str">
        <f t="shared" si="32"/>
        <v>60</v>
      </c>
      <c r="C1982" s="35">
        <v>2004</v>
      </c>
      <c r="D1982" s="35">
        <v>2003</v>
      </c>
      <c r="E1982" s="35">
        <v>28</v>
      </c>
      <c r="F1982" s="35">
        <v>19</v>
      </c>
      <c r="G1982" s="35">
        <v>9</v>
      </c>
      <c r="H1982" s="1" t="s">
        <v>2</v>
      </c>
      <c r="I1982" s="1"/>
      <c r="J1982" s="1"/>
      <c r="K1982" s="1"/>
      <c r="AA1982" s="1"/>
    </row>
    <row r="1983" spans="1:27" x14ac:dyDescent="0.25">
      <c r="A1983" t="s">
        <v>90</v>
      </c>
      <c r="B1983" t="str">
        <f t="shared" si="32"/>
        <v>60</v>
      </c>
      <c r="C1983" s="35">
        <v>2004</v>
      </c>
      <c r="D1983" s="35">
        <v>2004</v>
      </c>
      <c r="E1983" s="36">
        <v>3574</v>
      </c>
      <c r="F1983" s="36">
        <v>1940</v>
      </c>
      <c r="G1983" s="36">
        <v>1634</v>
      </c>
      <c r="H1983" s="1" t="s">
        <v>2</v>
      </c>
      <c r="I1983" s="1"/>
      <c r="J1983" s="1"/>
      <c r="K1983" s="1"/>
      <c r="AA1983" s="1"/>
    </row>
    <row r="1984" spans="1:27" x14ac:dyDescent="0.25">
      <c r="A1984" t="s">
        <v>90</v>
      </c>
      <c r="B1984" t="str">
        <f t="shared" si="32"/>
        <v>60</v>
      </c>
      <c r="C1984" s="35">
        <v>2005</v>
      </c>
      <c r="D1984" s="1" t="s">
        <v>4</v>
      </c>
      <c r="E1984" s="36">
        <v>3629</v>
      </c>
      <c r="F1984" s="36">
        <v>1954</v>
      </c>
      <c r="G1984" s="36">
        <v>1675</v>
      </c>
      <c r="H1984" s="1" t="s">
        <v>2</v>
      </c>
      <c r="I1984" s="1"/>
      <c r="J1984" s="1"/>
      <c r="K1984" s="1"/>
      <c r="AA1984" s="1"/>
    </row>
    <row r="1985" spans="1:27" x14ac:dyDescent="0.25">
      <c r="A1985" t="s">
        <v>90</v>
      </c>
      <c r="B1985" t="str">
        <f t="shared" si="32"/>
        <v>60</v>
      </c>
      <c r="C1985" s="35">
        <v>2005</v>
      </c>
      <c r="D1985" s="35">
        <v>2004</v>
      </c>
      <c r="E1985" s="35">
        <v>12</v>
      </c>
      <c r="F1985" s="35">
        <v>5</v>
      </c>
      <c r="G1985" s="35">
        <v>7</v>
      </c>
      <c r="H1985" s="1" t="s">
        <v>2</v>
      </c>
      <c r="I1985" s="1"/>
      <c r="J1985" s="1"/>
      <c r="K1985" s="1"/>
      <c r="AA1985" s="1"/>
    </row>
    <row r="1986" spans="1:27" x14ac:dyDescent="0.25">
      <c r="A1986" t="s">
        <v>90</v>
      </c>
      <c r="B1986" t="str">
        <f t="shared" si="32"/>
        <v>60</v>
      </c>
      <c r="C1986" s="35">
        <v>2005</v>
      </c>
      <c r="D1986" s="35">
        <v>2005</v>
      </c>
      <c r="E1986" s="36">
        <v>3617</v>
      </c>
      <c r="F1986" s="36">
        <v>1949</v>
      </c>
      <c r="G1986" s="36">
        <v>1668</v>
      </c>
      <c r="H1986" s="1" t="s">
        <v>2</v>
      </c>
      <c r="I1986" s="1"/>
      <c r="J1986" s="1"/>
      <c r="K1986" s="1"/>
      <c r="AA1986" s="1"/>
    </row>
    <row r="1987" spans="1:27" x14ac:dyDescent="0.25">
      <c r="A1987" t="s">
        <v>90</v>
      </c>
      <c r="B1987" t="str">
        <f t="shared" si="32"/>
        <v>60</v>
      </c>
      <c r="C1987" s="35">
        <v>2006</v>
      </c>
      <c r="D1987" s="1" t="s">
        <v>4</v>
      </c>
      <c r="E1987" s="36">
        <v>3709</v>
      </c>
      <c r="F1987" s="36">
        <v>1985</v>
      </c>
      <c r="G1987" s="36">
        <v>1724</v>
      </c>
      <c r="H1987" s="1" t="s">
        <v>2</v>
      </c>
      <c r="I1987" s="1"/>
      <c r="J1987" s="1"/>
      <c r="K1987" s="1"/>
      <c r="AA1987" s="1"/>
    </row>
    <row r="1988" spans="1:27" x14ac:dyDescent="0.25">
      <c r="A1988" t="s">
        <v>90</v>
      </c>
      <c r="B1988" t="str">
        <f t="shared" si="32"/>
        <v>60</v>
      </c>
      <c r="C1988" s="35">
        <v>2006</v>
      </c>
      <c r="D1988" s="35">
        <v>2000</v>
      </c>
      <c r="E1988" s="35">
        <v>1</v>
      </c>
      <c r="F1988" s="35">
        <v>1</v>
      </c>
      <c r="G1988" s="1" t="s">
        <v>2</v>
      </c>
      <c r="H1988" s="1" t="s">
        <v>2</v>
      </c>
      <c r="I1988" s="1"/>
      <c r="J1988" s="1"/>
      <c r="K1988" s="1"/>
      <c r="AA1988" s="1"/>
    </row>
    <row r="1989" spans="1:27" x14ac:dyDescent="0.25">
      <c r="A1989" t="s">
        <v>90</v>
      </c>
      <c r="B1989" t="str">
        <f t="shared" si="32"/>
        <v>60</v>
      </c>
      <c r="C1989" s="35">
        <v>2006</v>
      </c>
      <c r="D1989" s="35">
        <v>2005</v>
      </c>
      <c r="E1989" s="35">
        <v>15</v>
      </c>
      <c r="F1989" s="35">
        <v>12</v>
      </c>
      <c r="G1989" s="35">
        <v>3</v>
      </c>
      <c r="H1989" s="1" t="s">
        <v>2</v>
      </c>
      <c r="I1989" s="1"/>
      <c r="J1989" s="1"/>
      <c r="K1989" s="1"/>
      <c r="AA1989" s="1"/>
    </row>
    <row r="1990" spans="1:27" x14ac:dyDescent="0.25">
      <c r="A1990" t="s">
        <v>90</v>
      </c>
      <c r="B1990" t="str">
        <f t="shared" si="32"/>
        <v>60</v>
      </c>
      <c r="C1990" s="35">
        <v>2006</v>
      </c>
      <c r="D1990" s="35">
        <v>2006</v>
      </c>
      <c r="E1990" s="36">
        <v>3693</v>
      </c>
      <c r="F1990" s="36">
        <v>1972</v>
      </c>
      <c r="G1990" s="36">
        <v>1721</v>
      </c>
      <c r="H1990" s="1" t="s">
        <v>2</v>
      </c>
      <c r="I1990" s="1"/>
      <c r="J1990" s="1"/>
      <c r="K1990" s="1"/>
      <c r="AA1990" s="1"/>
    </row>
    <row r="1991" spans="1:27" x14ac:dyDescent="0.25">
      <c r="A1991" t="s">
        <v>90</v>
      </c>
      <c r="B1991" t="str">
        <f t="shared" ref="B1991:B2054" si="33">IF(A1991="Menores de 1 año",0,LEFT(A1991,2))</f>
        <v>60</v>
      </c>
      <c r="C1991" s="35">
        <v>2007</v>
      </c>
      <c r="D1991" s="1" t="s">
        <v>4</v>
      </c>
      <c r="E1991" s="36">
        <v>3917</v>
      </c>
      <c r="F1991" s="36">
        <v>2146</v>
      </c>
      <c r="G1991" s="36">
        <v>1771</v>
      </c>
      <c r="H1991" s="1" t="s">
        <v>2</v>
      </c>
      <c r="I1991" s="1"/>
      <c r="J1991" s="1"/>
      <c r="K1991" s="1"/>
      <c r="AA1991" s="1"/>
    </row>
    <row r="1992" spans="1:27" x14ac:dyDescent="0.25">
      <c r="A1992" t="s">
        <v>90</v>
      </c>
      <c r="B1992" t="str">
        <f t="shared" si="33"/>
        <v>60</v>
      </c>
      <c r="C1992" s="35">
        <v>2007</v>
      </c>
      <c r="D1992" s="35">
        <v>2006</v>
      </c>
      <c r="E1992" s="35">
        <v>32</v>
      </c>
      <c r="F1992" s="35">
        <v>20</v>
      </c>
      <c r="G1992" s="35">
        <v>12</v>
      </c>
      <c r="H1992" s="1" t="s">
        <v>2</v>
      </c>
      <c r="I1992" s="1"/>
      <c r="J1992" s="1"/>
      <c r="K1992" s="1"/>
      <c r="AA1992" s="1"/>
    </row>
    <row r="1993" spans="1:27" x14ac:dyDescent="0.25">
      <c r="A1993" t="s">
        <v>90</v>
      </c>
      <c r="B1993" t="str">
        <f t="shared" si="33"/>
        <v>60</v>
      </c>
      <c r="C1993" s="35">
        <v>2007</v>
      </c>
      <c r="D1993" s="35">
        <v>2007</v>
      </c>
      <c r="E1993" s="36">
        <v>3885</v>
      </c>
      <c r="F1993" s="36">
        <v>2126</v>
      </c>
      <c r="G1993" s="36">
        <v>1759</v>
      </c>
      <c r="H1993" s="1" t="s">
        <v>2</v>
      </c>
      <c r="I1993" s="1"/>
      <c r="J1993" s="1"/>
      <c r="K1993" s="1"/>
      <c r="AA1993" s="1"/>
    </row>
    <row r="1994" spans="1:27" x14ac:dyDescent="0.25">
      <c r="A1994" t="s">
        <v>90</v>
      </c>
      <c r="B1994" t="str">
        <f t="shared" si="33"/>
        <v>60</v>
      </c>
      <c r="C1994" s="35">
        <v>2008</v>
      </c>
      <c r="D1994" s="1" t="s">
        <v>4</v>
      </c>
      <c r="E1994" s="36">
        <v>4003</v>
      </c>
      <c r="F1994" s="36">
        <v>2183</v>
      </c>
      <c r="G1994" s="36">
        <v>1820</v>
      </c>
      <c r="H1994" s="1" t="s">
        <v>2</v>
      </c>
      <c r="I1994" s="1"/>
      <c r="J1994" s="1"/>
      <c r="K1994" s="1"/>
      <c r="AA1994" s="1"/>
    </row>
    <row r="1995" spans="1:27" x14ac:dyDescent="0.25">
      <c r="A1995" t="s">
        <v>90</v>
      </c>
      <c r="B1995" t="str">
        <f t="shared" si="33"/>
        <v>60</v>
      </c>
      <c r="C1995" s="35">
        <v>2008</v>
      </c>
      <c r="D1995" s="35">
        <v>2003</v>
      </c>
      <c r="E1995" s="35">
        <v>1</v>
      </c>
      <c r="F1995" s="35">
        <v>1</v>
      </c>
      <c r="G1995" s="1" t="s">
        <v>2</v>
      </c>
      <c r="H1995" s="1" t="s">
        <v>2</v>
      </c>
      <c r="I1995" s="1"/>
      <c r="J1995" s="1"/>
      <c r="K1995" s="1"/>
      <c r="AA1995" s="1"/>
    </row>
    <row r="1996" spans="1:27" x14ac:dyDescent="0.25">
      <c r="A1996" t="s">
        <v>90</v>
      </c>
      <c r="B1996" t="str">
        <f t="shared" si="33"/>
        <v>60</v>
      </c>
      <c r="C1996" s="35">
        <v>2008</v>
      </c>
      <c r="D1996" s="35">
        <v>2004</v>
      </c>
      <c r="E1996" s="35">
        <v>6</v>
      </c>
      <c r="F1996" s="35">
        <v>5</v>
      </c>
      <c r="G1996" s="35">
        <v>1</v>
      </c>
      <c r="H1996" s="1" t="s">
        <v>2</v>
      </c>
      <c r="I1996" s="1"/>
      <c r="J1996" s="1"/>
      <c r="K1996" s="1"/>
      <c r="AA1996" s="1"/>
    </row>
    <row r="1997" spans="1:27" x14ac:dyDescent="0.25">
      <c r="A1997" t="s">
        <v>90</v>
      </c>
      <c r="B1997" t="str">
        <f t="shared" si="33"/>
        <v>60</v>
      </c>
      <c r="C1997" s="35">
        <v>2008</v>
      </c>
      <c r="D1997" s="35">
        <v>2005</v>
      </c>
      <c r="E1997" s="35">
        <v>10</v>
      </c>
      <c r="F1997" s="35">
        <v>9</v>
      </c>
      <c r="G1997" s="35">
        <v>1</v>
      </c>
      <c r="H1997" s="1" t="s">
        <v>2</v>
      </c>
      <c r="I1997" s="1"/>
      <c r="J1997" s="1"/>
      <c r="K1997" s="1"/>
      <c r="AA1997" s="1"/>
    </row>
    <row r="1998" spans="1:27" x14ac:dyDescent="0.25">
      <c r="A1998" t="s">
        <v>90</v>
      </c>
      <c r="B1998" t="str">
        <f t="shared" si="33"/>
        <v>60</v>
      </c>
      <c r="C1998" s="35">
        <v>2008</v>
      </c>
      <c r="D1998" s="35">
        <v>2007</v>
      </c>
      <c r="E1998" s="35">
        <v>33</v>
      </c>
      <c r="F1998" s="35">
        <v>25</v>
      </c>
      <c r="G1998" s="35">
        <v>8</v>
      </c>
      <c r="H1998" s="1" t="s">
        <v>2</v>
      </c>
      <c r="I1998" s="1"/>
      <c r="J1998" s="1"/>
      <c r="K1998" s="1"/>
      <c r="AA1998" s="1"/>
    </row>
    <row r="1999" spans="1:27" x14ac:dyDescent="0.25">
      <c r="A1999" t="s">
        <v>90</v>
      </c>
      <c r="B1999" t="str">
        <f t="shared" si="33"/>
        <v>60</v>
      </c>
      <c r="C1999" s="35">
        <v>2008</v>
      </c>
      <c r="D1999" s="35">
        <v>2008</v>
      </c>
      <c r="E1999" s="36">
        <v>3953</v>
      </c>
      <c r="F1999" s="36">
        <v>2143</v>
      </c>
      <c r="G1999" s="36">
        <v>1810</v>
      </c>
      <c r="H1999" s="1" t="s">
        <v>2</v>
      </c>
      <c r="I1999" s="1"/>
      <c r="J1999" s="1"/>
      <c r="K1999" s="1"/>
      <c r="AA1999" s="1"/>
    </row>
    <row r="2000" spans="1:27" x14ac:dyDescent="0.25">
      <c r="A2000" t="s">
        <v>90</v>
      </c>
      <c r="B2000" t="str">
        <f t="shared" si="33"/>
        <v>60</v>
      </c>
      <c r="C2000" s="35">
        <v>2009</v>
      </c>
      <c r="D2000" s="1" t="s">
        <v>4</v>
      </c>
      <c r="E2000" s="36">
        <v>4014</v>
      </c>
      <c r="F2000" s="36">
        <v>2203</v>
      </c>
      <c r="G2000" s="36">
        <v>1811</v>
      </c>
      <c r="H2000" s="1" t="s">
        <v>2</v>
      </c>
      <c r="I2000" s="1"/>
      <c r="J2000" s="1"/>
      <c r="K2000" s="1"/>
      <c r="AA2000" s="1"/>
    </row>
    <row r="2001" spans="1:27" x14ac:dyDescent="0.25">
      <c r="A2001" t="s">
        <v>90</v>
      </c>
      <c r="B2001" t="str">
        <f t="shared" si="33"/>
        <v>60</v>
      </c>
      <c r="C2001" s="35">
        <v>2009</v>
      </c>
      <c r="D2001" s="35">
        <v>2004</v>
      </c>
      <c r="E2001" s="35">
        <v>2</v>
      </c>
      <c r="F2001" s="35">
        <v>1</v>
      </c>
      <c r="G2001" s="35">
        <v>1</v>
      </c>
      <c r="H2001" s="1" t="s">
        <v>2</v>
      </c>
      <c r="I2001" s="1"/>
      <c r="J2001" s="1"/>
      <c r="K2001" s="1"/>
      <c r="AA2001" s="1"/>
    </row>
    <row r="2002" spans="1:27" x14ac:dyDescent="0.25">
      <c r="A2002" t="s">
        <v>90</v>
      </c>
      <c r="B2002" t="str">
        <f t="shared" si="33"/>
        <v>60</v>
      </c>
      <c r="C2002" s="35">
        <v>2009</v>
      </c>
      <c r="D2002" s="35">
        <v>2005</v>
      </c>
      <c r="E2002" s="35">
        <v>1</v>
      </c>
      <c r="F2002" s="35">
        <v>1</v>
      </c>
      <c r="G2002" s="1" t="s">
        <v>2</v>
      </c>
      <c r="H2002" s="1" t="s">
        <v>2</v>
      </c>
      <c r="I2002" s="1"/>
      <c r="J2002" s="1"/>
      <c r="K2002" s="1"/>
      <c r="AA2002" s="1"/>
    </row>
    <row r="2003" spans="1:27" x14ac:dyDescent="0.25">
      <c r="A2003" t="s">
        <v>90</v>
      </c>
      <c r="B2003" t="str">
        <f t="shared" si="33"/>
        <v>60</v>
      </c>
      <c r="C2003" s="35">
        <v>2009</v>
      </c>
      <c r="D2003" s="35">
        <v>2008</v>
      </c>
      <c r="E2003" s="35">
        <v>25</v>
      </c>
      <c r="F2003" s="35">
        <v>19</v>
      </c>
      <c r="G2003" s="35">
        <v>6</v>
      </c>
      <c r="H2003" s="1" t="s">
        <v>2</v>
      </c>
      <c r="I2003" s="1"/>
      <c r="J2003" s="1"/>
      <c r="K2003" s="1"/>
      <c r="AA2003" s="1"/>
    </row>
    <row r="2004" spans="1:27" x14ac:dyDescent="0.25">
      <c r="A2004" t="s">
        <v>90</v>
      </c>
      <c r="B2004" t="str">
        <f t="shared" si="33"/>
        <v>60</v>
      </c>
      <c r="C2004" s="35">
        <v>2009</v>
      </c>
      <c r="D2004" s="35">
        <v>2009</v>
      </c>
      <c r="E2004" s="36">
        <v>3986</v>
      </c>
      <c r="F2004" s="36">
        <v>2182</v>
      </c>
      <c r="G2004" s="36">
        <v>1804</v>
      </c>
      <c r="H2004" s="1" t="s">
        <v>2</v>
      </c>
      <c r="I2004" s="1"/>
      <c r="J2004" s="1"/>
      <c r="K2004" s="1"/>
      <c r="AA2004" s="1"/>
    </row>
    <row r="2005" spans="1:27" x14ac:dyDescent="0.25">
      <c r="A2005" t="s">
        <v>90</v>
      </c>
      <c r="B2005" t="str">
        <f t="shared" si="33"/>
        <v>60</v>
      </c>
      <c r="C2005" s="35">
        <v>2010</v>
      </c>
      <c r="D2005" s="1" t="s">
        <v>4</v>
      </c>
      <c r="E2005" s="36">
        <v>4188</v>
      </c>
      <c r="F2005" s="36">
        <v>2328</v>
      </c>
      <c r="G2005" s="36">
        <v>1860</v>
      </c>
      <c r="H2005" s="1" t="s">
        <v>2</v>
      </c>
      <c r="I2005" s="1"/>
      <c r="J2005" s="1"/>
      <c r="K2005" s="1"/>
      <c r="AA2005" s="1"/>
    </row>
    <row r="2006" spans="1:27" x14ac:dyDescent="0.25">
      <c r="A2006" t="s">
        <v>90</v>
      </c>
      <c r="B2006" t="str">
        <f t="shared" si="33"/>
        <v>60</v>
      </c>
      <c r="C2006" s="35">
        <v>2010</v>
      </c>
      <c r="D2006" s="35">
        <v>2009</v>
      </c>
      <c r="E2006" s="35">
        <v>30</v>
      </c>
      <c r="F2006" s="35">
        <v>23</v>
      </c>
      <c r="G2006" s="35">
        <v>7</v>
      </c>
      <c r="H2006" s="1" t="s">
        <v>2</v>
      </c>
      <c r="I2006" s="1"/>
      <c r="J2006" s="1"/>
      <c r="K2006" s="1"/>
      <c r="AA2006" s="1"/>
    </row>
    <row r="2007" spans="1:27" x14ac:dyDescent="0.25">
      <c r="A2007" t="s">
        <v>90</v>
      </c>
      <c r="B2007" t="str">
        <f t="shared" si="33"/>
        <v>60</v>
      </c>
      <c r="C2007" s="35">
        <v>2010</v>
      </c>
      <c r="D2007" s="35">
        <v>2010</v>
      </c>
      <c r="E2007" s="36">
        <v>4158</v>
      </c>
      <c r="F2007" s="36">
        <v>2305</v>
      </c>
      <c r="G2007" s="36">
        <v>1853</v>
      </c>
      <c r="H2007" s="1" t="s">
        <v>2</v>
      </c>
      <c r="I2007" s="1"/>
      <c r="J2007" s="1"/>
      <c r="K2007" s="1"/>
      <c r="AA2007" s="1"/>
    </row>
    <row r="2008" spans="1:27" x14ac:dyDescent="0.25">
      <c r="A2008" t="s">
        <v>90</v>
      </c>
      <c r="B2008" t="str">
        <f t="shared" si="33"/>
        <v>60</v>
      </c>
      <c r="C2008" s="35">
        <v>2011</v>
      </c>
      <c r="D2008" s="1" t="s">
        <v>4</v>
      </c>
      <c r="E2008" s="36">
        <v>4164</v>
      </c>
      <c r="F2008" s="36">
        <v>2338</v>
      </c>
      <c r="G2008" s="36">
        <v>1826</v>
      </c>
      <c r="H2008" s="1" t="s">
        <v>2</v>
      </c>
      <c r="I2008" s="1"/>
      <c r="J2008" s="1"/>
      <c r="K2008" s="1"/>
      <c r="AA2008" s="1"/>
    </row>
    <row r="2009" spans="1:27" x14ac:dyDescent="0.25">
      <c r="A2009" t="s">
        <v>90</v>
      </c>
      <c r="B2009" t="str">
        <f t="shared" si="33"/>
        <v>60</v>
      </c>
      <c r="C2009" s="35">
        <v>2011</v>
      </c>
      <c r="D2009" s="35">
        <v>2001</v>
      </c>
      <c r="E2009" s="35">
        <v>1</v>
      </c>
      <c r="F2009" s="35">
        <v>1</v>
      </c>
      <c r="G2009" s="1" t="s">
        <v>2</v>
      </c>
      <c r="H2009" s="1" t="s">
        <v>2</v>
      </c>
      <c r="I2009" s="1"/>
      <c r="J2009" s="1"/>
      <c r="K2009" s="1"/>
      <c r="AA2009" s="1"/>
    </row>
    <row r="2010" spans="1:27" x14ac:dyDescent="0.25">
      <c r="A2010" t="s">
        <v>90</v>
      </c>
      <c r="B2010" t="str">
        <f t="shared" si="33"/>
        <v>60</v>
      </c>
      <c r="C2010" s="35">
        <v>2011</v>
      </c>
      <c r="D2010" s="35">
        <v>2010</v>
      </c>
      <c r="E2010" s="35">
        <v>53</v>
      </c>
      <c r="F2010" s="35">
        <v>39</v>
      </c>
      <c r="G2010" s="35">
        <v>14</v>
      </c>
      <c r="H2010" s="1" t="s">
        <v>2</v>
      </c>
      <c r="I2010" s="1"/>
      <c r="J2010" s="1"/>
      <c r="K2010" s="1"/>
      <c r="AA2010" s="1"/>
    </row>
    <row r="2011" spans="1:27" x14ac:dyDescent="0.25">
      <c r="A2011" t="s">
        <v>90</v>
      </c>
      <c r="B2011" t="str">
        <f t="shared" si="33"/>
        <v>60</v>
      </c>
      <c r="C2011" s="35">
        <v>2011</v>
      </c>
      <c r="D2011" s="35">
        <v>2011</v>
      </c>
      <c r="E2011" s="36">
        <v>4110</v>
      </c>
      <c r="F2011" s="36">
        <v>2298</v>
      </c>
      <c r="G2011" s="36">
        <v>1812</v>
      </c>
      <c r="H2011" s="1" t="s">
        <v>2</v>
      </c>
      <c r="I2011" s="1"/>
      <c r="J2011" s="1"/>
      <c r="K2011" s="1"/>
      <c r="AA2011" s="1"/>
    </row>
    <row r="2012" spans="1:27" x14ac:dyDescent="0.25">
      <c r="A2012" t="s">
        <v>90</v>
      </c>
      <c r="B2012" t="str">
        <f t="shared" si="33"/>
        <v>60</v>
      </c>
      <c r="C2012" s="35">
        <v>2012</v>
      </c>
      <c r="D2012" s="1" t="s">
        <v>4</v>
      </c>
      <c r="E2012" s="36">
        <v>4380</v>
      </c>
      <c r="F2012" s="36">
        <v>2475</v>
      </c>
      <c r="G2012" s="36">
        <v>1905</v>
      </c>
      <c r="H2012" s="1" t="s">
        <v>2</v>
      </c>
      <c r="I2012" s="1"/>
      <c r="J2012" s="1"/>
      <c r="K2012" s="1"/>
      <c r="AA2012" s="1"/>
    </row>
    <row r="2013" spans="1:27" x14ac:dyDescent="0.25">
      <c r="A2013" t="s">
        <v>90</v>
      </c>
      <c r="B2013" t="str">
        <f t="shared" si="33"/>
        <v>60</v>
      </c>
      <c r="C2013" s="35">
        <v>2012</v>
      </c>
      <c r="D2013" s="35">
        <v>2002</v>
      </c>
      <c r="E2013" s="35">
        <v>1</v>
      </c>
      <c r="F2013" s="35">
        <v>1</v>
      </c>
      <c r="G2013" s="1" t="s">
        <v>2</v>
      </c>
      <c r="H2013" s="1" t="s">
        <v>2</v>
      </c>
      <c r="I2013" s="1"/>
      <c r="J2013" s="1"/>
      <c r="K2013" s="1"/>
      <c r="AA2013" s="1"/>
    </row>
    <row r="2014" spans="1:27" x14ac:dyDescent="0.25">
      <c r="A2014" t="s">
        <v>90</v>
      </c>
      <c r="B2014" t="str">
        <f t="shared" si="33"/>
        <v>60</v>
      </c>
      <c r="C2014" s="35">
        <v>2012</v>
      </c>
      <c r="D2014" s="35">
        <v>2011</v>
      </c>
      <c r="E2014" s="35">
        <v>46</v>
      </c>
      <c r="F2014" s="35">
        <v>31</v>
      </c>
      <c r="G2014" s="35">
        <v>15</v>
      </c>
      <c r="H2014" s="1" t="s">
        <v>2</v>
      </c>
      <c r="I2014" s="1"/>
      <c r="J2014" s="1"/>
      <c r="K2014" s="1"/>
      <c r="AA2014" s="1"/>
    </row>
    <row r="2015" spans="1:27" x14ac:dyDescent="0.25">
      <c r="A2015" t="s">
        <v>90</v>
      </c>
      <c r="B2015" t="str">
        <f t="shared" si="33"/>
        <v>60</v>
      </c>
      <c r="C2015" s="35">
        <v>2012</v>
      </c>
      <c r="D2015" s="35">
        <v>2012</v>
      </c>
      <c r="E2015" s="36">
        <v>4333</v>
      </c>
      <c r="F2015" s="36">
        <v>2443</v>
      </c>
      <c r="G2015" s="36">
        <v>1890</v>
      </c>
      <c r="H2015" s="1" t="s">
        <v>2</v>
      </c>
      <c r="I2015" s="1"/>
      <c r="J2015" s="1"/>
      <c r="K2015" s="1"/>
      <c r="AA2015" s="1"/>
    </row>
    <row r="2016" spans="1:27" x14ac:dyDescent="0.25">
      <c r="A2016" t="s">
        <v>90</v>
      </c>
      <c r="B2016" t="str">
        <f t="shared" si="33"/>
        <v>60</v>
      </c>
      <c r="C2016" s="35">
        <v>2013</v>
      </c>
      <c r="D2016" s="1" t="s">
        <v>4</v>
      </c>
      <c r="E2016" s="36">
        <v>4490</v>
      </c>
      <c r="F2016" s="36">
        <v>2567</v>
      </c>
      <c r="G2016" s="36">
        <v>1923</v>
      </c>
      <c r="H2016" s="1" t="s">
        <v>2</v>
      </c>
      <c r="I2016" s="1"/>
      <c r="J2016" s="1"/>
      <c r="K2016" s="1"/>
      <c r="AA2016" s="1"/>
    </row>
    <row r="2017" spans="1:27" x14ac:dyDescent="0.25">
      <c r="A2017" t="s">
        <v>90</v>
      </c>
      <c r="B2017" t="str">
        <f t="shared" si="33"/>
        <v>60</v>
      </c>
      <c r="C2017" s="35">
        <v>2013</v>
      </c>
      <c r="D2017" s="35">
        <v>2012</v>
      </c>
      <c r="E2017" s="35">
        <v>60</v>
      </c>
      <c r="F2017" s="35">
        <v>45</v>
      </c>
      <c r="G2017" s="35">
        <v>15</v>
      </c>
      <c r="H2017" s="1" t="s">
        <v>2</v>
      </c>
      <c r="I2017" s="1"/>
      <c r="J2017" s="1"/>
      <c r="K2017" s="1"/>
      <c r="AA2017" s="1"/>
    </row>
    <row r="2018" spans="1:27" x14ac:dyDescent="0.25">
      <c r="A2018" t="s">
        <v>90</v>
      </c>
      <c r="B2018" t="str">
        <f t="shared" si="33"/>
        <v>60</v>
      </c>
      <c r="C2018" s="35">
        <v>2013</v>
      </c>
      <c r="D2018" s="35">
        <v>2013</v>
      </c>
      <c r="E2018" s="36">
        <v>4430</v>
      </c>
      <c r="F2018" s="36">
        <v>2522</v>
      </c>
      <c r="G2018" s="36">
        <v>1908</v>
      </c>
      <c r="H2018" s="1" t="s">
        <v>2</v>
      </c>
      <c r="I2018" s="1"/>
      <c r="J2018" s="1"/>
      <c r="K2018" s="1"/>
      <c r="AA2018" s="1"/>
    </row>
    <row r="2019" spans="1:27" x14ac:dyDescent="0.25">
      <c r="A2019" t="s">
        <v>90</v>
      </c>
      <c r="B2019" t="str">
        <f t="shared" si="33"/>
        <v>60</v>
      </c>
      <c r="C2019" s="35">
        <v>2014</v>
      </c>
      <c r="D2019" s="1" t="s">
        <v>4</v>
      </c>
      <c r="E2019" s="36">
        <v>4650</v>
      </c>
      <c r="F2019" s="36">
        <v>2689</v>
      </c>
      <c r="G2019" s="36">
        <v>1961</v>
      </c>
      <c r="H2019" s="1" t="s">
        <v>2</v>
      </c>
      <c r="I2019" s="1"/>
      <c r="J2019" s="1"/>
      <c r="K2019" s="1"/>
      <c r="AA2019" s="1"/>
    </row>
    <row r="2020" spans="1:27" x14ac:dyDescent="0.25">
      <c r="A2020" t="s">
        <v>90</v>
      </c>
      <c r="B2020" t="str">
        <f t="shared" si="33"/>
        <v>60</v>
      </c>
      <c r="C2020" s="35">
        <v>2014</v>
      </c>
      <c r="D2020" s="35">
        <v>2011</v>
      </c>
      <c r="E2020" s="35">
        <v>1</v>
      </c>
      <c r="F2020" s="35">
        <v>1</v>
      </c>
      <c r="G2020" s="1" t="s">
        <v>2</v>
      </c>
      <c r="H2020" s="1" t="s">
        <v>2</v>
      </c>
      <c r="I2020" s="1"/>
      <c r="J2020" s="1"/>
      <c r="K2020" s="1"/>
      <c r="AA2020" s="1"/>
    </row>
    <row r="2021" spans="1:27" x14ac:dyDescent="0.25">
      <c r="A2021" t="s">
        <v>90</v>
      </c>
      <c r="B2021" t="str">
        <f t="shared" si="33"/>
        <v>60</v>
      </c>
      <c r="C2021" s="35">
        <v>2014</v>
      </c>
      <c r="D2021" s="35">
        <v>2012</v>
      </c>
      <c r="E2021" s="35">
        <v>1</v>
      </c>
      <c r="F2021" s="35">
        <v>1</v>
      </c>
      <c r="G2021" s="1" t="s">
        <v>2</v>
      </c>
      <c r="H2021" s="1" t="s">
        <v>2</v>
      </c>
      <c r="I2021" s="1"/>
      <c r="J2021" s="1"/>
      <c r="K2021" s="1"/>
      <c r="AA2021" s="1"/>
    </row>
    <row r="2022" spans="1:27" x14ac:dyDescent="0.25">
      <c r="A2022" t="s">
        <v>90</v>
      </c>
      <c r="B2022" t="str">
        <f t="shared" si="33"/>
        <v>60</v>
      </c>
      <c r="C2022" s="35">
        <v>2014</v>
      </c>
      <c r="D2022" s="35">
        <v>2013</v>
      </c>
      <c r="E2022" s="35">
        <v>45</v>
      </c>
      <c r="F2022" s="35">
        <v>37</v>
      </c>
      <c r="G2022" s="35">
        <v>8</v>
      </c>
      <c r="H2022" s="1" t="s">
        <v>2</v>
      </c>
      <c r="I2022" s="1"/>
      <c r="J2022" s="1"/>
      <c r="K2022" s="1"/>
      <c r="AA2022" s="1"/>
    </row>
    <row r="2023" spans="1:27" x14ac:dyDescent="0.25">
      <c r="A2023" t="s">
        <v>90</v>
      </c>
      <c r="B2023" t="str">
        <f t="shared" si="33"/>
        <v>60</v>
      </c>
      <c r="C2023" s="35">
        <v>2014</v>
      </c>
      <c r="D2023" s="35">
        <v>2014</v>
      </c>
      <c r="E2023" s="36">
        <v>4603</v>
      </c>
      <c r="F2023" s="36">
        <v>2650</v>
      </c>
      <c r="G2023" s="36">
        <v>1953</v>
      </c>
      <c r="H2023" s="1" t="s">
        <v>2</v>
      </c>
      <c r="I2023" s="1"/>
      <c r="J2023" s="1"/>
      <c r="K2023" s="1"/>
      <c r="AA2023" s="1"/>
    </row>
    <row r="2024" spans="1:27" x14ac:dyDescent="0.25">
      <c r="A2024" t="s">
        <v>90</v>
      </c>
      <c r="B2024" t="str">
        <f t="shared" si="33"/>
        <v>60</v>
      </c>
      <c r="C2024" s="35">
        <v>2015</v>
      </c>
      <c r="D2024" s="1" t="s">
        <v>4</v>
      </c>
      <c r="E2024" s="36">
        <v>4843</v>
      </c>
      <c r="F2024" s="36">
        <v>2720</v>
      </c>
      <c r="G2024" s="36">
        <v>2122</v>
      </c>
      <c r="H2024" s="35">
        <v>1</v>
      </c>
      <c r="I2024" s="1"/>
      <c r="J2024" s="1"/>
      <c r="K2024" s="1"/>
      <c r="AA2024" s="1"/>
    </row>
    <row r="2025" spans="1:27" x14ac:dyDescent="0.25">
      <c r="A2025" t="s">
        <v>90</v>
      </c>
      <c r="B2025" t="str">
        <f t="shared" si="33"/>
        <v>60</v>
      </c>
      <c r="C2025" s="35">
        <v>2015</v>
      </c>
      <c r="D2025" s="35">
        <v>2010</v>
      </c>
      <c r="E2025" s="35">
        <v>1</v>
      </c>
      <c r="F2025" s="35">
        <v>1</v>
      </c>
      <c r="G2025" s="1" t="s">
        <v>2</v>
      </c>
      <c r="H2025" s="1" t="s">
        <v>2</v>
      </c>
      <c r="I2025" s="1"/>
      <c r="J2025" s="1"/>
      <c r="K2025" s="1"/>
      <c r="AA2025" s="1"/>
    </row>
    <row r="2026" spans="1:27" x14ac:dyDescent="0.25">
      <c r="A2026" t="s">
        <v>90</v>
      </c>
      <c r="B2026" t="str">
        <f t="shared" si="33"/>
        <v>60</v>
      </c>
      <c r="C2026" s="35">
        <v>2015</v>
      </c>
      <c r="D2026" s="35">
        <v>2014</v>
      </c>
      <c r="E2026" s="35">
        <v>45</v>
      </c>
      <c r="F2026" s="35">
        <v>33</v>
      </c>
      <c r="G2026" s="35">
        <v>12</v>
      </c>
      <c r="H2026" s="1" t="s">
        <v>2</v>
      </c>
      <c r="I2026" s="1"/>
      <c r="J2026" s="1"/>
      <c r="K2026" s="1"/>
      <c r="AA2026" s="1"/>
    </row>
    <row r="2027" spans="1:27" x14ac:dyDescent="0.25">
      <c r="A2027" t="s">
        <v>90</v>
      </c>
      <c r="B2027" t="str">
        <f t="shared" si="33"/>
        <v>60</v>
      </c>
      <c r="C2027" s="35">
        <v>2015</v>
      </c>
      <c r="D2027" s="35">
        <v>2015</v>
      </c>
      <c r="E2027" s="36">
        <v>4797</v>
      </c>
      <c r="F2027" s="36">
        <v>2686</v>
      </c>
      <c r="G2027" s="36">
        <v>2110</v>
      </c>
      <c r="H2027" s="35">
        <v>1</v>
      </c>
      <c r="I2027" s="1"/>
      <c r="J2027" s="1"/>
      <c r="K2027" s="1"/>
      <c r="AA2027" s="1"/>
    </row>
    <row r="2028" spans="1:27" x14ac:dyDescent="0.25">
      <c r="A2028" t="s">
        <v>90</v>
      </c>
      <c r="B2028" t="str">
        <f t="shared" si="33"/>
        <v>60</v>
      </c>
      <c r="C2028" s="35">
        <v>2016</v>
      </c>
      <c r="D2028" s="1" t="s">
        <v>4</v>
      </c>
      <c r="E2028" s="36">
        <v>5220</v>
      </c>
      <c r="F2028" s="36">
        <v>3004</v>
      </c>
      <c r="G2028" s="36">
        <v>2215</v>
      </c>
      <c r="H2028" s="35">
        <v>1</v>
      </c>
      <c r="I2028" s="1"/>
      <c r="J2028" s="1"/>
      <c r="K2028" s="1"/>
      <c r="AA2028" s="1"/>
    </row>
    <row r="2029" spans="1:27" x14ac:dyDescent="0.25">
      <c r="A2029" t="s">
        <v>90</v>
      </c>
      <c r="B2029" t="str">
        <f t="shared" si="33"/>
        <v>60</v>
      </c>
      <c r="C2029" s="35">
        <v>2016</v>
      </c>
      <c r="D2029" s="35">
        <v>2010</v>
      </c>
      <c r="E2029" s="35">
        <v>1</v>
      </c>
      <c r="F2029" s="1" t="s">
        <v>2</v>
      </c>
      <c r="G2029" s="35">
        <v>1</v>
      </c>
      <c r="H2029" s="1" t="s">
        <v>2</v>
      </c>
      <c r="I2029" s="1"/>
      <c r="J2029" s="1"/>
      <c r="K2029" s="1"/>
      <c r="AA2029" s="1"/>
    </row>
    <row r="2030" spans="1:27" x14ac:dyDescent="0.25">
      <c r="A2030" t="s">
        <v>90</v>
      </c>
      <c r="B2030" t="str">
        <f t="shared" si="33"/>
        <v>60</v>
      </c>
      <c r="C2030" s="35">
        <v>2016</v>
      </c>
      <c r="D2030" s="35">
        <v>2013</v>
      </c>
      <c r="E2030" s="35">
        <v>1</v>
      </c>
      <c r="F2030" s="1" t="s">
        <v>2</v>
      </c>
      <c r="G2030" s="35">
        <v>1</v>
      </c>
      <c r="H2030" s="1" t="s">
        <v>2</v>
      </c>
      <c r="I2030" s="1"/>
      <c r="J2030" s="1"/>
      <c r="K2030" s="1"/>
      <c r="AA2030" s="1"/>
    </row>
    <row r="2031" spans="1:27" x14ac:dyDescent="0.25">
      <c r="A2031" t="s">
        <v>90</v>
      </c>
      <c r="B2031" t="str">
        <f t="shared" si="33"/>
        <v>60</v>
      </c>
      <c r="C2031" s="35">
        <v>2016</v>
      </c>
      <c r="D2031" s="35">
        <v>2014</v>
      </c>
      <c r="E2031" s="35">
        <v>1</v>
      </c>
      <c r="F2031" s="1" t="s">
        <v>2</v>
      </c>
      <c r="G2031" s="1" t="s">
        <v>2</v>
      </c>
      <c r="H2031" s="35">
        <v>1</v>
      </c>
      <c r="I2031" s="1"/>
      <c r="J2031" s="1"/>
      <c r="K2031" s="1"/>
      <c r="AA2031" s="1"/>
    </row>
    <row r="2032" spans="1:27" x14ac:dyDescent="0.25">
      <c r="A2032" t="s">
        <v>90</v>
      </c>
      <c r="B2032" t="str">
        <f t="shared" si="33"/>
        <v>60</v>
      </c>
      <c r="C2032" s="35">
        <v>2016</v>
      </c>
      <c r="D2032" s="35">
        <v>2015</v>
      </c>
      <c r="E2032" s="35">
        <v>28</v>
      </c>
      <c r="F2032" s="35">
        <v>23</v>
      </c>
      <c r="G2032" s="35">
        <v>5</v>
      </c>
      <c r="H2032" s="1" t="s">
        <v>2</v>
      </c>
      <c r="I2032" s="1"/>
      <c r="J2032" s="1"/>
      <c r="K2032" s="1"/>
      <c r="AA2032" s="1"/>
    </row>
    <row r="2033" spans="1:27" x14ac:dyDescent="0.25">
      <c r="A2033" t="s">
        <v>90</v>
      </c>
      <c r="B2033" t="str">
        <f t="shared" si="33"/>
        <v>60</v>
      </c>
      <c r="C2033" s="35">
        <v>2016</v>
      </c>
      <c r="D2033" s="35">
        <v>2016</v>
      </c>
      <c r="E2033" s="36">
        <v>5189</v>
      </c>
      <c r="F2033" s="36">
        <v>2981</v>
      </c>
      <c r="G2033" s="36">
        <v>2208</v>
      </c>
      <c r="H2033" s="1" t="s">
        <v>2</v>
      </c>
      <c r="I2033" s="1"/>
      <c r="J2033" s="1"/>
      <c r="K2033" s="1"/>
      <c r="AA2033" s="1"/>
    </row>
    <row r="2034" spans="1:27" x14ac:dyDescent="0.25">
      <c r="A2034" t="s">
        <v>90</v>
      </c>
      <c r="B2034" t="str">
        <f t="shared" si="33"/>
        <v>60</v>
      </c>
      <c r="C2034" s="35">
        <v>2017</v>
      </c>
      <c r="D2034" s="1" t="s">
        <v>4</v>
      </c>
      <c r="E2034" s="36">
        <v>5057</v>
      </c>
      <c r="F2034" s="36">
        <v>2871</v>
      </c>
      <c r="G2034" s="36">
        <v>2186</v>
      </c>
      <c r="H2034" s="1" t="s">
        <v>2</v>
      </c>
      <c r="I2034" s="1"/>
      <c r="J2034" s="1"/>
      <c r="K2034" s="1"/>
      <c r="AA2034" s="1"/>
    </row>
    <row r="2035" spans="1:27" x14ac:dyDescent="0.25">
      <c r="A2035" t="s">
        <v>90</v>
      </c>
      <c r="B2035" t="str">
        <f t="shared" si="33"/>
        <v>60</v>
      </c>
      <c r="C2035" s="35">
        <v>2017</v>
      </c>
      <c r="D2035" s="35">
        <v>2016</v>
      </c>
      <c r="E2035" s="35">
        <v>28</v>
      </c>
      <c r="F2035" s="35">
        <v>16</v>
      </c>
      <c r="G2035" s="35">
        <v>12</v>
      </c>
      <c r="H2035" s="1" t="s">
        <v>2</v>
      </c>
      <c r="I2035" s="1"/>
      <c r="J2035" s="1"/>
      <c r="K2035" s="1"/>
      <c r="AA2035" s="1"/>
    </row>
    <row r="2036" spans="1:27" x14ac:dyDescent="0.25">
      <c r="A2036" t="s">
        <v>90</v>
      </c>
      <c r="B2036" t="str">
        <f t="shared" si="33"/>
        <v>60</v>
      </c>
      <c r="C2036" s="35">
        <v>2017</v>
      </c>
      <c r="D2036" s="35">
        <v>2017</v>
      </c>
      <c r="E2036" s="36">
        <v>5029</v>
      </c>
      <c r="F2036" s="36">
        <v>2855</v>
      </c>
      <c r="G2036" s="36">
        <v>2174</v>
      </c>
      <c r="H2036" s="1" t="s">
        <v>2</v>
      </c>
      <c r="I2036" s="1"/>
      <c r="J2036" s="1"/>
      <c r="K2036" s="1"/>
      <c r="AA2036" s="1"/>
    </row>
    <row r="2037" spans="1:27" x14ac:dyDescent="0.25">
      <c r="A2037" t="s">
        <v>90</v>
      </c>
      <c r="B2037" t="str">
        <f t="shared" si="33"/>
        <v>60</v>
      </c>
      <c r="C2037" s="35">
        <v>2018</v>
      </c>
      <c r="D2037" s="1" t="s">
        <v>4</v>
      </c>
      <c r="E2037" s="36">
        <v>5166</v>
      </c>
      <c r="F2037" s="36">
        <v>2902</v>
      </c>
      <c r="G2037" s="36">
        <v>2264</v>
      </c>
      <c r="H2037" s="1" t="s">
        <v>2</v>
      </c>
      <c r="I2037" s="1"/>
      <c r="J2037" s="1"/>
      <c r="K2037" s="1"/>
      <c r="AA2037" s="1"/>
    </row>
    <row r="2038" spans="1:27" x14ac:dyDescent="0.25">
      <c r="A2038" t="s">
        <v>90</v>
      </c>
      <c r="B2038" t="str">
        <f t="shared" si="33"/>
        <v>60</v>
      </c>
      <c r="C2038" s="35">
        <v>2018</v>
      </c>
      <c r="D2038" s="35">
        <v>2017</v>
      </c>
      <c r="E2038" s="35">
        <v>26</v>
      </c>
      <c r="F2038" s="35">
        <v>18</v>
      </c>
      <c r="G2038" s="35">
        <v>8</v>
      </c>
      <c r="H2038" s="1" t="s">
        <v>2</v>
      </c>
      <c r="I2038" s="1"/>
      <c r="J2038" s="1"/>
      <c r="K2038" s="1"/>
      <c r="AA2038" s="1"/>
    </row>
    <row r="2039" spans="1:27" x14ac:dyDescent="0.25">
      <c r="A2039" t="s">
        <v>90</v>
      </c>
      <c r="B2039" t="str">
        <f t="shared" si="33"/>
        <v>60</v>
      </c>
      <c r="C2039" s="35">
        <v>2018</v>
      </c>
      <c r="D2039" s="35">
        <v>2018</v>
      </c>
      <c r="E2039" s="36">
        <v>5139</v>
      </c>
      <c r="F2039" s="36">
        <v>2884</v>
      </c>
      <c r="G2039" s="36">
        <v>2255</v>
      </c>
      <c r="H2039" s="1" t="s">
        <v>2</v>
      </c>
      <c r="I2039" s="1"/>
      <c r="J2039" s="1"/>
      <c r="K2039" s="1"/>
      <c r="AA2039" s="1"/>
    </row>
    <row r="2040" spans="1:27" x14ac:dyDescent="0.25">
      <c r="A2040" t="s">
        <v>90</v>
      </c>
      <c r="B2040" t="str">
        <f t="shared" si="33"/>
        <v>60</v>
      </c>
      <c r="C2040" s="35">
        <v>2018</v>
      </c>
      <c r="D2040" s="1" t="s">
        <v>24</v>
      </c>
      <c r="E2040" s="35">
        <v>1</v>
      </c>
      <c r="F2040" s="1" t="s">
        <v>2</v>
      </c>
      <c r="G2040" s="35">
        <v>1</v>
      </c>
      <c r="H2040" s="1" t="s">
        <v>2</v>
      </c>
      <c r="I2040" s="1"/>
      <c r="J2040" s="1"/>
      <c r="K2040" s="1"/>
      <c r="AA2040" s="1"/>
    </row>
    <row r="2041" spans="1:27" x14ac:dyDescent="0.25">
      <c r="A2041" t="s">
        <v>90</v>
      </c>
      <c r="B2041" t="str">
        <f t="shared" si="33"/>
        <v>60</v>
      </c>
      <c r="C2041" s="35">
        <v>2019</v>
      </c>
      <c r="D2041" s="1" t="s">
        <v>4</v>
      </c>
      <c r="E2041" s="36">
        <v>5298</v>
      </c>
      <c r="F2041" s="36">
        <v>3061</v>
      </c>
      <c r="G2041" s="36">
        <v>2237</v>
      </c>
      <c r="H2041" s="1" t="s">
        <v>2</v>
      </c>
      <c r="I2041" s="1"/>
      <c r="J2041" s="1"/>
      <c r="K2041" s="1"/>
      <c r="AA2041" s="1"/>
    </row>
    <row r="2042" spans="1:27" x14ac:dyDescent="0.25">
      <c r="A2042" t="s">
        <v>90</v>
      </c>
      <c r="B2042" t="str">
        <f t="shared" si="33"/>
        <v>60</v>
      </c>
      <c r="C2042" s="35">
        <v>2019</v>
      </c>
      <c r="D2042" s="35">
        <v>2010</v>
      </c>
      <c r="E2042" s="35">
        <v>1</v>
      </c>
      <c r="F2042" s="1" t="s">
        <v>2</v>
      </c>
      <c r="G2042" s="35">
        <v>1</v>
      </c>
      <c r="H2042" s="1" t="s">
        <v>2</v>
      </c>
      <c r="I2042" s="1"/>
      <c r="J2042" s="1"/>
      <c r="K2042" s="1"/>
      <c r="AA2042" s="1"/>
    </row>
    <row r="2043" spans="1:27" x14ac:dyDescent="0.25">
      <c r="A2043" t="s">
        <v>90</v>
      </c>
      <c r="B2043" t="str">
        <f t="shared" si="33"/>
        <v>60</v>
      </c>
      <c r="C2043" s="35">
        <v>2019</v>
      </c>
      <c r="D2043" s="35">
        <v>2018</v>
      </c>
      <c r="E2043" s="35">
        <v>41</v>
      </c>
      <c r="F2043" s="35">
        <v>27</v>
      </c>
      <c r="G2043" s="35">
        <v>14</v>
      </c>
      <c r="H2043" s="1" t="s">
        <v>2</v>
      </c>
      <c r="I2043" s="1"/>
      <c r="J2043" s="1"/>
      <c r="K2043" s="1"/>
      <c r="AA2043" s="1"/>
    </row>
    <row r="2044" spans="1:27" x14ac:dyDescent="0.25">
      <c r="A2044" t="s">
        <v>90</v>
      </c>
      <c r="B2044" t="str">
        <f t="shared" si="33"/>
        <v>60</v>
      </c>
      <c r="C2044" s="35">
        <v>2019</v>
      </c>
      <c r="D2044" s="35">
        <v>2019</v>
      </c>
      <c r="E2044" s="36">
        <v>5256</v>
      </c>
      <c r="F2044" s="36">
        <v>3034</v>
      </c>
      <c r="G2044" s="36">
        <v>2222</v>
      </c>
      <c r="H2044" s="1" t="s">
        <v>2</v>
      </c>
      <c r="I2044" s="1"/>
      <c r="J2044" s="1"/>
      <c r="K2044" s="1"/>
      <c r="AA2044" s="1"/>
    </row>
    <row r="2045" spans="1:27" x14ac:dyDescent="0.25">
      <c r="A2045" t="s">
        <v>90</v>
      </c>
      <c r="B2045" t="str">
        <f t="shared" si="33"/>
        <v>60</v>
      </c>
      <c r="C2045" s="35">
        <v>2020</v>
      </c>
      <c r="D2045" s="1" t="s">
        <v>4</v>
      </c>
      <c r="E2045" s="36">
        <v>10919</v>
      </c>
      <c r="F2045" s="36">
        <v>6854</v>
      </c>
      <c r="G2045" s="36">
        <v>4065</v>
      </c>
      <c r="H2045" s="1" t="s">
        <v>2</v>
      </c>
      <c r="I2045" s="1"/>
      <c r="J2045" s="1"/>
      <c r="K2045" s="1"/>
      <c r="AA2045" s="1"/>
    </row>
    <row r="2046" spans="1:27" x14ac:dyDescent="0.25">
      <c r="A2046" t="s">
        <v>90</v>
      </c>
      <c r="B2046" t="str">
        <f t="shared" si="33"/>
        <v>60</v>
      </c>
      <c r="C2046" s="35">
        <v>2020</v>
      </c>
      <c r="D2046" s="35">
        <v>2019</v>
      </c>
      <c r="E2046" s="35">
        <v>26</v>
      </c>
      <c r="F2046" s="35">
        <v>21</v>
      </c>
      <c r="G2046" s="35">
        <v>5</v>
      </c>
      <c r="H2046" s="1" t="s">
        <v>2</v>
      </c>
      <c r="I2046" s="1"/>
      <c r="J2046" s="1"/>
      <c r="K2046" s="1"/>
      <c r="AA2046" s="1"/>
    </row>
    <row r="2047" spans="1:27" x14ac:dyDescent="0.25">
      <c r="A2047" t="s">
        <v>90</v>
      </c>
      <c r="B2047" t="str">
        <f t="shared" si="33"/>
        <v>60</v>
      </c>
      <c r="C2047" s="35">
        <v>2020</v>
      </c>
      <c r="D2047" s="35">
        <v>2020</v>
      </c>
      <c r="E2047" s="36">
        <v>10893</v>
      </c>
      <c r="F2047" s="36">
        <v>6833</v>
      </c>
      <c r="G2047" s="36">
        <v>4060</v>
      </c>
      <c r="H2047" s="1" t="s">
        <v>2</v>
      </c>
      <c r="I2047" s="1"/>
      <c r="J2047" s="1"/>
      <c r="K2047" s="1"/>
      <c r="AA2047" s="1"/>
    </row>
    <row r="2048" spans="1:27" x14ac:dyDescent="0.25">
      <c r="A2048" t="s">
        <v>90</v>
      </c>
      <c r="B2048" t="str">
        <f t="shared" si="33"/>
        <v>60</v>
      </c>
      <c r="C2048" s="35">
        <v>2021</v>
      </c>
      <c r="D2048" s="1" t="s">
        <v>4</v>
      </c>
      <c r="E2048" s="36">
        <v>9716</v>
      </c>
      <c r="F2048" s="36">
        <v>5771</v>
      </c>
      <c r="G2048" s="36">
        <v>3945</v>
      </c>
      <c r="H2048" s="1" t="s">
        <v>2</v>
      </c>
      <c r="I2048" s="1"/>
      <c r="J2048" s="1"/>
      <c r="K2048" s="1"/>
      <c r="AA2048" s="1"/>
    </row>
    <row r="2049" spans="1:27" x14ac:dyDescent="0.25">
      <c r="A2049" t="s">
        <v>90</v>
      </c>
      <c r="B2049" t="str">
        <f t="shared" si="33"/>
        <v>60</v>
      </c>
      <c r="C2049" s="35">
        <v>2021</v>
      </c>
      <c r="D2049" s="35">
        <v>2020</v>
      </c>
      <c r="E2049" s="35">
        <v>55</v>
      </c>
      <c r="F2049" s="35">
        <v>37</v>
      </c>
      <c r="G2049" s="35">
        <v>18</v>
      </c>
      <c r="H2049" s="1" t="s">
        <v>2</v>
      </c>
      <c r="I2049" s="1"/>
      <c r="J2049" s="1"/>
      <c r="K2049" s="1"/>
      <c r="AA2049" s="1"/>
    </row>
    <row r="2050" spans="1:27" x14ac:dyDescent="0.25">
      <c r="A2050" t="s">
        <v>90</v>
      </c>
      <c r="B2050" t="str">
        <f t="shared" si="33"/>
        <v>60</v>
      </c>
      <c r="C2050" s="35">
        <v>2021</v>
      </c>
      <c r="D2050" s="35">
        <v>2021</v>
      </c>
      <c r="E2050" s="36">
        <v>9661</v>
      </c>
      <c r="F2050" s="36">
        <v>5734</v>
      </c>
      <c r="G2050" s="36">
        <v>3927</v>
      </c>
      <c r="H2050" s="1" t="s">
        <v>2</v>
      </c>
      <c r="I2050" s="1"/>
      <c r="J2050" s="1"/>
      <c r="K2050" s="1"/>
      <c r="AA2050" s="1"/>
    </row>
    <row r="2051" spans="1:27" x14ac:dyDescent="0.25">
      <c r="A2051" t="s">
        <v>90</v>
      </c>
      <c r="B2051" t="str">
        <f t="shared" si="33"/>
        <v>60</v>
      </c>
      <c r="C2051" s="35">
        <v>2022</v>
      </c>
      <c r="D2051" s="1" t="s">
        <v>4</v>
      </c>
      <c r="E2051" s="36">
        <v>5634</v>
      </c>
      <c r="F2051" s="36">
        <v>3252</v>
      </c>
      <c r="G2051" s="36">
        <v>2382</v>
      </c>
      <c r="H2051" s="1" t="s">
        <v>2</v>
      </c>
      <c r="I2051" s="1"/>
      <c r="J2051" s="1"/>
      <c r="K2051" s="1"/>
      <c r="AA2051" s="1"/>
    </row>
    <row r="2052" spans="1:27" x14ac:dyDescent="0.25">
      <c r="A2052" t="s">
        <v>90</v>
      </c>
      <c r="B2052" t="str">
        <f t="shared" si="33"/>
        <v>60</v>
      </c>
      <c r="C2052" s="35">
        <v>2022</v>
      </c>
      <c r="D2052" s="35">
        <v>2006</v>
      </c>
      <c r="E2052" s="35">
        <v>3</v>
      </c>
      <c r="F2052" s="35">
        <v>2</v>
      </c>
      <c r="G2052" s="35">
        <v>1</v>
      </c>
      <c r="H2052" s="1" t="s">
        <v>2</v>
      </c>
      <c r="I2052" s="1"/>
      <c r="J2052" s="1"/>
      <c r="K2052" s="1"/>
      <c r="AA2052" s="1"/>
    </row>
    <row r="2053" spans="1:27" x14ac:dyDescent="0.25">
      <c r="A2053" t="s">
        <v>90</v>
      </c>
      <c r="B2053" t="str">
        <f t="shared" si="33"/>
        <v>60</v>
      </c>
      <c r="C2053" s="35">
        <v>2022</v>
      </c>
      <c r="D2053" s="35">
        <v>2007</v>
      </c>
      <c r="E2053" s="35">
        <v>2</v>
      </c>
      <c r="F2053" s="35">
        <v>2</v>
      </c>
      <c r="G2053" s="1" t="s">
        <v>2</v>
      </c>
      <c r="H2053" s="1" t="s">
        <v>2</v>
      </c>
      <c r="I2053" s="1"/>
      <c r="J2053" s="1"/>
      <c r="K2053" s="1"/>
      <c r="AA2053" s="1"/>
    </row>
    <row r="2054" spans="1:27" x14ac:dyDescent="0.25">
      <c r="A2054" t="s">
        <v>90</v>
      </c>
      <c r="B2054" t="str">
        <f t="shared" si="33"/>
        <v>60</v>
      </c>
      <c r="C2054" s="35">
        <v>2022</v>
      </c>
      <c r="D2054" s="35">
        <v>2008</v>
      </c>
      <c r="E2054" s="35">
        <v>2</v>
      </c>
      <c r="F2054" s="35">
        <v>1</v>
      </c>
      <c r="G2054" s="35">
        <v>1</v>
      </c>
      <c r="H2054" s="1" t="s">
        <v>2</v>
      </c>
      <c r="I2054" s="1"/>
      <c r="J2054" s="1"/>
      <c r="K2054" s="1"/>
      <c r="AA2054" s="1"/>
    </row>
    <row r="2055" spans="1:27" x14ac:dyDescent="0.25">
      <c r="A2055" t="s">
        <v>90</v>
      </c>
      <c r="B2055" t="str">
        <f t="shared" ref="B2055:B2118" si="34">IF(A2055="Menores de 1 año",0,LEFT(A2055,2))</f>
        <v>60</v>
      </c>
      <c r="C2055" s="35">
        <v>2022</v>
      </c>
      <c r="D2055" s="35">
        <v>2009</v>
      </c>
      <c r="E2055" s="35">
        <v>2</v>
      </c>
      <c r="F2055" s="35">
        <v>1</v>
      </c>
      <c r="G2055" s="35">
        <v>1</v>
      </c>
      <c r="H2055" s="1" t="s">
        <v>2</v>
      </c>
      <c r="I2055" s="1"/>
      <c r="J2055" s="1"/>
      <c r="K2055" s="1"/>
      <c r="AA2055" s="1"/>
    </row>
    <row r="2056" spans="1:27" x14ac:dyDescent="0.25">
      <c r="A2056" t="s">
        <v>90</v>
      </c>
      <c r="B2056" t="str">
        <f t="shared" si="34"/>
        <v>60</v>
      </c>
      <c r="C2056" s="35">
        <v>2022</v>
      </c>
      <c r="D2056" s="35">
        <v>2010</v>
      </c>
      <c r="E2056" s="35">
        <v>2</v>
      </c>
      <c r="F2056" s="1" t="s">
        <v>2</v>
      </c>
      <c r="G2056" s="35">
        <v>2</v>
      </c>
      <c r="H2056" s="1" t="s">
        <v>2</v>
      </c>
      <c r="I2056" s="1"/>
      <c r="J2056" s="1"/>
      <c r="K2056" s="1"/>
      <c r="AA2056" s="1"/>
    </row>
    <row r="2057" spans="1:27" x14ac:dyDescent="0.25">
      <c r="A2057" t="s">
        <v>90</v>
      </c>
      <c r="B2057" t="str">
        <f t="shared" si="34"/>
        <v>60</v>
      </c>
      <c r="C2057" s="35">
        <v>2022</v>
      </c>
      <c r="D2057" s="35">
        <v>2020</v>
      </c>
      <c r="E2057" s="35">
        <v>2</v>
      </c>
      <c r="F2057" s="35">
        <v>1</v>
      </c>
      <c r="G2057" s="35">
        <v>1</v>
      </c>
      <c r="H2057" s="1" t="s">
        <v>2</v>
      </c>
      <c r="I2057" s="1"/>
      <c r="J2057" s="1"/>
      <c r="K2057" s="1"/>
      <c r="AA2057" s="1"/>
    </row>
    <row r="2058" spans="1:27" x14ac:dyDescent="0.25">
      <c r="A2058" t="s">
        <v>90</v>
      </c>
      <c r="B2058" t="str">
        <f t="shared" si="34"/>
        <v>60</v>
      </c>
      <c r="C2058" s="35">
        <v>2022</v>
      </c>
      <c r="D2058" s="35">
        <v>2021</v>
      </c>
      <c r="E2058" s="35">
        <v>21</v>
      </c>
      <c r="F2058" s="35">
        <v>13</v>
      </c>
      <c r="G2058" s="35">
        <v>8</v>
      </c>
      <c r="H2058" s="1" t="s">
        <v>2</v>
      </c>
      <c r="I2058" s="1"/>
      <c r="J2058" s="1"/>
      <c r="K2058" s="1"/>
      <c r="AA2058" s="1"/>
    </row>
    <row r="2059" spans="1:27" x14ac:dyDescent="0.25">
      <c r="A2059" t="s">
        <v>90</v>
      </c>
      <c r="B2059" t="str">
        <f t="shared" si="34"/>
        <v>60</v>
      </c>
      <c r="C2059" s="35">
        <v>2022</v>
      </c>
      <c r="D2059" s="35">
        <v>2022</v>
      </c>
      <c r="E2059" s="36">
        <v>5600</v>
      </c>
      <c r="F2059" s="36">
        <v>3232</v>
      </c>
      <c r="G2059" s="36">
        <v>2368</v>
      </c>
      <c r="H2059" s="1" t="s">
        <v>2</v>
      </c>
      <c r="I2059" s="1"/>
      <c r="J2059" s="1"/>
      <c r="K2059" s="1"/>
      <c r="AA2059" s="1"/>
    </row>
    <row r="2060" spans="1:27" x14ac:dyDescent="0.25">
      <c r="A2060" t="s">
        <v>90</v>
      </c>
      <c r="B2060" t="str">
        <f t="shared" si="34"/>
        <v>60</v>
      </c>
      <c r="C2060" s="35">
        <v>2023</v>
      </c>
      <c r="D2060" s="1" t="s">
        <v>4</v>
      </c>
      <c r="E2060" s="36">
        <v>5169</v>
      </c>
      <c r="F2060" s="36">
        <v>2949</v>
      </c>
      <c r="G2060" s="36">
        <v>2220</v>
      </c>
      <c r="H2060" s="1" t="s">
        <v>2</v>
      </c>
      <c r="I2060" s="1"/>
      <c r="J2060" s="1"/>
      <c r="K2060" s="1"/>
      <c r="AA2060" s="1"/>
    </row>
    <row r="2061" spans="1:27" x14ac:dyDescent="0.25">
      <c r="A2061" t="s">
        <v>90</v>
      </c>
      <c r="B2061" t="str">
        <f t="shared" si="34"/>
        <v>60</v>
      </c>
      <c r="C2061" s="35">
        <v>2023</v>
      </c>
      <c r="D2061" s="35">
        <v>2022</v>
      </c>
      <c r="E2061" s="35">
        <v>19</v>
      </c>
      <c r="F2061" s="35">
        <v>10</v>
      </c>
      <c r="G2061" s="35">
        <v>9</v>
      </c>
      <c r="H2061" s="1" t="s">
        <v>2</v>
      </c>
      <c r="I2061" s="1"/>
      <c r="J2061" s="1"/>
      <c r="K2061" s="1"/>
      <c r="AA2061" s="1"/>
    </row>
    <row r="2062" spans="1:27" x14ac:dyDescent="0.25">
      <c r="A2062" t="s">
        <v>90</v>
      </c>
      <c r="B2062" t="str">
        <f t="shared" si="34"/>
        <v>60</v>
      </c>
      <c r="C2062" s="35">
        <v>2023</v>
      </c>
      <c r="D2062" s="35">
        <v>2023</v>
      </c>
      <c r="E2062" s="36">
        <v>5150</v>
      </c>
      <c r="F2062" s="36">
        <v>2939</v>
      </c>
      <c r="G2062" s="36">
        <v>2211</v>
      </c>
      <c r="H2062" s="1" t="s">
        <v>2</v>
      </c>
      <c r="I2062" s="1"/>
      <c r="J2062" s="1"/>
      <c r="K2062" s="1"/>
      <c r="AA2062" s="1"/>
    </row>
    <row r="2063" spans="1:27" x14ac:dyDescent="0.25">
      <c r="A2063" t="s">
        <v>90</v>
      </c>
      <c r="B2063" t="str">
        <f t="shared" si="34"/>
        <v>60</v>
      </c>
      <c r="C2063" s="35">
        <v>2024</v>
      </c>
      <c r="D2063" s="1" t="s">
        <v>4</v>
      </c>
      <c r="E2063" s="36">
        <v>5442</v>
      </c>
      <c r="F2063" s="36">
        <v>3152</v>
      </c>
      <c r="G2063" s="36">
        <v>2290</v>
      </c>
      <c r="H2063" s="1" t="s">
        <v>2</v>
      </c>
      <c r="I2063" s="1"/>
      <c r="J2063" s="1"/>
      <c r="K2063" s="1"/>
      <c r="AA2063" s="1"/>
    </row>
    <row r="2064" spans="1:27" x14ac:dyDescent="0.25">
      <c r="A2064" t="s">
        <v>90</v>
      </c>
      <c r="B2064" t="str">
        <f t="shared" si="34"/>
        <v>60</v>
      </c>
      <c r="C2064" s="35">
        <v>2024</v>
      </c>
      <c r="D2064" s="35">
        <v>2023</v>
      </c>
      <c r="E2064" s="35">
        <v>14</v>
      </c>
      <c r="F2064" s="35">
        <v>7</v>
      </c>
      <c r="G2064" s="35">
        <v>7</v>
      </c>
      <c r="H2064" s="1" t="s">
        <v>2</v>
      </c>
      <c r="I2064" s="1"/>
      <c r="J2064" s="1"/>
      <c r="K2064" s="1"/>
      <c r="AA2064" s="1"/>
    </row>
    <row r="2065" spans="1:27" x14ac:dyDescent="0.25">
      <c r="A2065" t="s">
        <v>90</v>
      </c>
      <c r="B2065" t="str">
        <f t="shared" si="34"/>
        <v>60</v>
      </c>
      <c r="C2065" s="35">
        <v>2024</v>
      </c>
      <c r="D2065" s="35">
        <v>2024</v>
      </c>
      <c r="E2065" s="36">
        <v>5428</v>
      </c>
      <c r="F2065" s="36">
        <v>3145</v>
      </c>
      <c r="G2065" s="36">
        <v>2283</v>
      </c>
      <c r="H2065" s="1" t="s">
        <v>2</v>
      </c>
      <c r="I2065" s="1"/>
      <c r="J2065" s="1"/>
      <c r="K2065" s="1"/>
      <c r="AA2065" s="1"/>
    </row>
    <row r="2066" spans="1:27" x14ac:dyDescent="0.25">
      <c r="A2066" t="s">
        <v>91</v>
      </c>
      <c r="B2066" t="str">
        <f t="shared" si="34"/>
        <v>65</v>
      </c>
      <c r="C2066" s="35">
        <v>1990</v>
      </c>
      <c r="D2066" s="1" t="s">
        <v>4</v>
      </c>
      <c r="E2066" s="36">
        <v>3803</v>
      </c>
      <c r="F2066" s="36">
        <v>1999</v>
      </c>
      <c r="G2066" s="36">
        <v>1804</v>
      </c>
      <c r="H2066" s="1" t="s">
        <v>2</v>
      </c>
      <c r="I2066" s="1"/>
      <c r="J2066" s="1"/>
      <c r="K2066" s="1"/>
      <c r="AA2066" s="1"/>
    </row>
    <row r="2067" spans="1:27" x14ac:dyDescent="0.25">
      <c r="A2067" t="s">
        <v>91</v>
      </c>
      <c r="B2067" t="str">
        <f t="shared" si="34"/>
        <v>65</v>
      </c>
      <c r="C2067" s="35">
        <v>1990</v>
      </c>
      <c r="D2067" s="35">
        <v>1990</v>
      </c>
      <c r="E2067" s="36">
        <v>3796</v>
      </c>
      <c r="F2067" s="36">
        <v>1992</v>
      </c>
      <c r="G2067" s="36">
        <v>1804</v>
      </c>
      <c r="H2067" s="1" t="s">
        <v>2</v>
      </c>
      <c r="I2067" s="1"/>
      <c r="J2067" s="1"/>
      <c r="K2067" s="1"/>
      <c r="AA2067" s="1"/>
    </row>
    <row r="2068" spans="1:27" x14ac:dyDescent="0.25">
      <c r="A2068" t="s">
        <v>91</v>
      </c>
      <c r="B2068" t="str">
        <f t="shared" si="34"/>
        <v>65</v>
      </c>
      <c r="C2068" s="35">
        <v>1990</v>
      </c>
      <c r="D2068" s="1" t="s">
        <v>24</v>
      </c>
      <c r="E2068" s="35">
        <v>7</v>
      </c>
      <c r="F2068" s="35">
        <v>7</v>
      </c>
      <c r="G2068" s="1" t="s">
        <v>2</v>
      </c>
      <c r="H2068" s="1" t="s">
        <v>2</v>
      </c>
      <c r="I2068" s="1"/>
      <c r="J2068" s="1"/>
      <c r="K2068" s="1"/>
      <c r="AA2068" s="1"/>
    </row>
    <row r="2069" spans="1:27" x14ac:dyDescent="0.25">
      <c r="A2069" t="s">
        <v>91</v>
      </c>
      <c r="B2069" t="str">
        <f t="shared" si="34"/>
        <v>65</v>
      </c>
      <c r="C2069" s="35">
        <v>1991</v>
      </c>
      <c r="D2069" s="1" t="s">
        <v>4</v>
      </c>
      <c r="E2069" s="36">
        <v>3981</v>
      </c>
      <c r="F2069" s="36">
        <v>2046</v>
      </c>
      <c r="G2069" s="36">
        <v>1935</v>
      </c>
      <c r="H2069" s="1" t="s">
        <v>2</v>
      </c>
      <c r="I2069" s="1"/>
      <c r="J2069" s="1"/>
      <c r="K2069" s="1"/>
      <c r="AA2069" s="1"/>
    </row>
    <row r="2070" spans="1:27" x14ac:dyDescent="0.25">
      <c r="A2070" t="s">
        <v>91</v>
      </c>
      <c r="B2070" t="str">
        <f t="shared" si="34"/>
        <v>65</v>
      </c>
      <c r="C2070" s="35">
        <v>1991</v>
      </c>
      <c r="D2070" s="35">
        <v>1991</v>
      </c>
      <c r="E2070" s="36">
        <v>3976</v>
      </c>
      <c r="F2070" s="36">
        <v>2043</v>
      </c>
      <c r="G2070" s="36">
        <v>1933</v>
      </c>
      <c r="H2070" s="1" t="s">
        <v>2</v>
      </c>
      <c r="I2070" s="1"/>
      <c r="J2070" s="1"/>
      <c r="K2070" s="1"/>
      <c r="AA2070" s="1"/>
    </row>
    <row r="2071" spans="1:27" x14ac:dyDescent="0.25">
      <c r="A2071" t="s">
        <v>91</v>
      </c>
      <c r="B2071" t="str">
        <f t="shared" si="34"/>
        <v>65</v>
      </c>
      <c r="C2071" s="35">
        <v>1991</v>
      </c>
      <c r="D2071" s="1" t="s">
        <v>24</v>
      </c>
      <c r="E2071" s="35">
        <v>5</v>
      </c>
      <c r="F2071" s="35">
        <v>3</v>
      </c>
      <c r="G2071" s="35">
        <v>2</v>
      </c>
      <c r="H2071" s="1" t="s">
        <v>2</v>
      </c>
      <c r="I2071" s="1"/>
      <c r="J2071" s="1"/>
      <c r="K2071" s="1"/>
      <c r="AA2071" s="1"/>
    </row>
    <row r="2072" spans="1:27" x14ac:dyDescent="0.25">
      <c r="A2072" t="s">
        <v>91</v>
      </c>
      <c r="B2072" t="str">
        <f t="shared" si="34"/>
        <v>65</v>
      </c>
      <c r="C2072" s="35">
        <v>1992</v>
      </c>
      <c r="D2072" s="1" t="s">
        <v>4</v>
      </c>
      <c r="E2072" s="36">
        <v>3888</v>
      </c>
      <c r="F2072" s="36">
        <v>2015</v>
      </c>
      <c r="G2072" s="36">
        <v>1873</v>
      </c>
      <c r="H2072" s="1" t="s">
        <v>2</v>
      </c>
      <c r="I2072" s="1"/>
      <c r="J2072" s="1"/>
      <c r="K2072" s="1"/>
      <c r="AA2072" s="1"/>
    </row>
    <row r="2073" spans="1:27" x14ac:dyDescent="0.25">
      <c r="A2073" t="s">
        <v>91</v>
      </c>
      <c r="B2073" t="str">
        <f t="shared" si="34"/>
        <v>65</v>
      </c>
      <c r="C2073" s="35">
        <v>1992</v>
      </c>
      <c r="D2073" s="35">
        <v>1992</v>
      </c>
      <c r="E2073" s="36">
        <v>3887</v>
      </c>
      <c r="F2073" s="36">
        <v>2014</v>
      </c>
      <c r="G2073" s="36">
        <v>1873</v>
      </c>
      <c r="H2073" s="1" t="s">
        <v>2</v>
      </c>
      <c r="I2073" s="1"/>
      <c r="J2073" s="1"/>
      <c r="K2073" s="1"/>
      <c r="AA2073" s="1"/>
    </row>
    <row r="2074" spans="1:27" x14ac:dyDescent="0.25">
      <c r="A2074" t="s">
        <v>91</v>
      </c>
      <c r="B2074" t="str">
        <f t="shared" si="34"/>
        <v>65</v>
      </c>
      <c r="C2074" s="35">
        <v>1992</v>
      </c>
      <c r="D2074" s="1" t="s">
        <v>24</v>
      </c>
      <c r="E2074" s="35">
        <v>1</v>
      </c>
      <c r="F2074" s="35">
        <v>1</v>
      </c>
      <c r="G2074" s="1" t="s">
        <v>2</v>
      </c>
      <c r="H2074" s="1" t="s">
        <v>2</v>
      </c>
      <c r="I2074" s="1"/>
      <c r="J2074" s="1"/>
      <c r="K2074" s="1"/>
      <c r="AA2074" s="1"/>
    </row>
    <row r="2075" spans="1:27" x14ac:dyDescent="0.25">
      <c r="A2075" t="s">
        <v>91</v>
      </c>
      <c r="B2075" t="str">
        <f t="shared" si="34"/>
        <v>65</v>
      </c>
      <c r="C2075" s="35">
        <v>1993</v>
      </c>
      <c r="D2075" s="1" t="s">
        <v>4</v>
      </c>
      <c r="E2075" s="36">
        <v>3951</v>
      </c>
      <c r="F2075" s="36">
        <v>2026</v>
      </c>
      <c r="G2075" s="36">
        <v>1925</v>
      </c>
      <c r="H2075" s="1" t="s">
        <v>2</v>
      </c>
      <c r="I2075" s="1"/>
      <c r="J2075" s="1"/>
      <c r="K2075" s="1"/>
      <c r="AA2075" s="1"/>
    </row>
    <row r="2076" spans="1:27" x14ac:dyDescent="0.25">
      <c r="A2076" t="s">
        <v>91</v>
      </c>
      <c r="B2076" t="str">
        <f t="shared" si="34"/>
        <v>65</v>
      </c>
      <c r="C2076" s="35">
        <v>1993</v>
      </c>
      <c r="D2076" s="35">
        <v>1943</v>
      </c>
      <c r="E2076" s="35">
        <v>2</v>
      </c>
      <c r="F2076" s="1" t="s">
        <v>2</v>
      </c>
      <c r="G2076" s="35">
        <v>2</v>
      </c>
      <c r="H2076" s="1" t="s">
        <v>2</v>
      </c>
      <c r="I2076" s="1"/>
      <c r="J2076" s="1"/>
      <c r="K2076" s="1"/>
      <c r="AA2076" s="1"/>
    </row>
    <row r="2077" spans="1:27" x14ac:dyDescent="0.25">
      <c r="A2077" t="s">
        <v>91</v>
      </c>
      <c r="B2077" t="str">
        <f t="shared" si="34"/>
        <v>65</v>
      </c>
      <c r="C2077" s="35">
        <v>1993</v>
      </c>
      <c r="D2077" s="35">
        <v>1992</v>
      </c>
      <c r="E2077" s="35">
        <v>15</v>
      </c>
      <c r="F2077" s="35">
        <v>5</v>
      </c>
      <c r="G2077" s="35">
        <v>10</v>
      </c>
      <c r="H2077" s="1" t="s">
        <v>2</v>
      </c>
      <c r="I2077" s="1"/>
      <c r="J2077" s="1"/>
      <c r="K2077" s="1"/>
      <c r="AA2077" s="1"/>
    </row>
    <row r="2078" spans="1:27" x14ac:dyDescent="0.25">
      <c r="A2078" t="s">
        <v>91</v>
      </c>
      <c r="B2078" t="str">
        <f t="shared" si="34"/>
        <v>65</v>
      </c>
      <c r="C2078" s="35">
        <v>1993</v>
      </c>
      <c r="D2078" s="35">
        <v>1993</v>
      </c>
      <c r="E2078" s="36">
        <v>3933</v>
      </c>
      <c r="F2078" s="36">
        <v>2020</v>
      </c>
      <c r="G2078" s="36">
        <v>1913</v>
      </c>
      <c r="H2078" s="1" t="s">
        <v>2</v>
      </c>
      <c r="I2078" s="1"/>
      <c r="J2078" s="1"/>
      <c r="K2078" s="1"/>
      <c r="AA2078" s="1"/>
    </row>
    <row r="2079" spans="1:27" x14ac:dyDescent="0.25">
      <c r="A2079" t="s">
        <v>91</v>
      </c>
      <c r="B2079" t="str">
        <f t="shared" si="34"/>
        <v>65</v>
      </c>
      <c r="C2079" s="35">
        <v>1993</v>
      </c>
      <c r="D2079" s="1" t="s">
        <v>24</v>
      </c>
      <c r="E2079" s="35">
        <v>1</v>
      </c>
      <c r="F2079" s="35">
        <v>1</v>
      </c>
      <c r="G2079" s="1" t="s">
        <v>2</v>
      </c>
      <c r="H2079" s="1" t="s">
        <v>2</v>
      </c>
      <c r="I2079" s="1"/>
      <c r="J2079" s="1"/>
      <c r="K2079" s="1"/>
      <c r="AA2079" s="1"/>
    </row>
    <row r="2080" spans="1:27" x14ac:dyDescent="0.25">
      <c r="A2080" t="s">
        <v>91</v>
      </c>
      <c r="B2080" t="str">
        <f t="shared" si="34"/>
        <v>65</v>
      </c>
      <c r="C2080" s="35">
        <v>1994</v>
      </c>
      <c r="D2080" s="1" t="s">
        <v>4</v>
      </c>
      <c r="E2080" s="36">
        <v>3762</v>
      </c>
      <c r="F2080" s="36">
        <v>1903</v>
      </c>
      <c r="G2080" s="36">
        <v>1859</v>
      </c>
      <c r="H2080" s="1" t="s">
        <v>2</v>
      </c>
      <c r="I2080" s="1"/>
      <c r="J2080" s="1"/>
      <c r="K2080" s="1"/>
      <c r="AA2080" s="1"/>
    </row>
    <row r="2081" spans="1:27" x14ac:dyDescent="0.25">
      <c r="A2081" t="s">
        <v>91</v>
      </c>
      <c r="B2081" t="str">
        <f t="shared" si="34"/>
        <v>65</v>
      </c>
      <c r="C2081" s="35">
        <v>1994</v>
      </c>
      <c r="D2081" s="35">
        <v>1904</v>
      </c>
      <c r="E2081" s="35">
        <v>1</v>
      </c>
      <c r="F2081" s="1" t="s">
        <v>2</v>
      </c>
      <c r="G2081" s="35">
        <v>1</v>
      </c>
      <c r="H2081" s="1" t="s">
        <v>2</v>
      </c>
      <c r="I2081" s="1"/>
      <c r="J2081" s="1"/>
      <c r="K2081" s="1"/>
      <c r="AA2081" s="1"/>
    </row>
    <row r="2082" spans="1:27" x14ac:dyDescent="0.25">
      <c r="A2082" t="s">
        <v>91</v>
      </c>
      <c r="B2082" t="str">
        <f t="shared" si="34"/>
        <v>65</v>
      </c>
      <c r="C2082" s="35">
        <v>1994</v>
      </c>
      <c r="D2082" s="35">
        <v>1984</v>
      </c>
      <c r="E2082" s="35">
        <v>1</v>
      </c>
      <c r="F2082" s="1" t="s">
        <v>2</v>
      </c>
      <c r="G2082" s="35">
        <v>1</v>
      </c>
      <c r="H2082" s="1" t="s">
        <v>2</v>
      </c>
      <c r="I2082" s="1"/>
      <c r="J2082" s="1"/>
      <c r="K2082" s="1"/>
      <c r="AA2082" s="1"/>
    </row>
    <row r="2083" spans="1:27" x14ac:dyDescent="0.25">
      <c r="A2083" t="s">
        <v>91</v>
      </c>
      <c r="B2083" t="str">
        <f t="shared" si="34"/>
        <v>65</v>
      </c>
      <c r="C2083" s="35">
        <v>1994</v>
      </c>
      <c r="D2083" s="35">
        <v>1993</v>
      </c>
      <c r="E2083" s="35">
        <v>11</v>
      </c>
      <c r="F2083" s="35">
        <v>6</v>
      </c>
      <c r="G2083" s="35">
        <v>5</v>
      </c>
      <c r="H2083" s="1" t="s">
        <v>2</v>
      </c>
      <c r="I2083" s="1"/>
      <c r="J2083" s="1"/>
      <c r="K2083" s="1"/>
      <c r="AA2083" s="1"/>
    </row>
    <row r="2084" spans="1:27" x14ac:dyDescent="0.25">
      <c r="A2084" t="s">
        <v>91</v>
      </c>
      <c r="B2084" t="str">
        <f t="shared" si="34"/>
        <v>65</v>
      </c>
      <c r="C2084" s="35">
        <v>1994</v>
      </c>
      <c r="D2084" s="35">
        <v>1994</v>
      </c>
      <c r="E2084" s="36">
        <v>3749</v>
      </c>
      <c r="F2084" s="36">
        <v>1897</v>
      </c>
      <c r="G2084" s="36">
        <v>1852</v>
      </c>
      <c r="H2084" s="1" t="s">
        <v>2</v>
      </c>
      <c r="I2084" s="1"/>
      <c r="J2084" s="1"/>
      <c r="K2084" s="1"/>
      <c r="AA2084" s="1"/>
    </row>
    <row r="2085" spans="1:27" x14ac:dyDescent="0.25">
      <c r="A2085" t="s">
        <v>91</v>
      </c>
      <c r="B2085" t="str">
        <f t="shared" si="34"/>
        <v>65</v>
      </c>
      <c r="C2085" s="35">
        <v>1995</v>
      </c>
      <c r="D2085" s="1" t="s">
        <v>4</v>
      </c>
      <c r="E2085" s="36">
        <v>3981</v>
      </c>
      <c r="F2085" s="36">
        <v>2023</v>
      </c>
      <c r="G2085" s="36">
        <v>1958</v>
      </c>
      <c r="H2085" s="1" t="s">
        <v>2</v>
      </c>
      <c r="I2085" s="1"/>
      <c r="J2085" s="1"/>
      <c r="K2085" s="1"/>
      <c r="AA2085" s="1"/>
    </row>
    <row r="2086" spans="1:27" x14ac:dyDescent="0.25">
      <c r="A2086" t="s">
        <v>91</v>
      </c>
      <c r="B2086" t="str">
        <f t="shared" si="34"/>
        <v>65</v>
      </c>
      <c r="C2086" s="35">
        <v>1995</v>
      </c>
      <c r="D2086" s="35">
        <v>1915</v>
      </c>
      <c r="E2086" s="35">
        <v>1</v>
      </c>
      <c r="F2086" s="1" t="s">
        <v>2</v>
      </c>
      <c r="G2086" s="35">
        <v>1</v>
      </c>
      <c r="H2086" s="1" t="s">
        <v>2</v>
      </c>
      <c r="I2086" s="1"/>
      <c r="J2086" s="1"/>
      <c r="K2086" s="1"/>
      <c r="AA2086" s="1"/>
    </row>
    <row r="2087" spans="1:27" x14ac:dyDescent="0.25">
      <c r="A2087" t="s">
        <v>91</v>
      </c>
      <c r="B2087" t="str">
        <f t="shared" si="34"/>
        <v>65</v>
      </c>
      <c r="C2087" s="35">
        <v>1995</v>
      </c>
      <c r="D2087" s="35">
        <v>1985</v>
      </c>
      <c r="E2087" s="35">
        <v>1</v>
      </c>
      <c r="F2087" s="1" t="s">
        <v>2</v>
      </c>
      <c r="G2087" s="35">
        <v>1</v>
      </c>
      <c r="H2087" s="1" t="s">
        <v>2</v>
      </c>
      <c r="I2087" s="1"/>
      <c r="J2087" s="1"/>
      <c r="K2087" s="1"/>
      <c r="AA2087" s="1"/>
    </row>
    <row r="2088" spans="1:27" x14ac:dyDescent="0.25">
      <c r="A2088" t="s">
        <v>91</v>
      </c>
      <c r="B2088" t="str">
        <f t="shared" si="34"/>
        <v>65</v>
      </c>
      <c r="C2088" s="35">
        <v>1995</v>
      </c>
      <c r="D2088" s="35">
        <v>1991</v>
      </c>
      <c r="E2088" s="35">
        <v>1</v>
      </c>
      <c r="F2088" s="35">
        <v>1</v>
      </c>
      <c r="G2088" s="1" t="s">
        <v>2</v>
      </c>
      <c r="H2088" s="1" t="s">
        <v>2</v>
      </c>
      <c r="I2088" s="1"/>
      <c r="J2088" s="1"/>
      <c r="K2088" s="1"/>
      <c r="AA2088" s="1"/>
    </row>
    <row r="2089" spans="1:27" x14ac:dyDescent="0.25">
      <c r="A2089" t="s">
        <v>91</v>
      </c>
      <c r="B2089" t="str">
        <f t="shared" si="34"/>
        <v>65</v>
      </c>
      <c r="C2089" s="35">
        <v>1995</v>
      </c>
      <c r="D2089" s="35">
        <v>1993</v>
      </c>
      <c r="E2089" s="35">
        <v>3</v>
      </c>
      <c r="F2089" s="35">
        <v>1</v>
      </c>
      <c r="G2089" s="35">
        <v>2</v>
      </c>
      <c r="H2089" s="1" t="s">
        <v>2</v>
      </c>
      <c r="I2089" s="1"/>
      <c r="J2089" s="1"/>
      <c r="K2089" s="1"/>
      <c r="AA2089" s="1"/>
    </row>
    <row r="2090" spans="1:27" x14ac:dyDescent="0.25">
      <c r="A2090" t="s">
        <v>91</v>
      </c>
      <c r="B2090" t="str">
        <f t="shared" si="34"/>
        <v>65</v>
      </c>
      <c r="C2090" s="35">
        <v>1995</v>
      </c>
      <c r="D2090" s="35">
        <v>1994</v>
      </c>
      <c r="E2090" s="35">
        <v>16</v>
      </c>
      <c r="F2090" s="35">
        <v>9</v>
      </c>
      <c r="G2090" s="35">
        <v>7</v>
      </c>
      <c r="H2090" s="1" t="s">
        <v>2</v>
      </c>
      <c r="I2090" s="1"/>
      <c r="J2090" s="1"/>
      <c r="K2090" s="1"/>
      <c r="AA2090" s="1"/>
    </row>
    <row r="2091" spans="1:27" x14ac:dyDescent="0.25">
      <c r="A2091" t="s">
        <v>91</v>
      </c>
      <c r="B2091" t="str">
        <f t="shared" si="34"/>
        <v>65</v>
      </c>
      <c r="C2091" s="35">
        <v>1995</v>
      </c>
      <c r="D2091" s="35">
        <v>1995</v>
      </c>
      <c r="E2091" s="36">
        <v>3958</v>
      </c>
      <c r="F2091" s="36">
        <v>2011</v>
      </c>
      <c r="G2091" s="36">
        <v>1947</v>
      </c>
      <c r="H2091" s="1" t="s">
        <v>2</v>
      </c>
      <c r="I2091" s="1"/>
      <c r="J2091" s="1"/>
      <c r="K2091" s="1"/>
      <c r="AA2091" s="1"/>
    </row>
    <row r="2092" spans="1:27" x14ac:dyDescent="0.25">
      <c r="A2092" t="s">
        <v>91</v>
      </c>
      <c r="B2092" t="str">
        <f t="shared" si="34"/>
        <v>65</v>
      </c>
      <c r="C2092" s="35">
        <v>1995</v>
      </c>
      <c r="D2092" s="1" t="s">
        <v>24</v>
      </c>
      <c r="E2092" s="35">
        <v>1</v>
      </c>
      <c r="F2092" s="35">
        <v>1</v>
      </c>
      <c r="G2092" s="1" t="s">
        <v>2</v>
      </c>
      <c r="H2092" s="1" t="s">
        <v>2</v>
      </c>
      <c r="I2092" s="1"/>
      <c r="J2092" s="1"/>
      <c r="K2092" s="1"/>
      <c r="AA2092" s="1"/>
    </row>
    <row r="2093" spans="1:27" x14ac:dyDescent="0.25">
      <c r="A2093" t="s">
        <v>91</v>
      </c>
      <c r="B2093" t="str">
        <f t="shared" si="34"/>
        <v>65</v>
      </c>
      <c r="C2093" s="35">
        <v>1996</v>
      </c>
      <c r="D2093" s="1" t="s">
        <v>4</v>
      </c>
      <c r="E2093" s="36">
        <v>4070</v>
      </c>
      <c r="F2093" s="36">
        <v>1996</v>
      </c>
      <c r="G2093" s="36">
        <v>2074</v>
      </c>
      <c r="H2093" s="1" t="s">
        <v>2</v>
      </c>
      <c r="I2093" s="1"/>
      <c r="J2093" s="1"/>
      <c r="K2093" s="1"/>
      <c r="AA2093" s="1"/>
    </row>
    <row r="2094" spans="1:27" x14ac:dyDescent="0.25">
      <c r="A2094" t="s">
        <v>91</v>
      </c>
      <c r="B2094" t="str">
        <f t="shared" si="34"/>
        <v>65</v>
      </c>
      <c r="C2094" s="35">
        <v>1996</v>
      </c>
      <c r="D2094" s="35">
        <v>1986</v>
      </c>
      <c r="E2094" s="35">
        <v>1</v>
      </c>
      <c r="F2094" s="35">
        <v>1</v>
      </c>
      <c r="G2094" s="1" t="s">
        <v>2</v>
      </c>
      <c r="H2094" s="1" t="s">
        <v>2</v>
      </c>
      <c r="I2094" s="1"/>
      <c r="J2094" s="1"/>
      <c r="K2094" s="1"/>
      <c r="AA2094" s="1"/>
    </row>
    <row r="2095" spans="1:27" x14ac:dyDescent="0.25">
      <c r="A2095" t="s">
        <v>91</v>
      </c>
      <c r="B2095" t="str">
        <f t="shared" si="34"/>
        <v>65</v>
      </c>
      <c r="C2095" s="35">
        <v>1996</v>
      </c>
      <c r="D2095" s="35">
        <v>1992</v>
      </c>
      <c r="E2095" s="35">
        <v>1</v>
      </c>
      <c r="F2095" s="35">
        <v>1</v>
      </c>
      <c r="G2095" s="1" t="s">
        <v>2</v>
      </c>
      <c r="H2095" s="1" t="s">
        <v>2</v>
      </c>
      <c r="I2095" s="1"/>
      <c r="J2095" s="1"/>
      <c r="K2095" s="1"/>
      <c r="AA2095" s="1"/>
    </row>
    <row r="2096" spans="1:27" x14ac:dyDescent="0.25">
      <c r="A2096" t="s">
        <v>91</v>
      </c>
      <c r="B2096" t="str">
        <f t="shared" si="34"/>
        <v>65</v>
      </c>
      <c r="C2096" s="35">
        <v>1996</v>
      </c>
      <c r="D2096" s="35">
        <v>1994</v>
      </c>
      <c r="E2096" s="35">
        <v>2</v>
      </c>
      <c r="F2096" s="35">
        <v>2</v>
      </c>
      <c r="G2096" s="1" t="s">
        <v>2</v>
      </c>
      <c r="H2096" s="1" t="s">
        <v>2</v>
      </c>
      <c r="I2096" s="1"/>
      <c r="J2096" s="1"/>
      <c r="K2096" s="1"/>
      <c r="AA2096" s="1"/>
    </row>
    <row r="2097" spans="1:27" x14ac:dyDescent="0.25">
      <c r="A2097" t="s">
        <v>91</v>
      </c>
      <c r="B2097" t="str">
        <f t="shared" si="34"/>
        <v>65</v>
      </c>
      <c r="C2097" s="35">
        <v>1996</v>
      </c>
      <c r="D2097" s="35">
        <v>1995</v>
      </c>
      <c r="E2097" s="35">
        <v>21</v>
      </c>
      <c r="F2097" s="35">
        <v>13</v>
      </c>
      <c r="G2097" s="35">
        <v>8</v>
      </c>
      <c r="H2097" s="1" t="s">
        <v>2</v>
      </c>
      <c r="I2097" s="1"/>
      <c r="J2097" s="1"/>
      <c r="K2097" s="1"/>
      <c r="AA2097" s="1"/>
    </row>
    <row r="2098" spans="1:27" x14ac:dyDescent="0.25">
      <c r="A2098" t="s">
        <v>91</v>
      </c>
      <c r="B2098" t="str">
        <f t="shared" si="34"/>
        <v>65</v>
      </c>
      <c r="C2098" s="35">
        <v>1996</v>
      </c>
      <c r="D2098" s="35">
        <v>1996</v>
      </c>
      <c r="E2098" s="36">
        <v>4045</v>
      </c>
      <c r="F2098" s="36">
        <v>1979</v>
      </c>
      <c r="G2098" s="36">
        <v>2066</v>
      </c>
      <c r="H2098" s="1" t="s">
        <v>2</v>
      </c>
      <c r="I2098" s="1"/>
      <c r="J2098" s="1"/>
      <c r="K2098" s="1"/>
      <c r="AA2098" s="1"/>
    </row>
    <row r="2099" spans="1:27" x14ac:dyDescent="0.25">
      <c r="A2099" t="s">
        <v>91</v>
      </c>
      <c r="B2099" t="str">
        <f t="shared" si="34"/>
        <v>65</v>
      </c>
      <c r="C2099" s="35">
        <v>1997</v>
      </c>
      <c r="D2099" s="1" t="s">
        <v>4</v>
      </c>
      <c r="E2099" s="36">
        <v>4072</v>
      </c>
      <c r="F2099" s="36">
        <v>2001</v>
      </c>
      <c r="G2099" s="36">
        <v>2071</v>
      </c>
      <c r="H2099" s="1" t="s">
        <v>2</v>
      </c>
      <c r="I2099" s="1"/>
      <c r="J2099" s="1"/>
      <c r="K2099" s="1"/>
      <c r="AA2099" s="1"/>
    </row>
    <row r="2100" spans="1:27" x14ac:dyDescent="0.25">
      <c r="A2100" t="s">
        <v>91</v>
      </c>
      <c r="B2100" t="str">
        <f t="shared" si="34"/>
        <v>65</v>
      </c>
      <c r="C2100" s="35">
        <v>1997</v>
      </c>
      <c r="D2100" s="35">
        <v>1971</v>
      </c>
      <c r="E2100" s="35">
        <v>1</v>
      </c>
      <c r="F2100" s="1" t="s">
        <v>2</v>
      </c>
      <c r="G2100" s="35">
        <v>1</v>
      </c>
      <c r="H2100" s="1" t="s">
        <v>2</v>
      </c>
      <c r="I2100" s="1"/>
      <c r="J2100" s="1"/>
      <c r="K2100" s="1"/>
      <c r="AA2100" s="1"/>
    </row>
    <row r="2101" spans="1:27" x14ac:dyDescent="0.25">
      <c r="A2101" t="s">
        <v>91</v>
      </c>
      <c r="B2101" t="str">
        <f t="shared" si="34"/>
        <v>65</v>
      </c>
      <c r="C2101" s="35">
        <v>1997</v>
      </c>
      <c r="D2101" s="35">
        <v>1991</v>
      </c>
      <c r="E2101" s="35">
        <v>1</v>
      </c>
      <c r="F2101" s="1" t="s">
        <v>2</v>
      </c>
      <c r="G2101" s="35">
        <v>1</v>
      </c>
      <c r="H2101" s="1" t="s">
        <v>2</v>
      </c>
      <c r="I2101" s="1"/>
      <c r="J2101" s="1"/>
      <c r="K2101" s="1"/>
      <c r="AA2101" s="1"/>
    </row>
    <row r="2102" spans="1:27" x14ac:dyDescent="0.25">
      <c r="A2102" t="s">
        <v>91</v>
      </c>
      <c r="B2102" t="str">
        <f t="shared" si="34"/>
        <v>65</v>
      </c>
      <c r="C2102" s="35">
        <v>1997</v>
      </c>
      <c r="D2102" s="35">
        <v>1993</v>
      </c>
      <c r="E2102" s="35">
        <v>1</v>
      </c>
      <c r="F2102" s="1" t="s">
        <v>2</v>
      </c>
      <c r="G2102" s="35">
        <v>1</v>
      </c>
      <c r="H2102" s="1" t="s">
        <v>2</v>
      </c>
      <c r="I2102" s="1"/>
      <c r="J2102" s="1"/>
      <c r="K2102" s="1"/>
      <c r="AA2102" s="1"/>
    </row>
    <row r="2103" spans="1:27" x14ac:dyDescent="0.25">
      <c r="A2103" t="s">
        <v>91</v>
      </c>
      <c r="B2103" t="str">
        <f t="shared" si="34"/>
        <v>65</v>
      </c>
      <c r="C2103" s="35">
        <v>1997</v>
      </c>
      <c r="D2103" s="35">
        <v>1996</v>
      </c>
      <c r="E2103" s="35">
        <v>6</v>
      </c>
      <c r="F2103" s="35">
        <v>4</v>
      </c>
      <c r="G2103" s="35">
        <v>2</v>
      </c>
      <c r="H2103" s="1" t="s">
        <v>2</v>
      </c>
      <c r="I2103" s="1"/>
      <c r="J2103" s="1"/>
      <c r="K2103" s="1"/>
      <c r="AA2103" s="1"/>
    </row>
    <row r="2104" spans="1:27" x14ac:dyDescent="0.25">
      <c r="A2104" t="s">
        <v>91</v>
      </c>
      <c r="B2104" t="str">
        <f t="shared" si="34"/>
        <v>65</v>
      </c>
      <c r="C2104" s="35">
        <v>1997</v>
      </c>
      <c r="D2104" s="35">
        <v>1997</v>
      </c>
      <c r="E2104" s="36">
        <v>4063</v>
      </c>
      <c r="F2104" s="36">
        <v>1997</v>
      </c>
      <c r="G2104" s="36">
        <v>2066</v>
      </c>
      <c r="H2104" s="1" t="s">
        <v>2</v>
      </c>
      <c r="I2104" s="1"/>
      <c r="J2104" s="1"/>
      <c r="K2104" s="1"/>
      <c r="AA2104" s="1"/>
    </row>
    <row r="2105" spans="1:27" x14ac:dyDescent="0.25">
      <c r="A2105" t="s">
        <v>91</v>
      </c>
      <c r="B2105" t="str">
        <f t="shared" si="34"/>
        <v>65</v>
      </c>
      <c r="C2105" s="35">
        <v>1998</v>
      </c>
      <c r="D2105" s="1" t="s">
        <v>4</v>
      </c>
      <c r="E2105" s="36">
        <v>4136</v>
      </c>
      <c r="F2105" s="36">
        <v>2129</v>
      </c>
      <c r="G2105" s="36">
        <v>2007</v>
      </c>
      <c r="H2105" s="1" t="s">
        <v>2</v>
      </c>
      <c r="I2105" s="1"/>
      <c r="J2105" s="1"/>
      <c r="K2105" s="1"/>
      <c r="AA2105" s="1"/>
    </row>
    <row r="2106" spans="1:27" x14ac:dyDescent="0.25">
      <c r="A2106" t="s">
        <v>91</v>
      </c>
      <c r="B2106" t="str">
        <f t="shared" si="34"/>
        <v>65</v>
      </c>
      <c r="C2106" s="35">
        <v>1998</v>
      </c>
      <c r="D2106" s="35">
        <v>1990</v>
      </c>
      <c r="E2106" s="35">
        <v>1</v>
      </c>
      <c r="F2106" s="1" t="s">
        <v>2</v>
      </c>
      <c r="G2106" s="35">
        <v>1</v>
      </c>
      <c r="H2106" s="1" t="s">
        <v>2</v>
      </c>
      <c r="I2106" s="1"/>
      <c r="J2106" s="1"/>
      <c r="K2106" s="1"/>
      <c r="AA2106" s="1"/>
    </row>
    <row r="2107" spans="1:27" x14ac:dyDescent="0.25">
      <c r="A2107" t="s">
        <v>91</v>
      </c>
      <c r="B2107" t="str">
        <f t="shared" si="34"/>
        <v>65</v>
      </c>
      <c r="C2107" s="35">
        <v>1998</v>
      </c>
      <c r="D2107" s="35">
        <v>1997</v>
      </c>
      <c r="E2107" s="35">
        <v>15</v>
      </c>
      <c r="F2107" s="35">
        <v>8</v>
      </c>
      <c r="G2107" s="35">
        <v>7</v>
      </c>
      <c r="H2107" s="1" t="s">
        <v>2</v>
      </c>
      <c r="I2107" s="1"/>
      <c r="J2107" s="1"/>
      <c r="K2107" s="1"/>
      <c r="AA2107" s="1"/>
    </row>
    <row r="2108" spans="1:27" x14ac:dyDescent="0.25">
      <c r="A2108" t="s">
        <v>91</v>
      </c>
      <c r="B2108" t="str">
        <f t="shared" si="34"/>
        <v>65</v>
      </c>
      <c r="C2108" s="35">
        <v>1998</v>
      </c>
      <c r="D2108" s="35">
        <v>1998</v>
      </c>
      <c r="E2108" s="36">
        <v>4120</v>
      </c>
      <c r="F2108" s="36">
        <v>2121</v>
      </c>
      <c r="G2108" s="36">
        <v>1999</v>
      </c>
      <c r="H2108" s="1" t="s">
        <v>2</v>
      </c>
      <c r="I2108" s="1"/>
      <c r="J2108" s="1"/>
      <c r="K2108" s="1"/>
      <c r="AA2108" s="1"/>
    </row>
    <row r="2109" spans="1:27" x14ac:dyDescent="0.25">
      <c r="A2109" t="s">
        <v>91</v>
      </c>
      <c r="B2109" t="str">
        <f t="shared" si="34"/>
        <v>65</v>
      </c>
      <c r="C2109" s="35">
        <v>1999</v>
      </c>
      <c r="D2109" s="1" t="s">
        <v>4</v>
      </c>
      <c r="E2109" s="36">
        <v>4225</v>
      </c>
      <c r="F2109" s="36">
        <v>2143</v>
      </c>
      <c r="G2109" s="36">
        <v>2082</v>
      </c>
      <c r="H2109" s="1" t="s">
        <v>2</v>
      </c>
      <c r="I2109" s="1"/>
      <c r="J2109" s="1"/>
      <c r="K2109" s="1"/>
      <c r="AA2109" s="1"/>
    </row>
    <row r="2110" spans="1:27" x14ac:dyDescent="0.25">
      <c r="A2110" t="s">
        <v>91</v>
      </c>
      <c r="B2110" t="str">
        <f t="shared" si="34"/>
        <v>65</v>
      </c>
      <c r="C2110" s="35">
        <v>1999</v>
      </c>
      <c r="D2110" s="35">
        <v>1989</v>
      </c>
      <c r="E2110" s="35">
        <v>1</v>
      </c>
      <c r="F2110" s="1" t="s">
        <v>2</v>
      </c>
      <c r="G2110" s="35">
        <v>1</v>
      </c>
      <c r="H2110" s="1" t="s">
        <v>2</v>
      </c>
      <c r="I2110" s="1"/>
      <c r="J2110" s="1"/>
      <c r="K2110" s="1"/>
      <c r="AA2110" s="1"/>
    </row>
    <row r="2111" spans="1:27" x14ac:dyDescent="0.25">
      <c r="A2111" t="s">
        <v>91</v>
      </c>
      <c r="B2111" t="str">
        <f t="shared" si="34"/>
        <v>65</v>
      </c>
      <c r="C2111" s="35">
        <v>1999</v>
      </c>
      <c r="D2111" s="35">
        <v>1994</v>
      </c>
      <c r="E2111" s="35">
        <v>1</v>
      </c>
      <c r="F2111" s="1" t="s">
        <v>2</v>
      </c>
      <c r="G2111" s="35">
        <v>1</v>
      </c>
      <c r="H2111" s="1" t="s">
        <v>2</v>
      </c>
      <c r="I2111" s="1"/>
      <c r="J2111" s="1"/>
      <c r="K2111" s="1"/>
      <c r="AA2111" s="1"/>
    </row>
    <row r="2112" spans="1:27" x14ac:dyDescent="0.25">
      <c r="A2112" t="s">
        <v>91</v>
      </c>
      <c r="B2112" t="str">
        <f t="shared" si="34"/>
        <v>65</v>
      </c>
      <c r="C2112" s="35">
        <v>1999</v>
      </c>
      <c r="D2112" s="35">
        <v>1998</v>
      </c>
      <c r="E2112" s="35">
        <v>13</v>
      </c>
      <c r="F2112" s="35">
        <v>9</v>
      </c>
      <c r="G2112" s="35">
        <v>4</v>
      </c>
      <c r="H2112" s="1" t="s">
        <v>2</v>
      </c>
      <c r="I2112" s="1"/>
      <c r="J2112" s="1"/>
      <c r="K2112" s="1"/>
      <c r="AA2112" s="1"/>
    </row>
    <row r="2113" spans="1:27" x14ac:dyDescent="0.25">
      <c r="A2113" t="s">
        <v>91</v>
      </c>
      <c r="B2113" t="str">
        <f t="shared" si="34"/>
        <v>65</v>
      </c>
      <c r="C2113" s="35">
        <v>1999</v>
      </c>
      <c r="D2113" s="35">
        <v>1999</v>
      </c>
      <c r="E2113" s="36">
        <v>4209</v>
      </c>
      <c r="F2113" s="36">
        <v>2133</v>
      </c>
      <c r="G2113" s="36">
        <v>2076</v>
      </c>
      <c r="H2113" s="1" t="s">
        <v>2</v>
      </c>
      <c r="I2113" s="1"/>
      <c r="J2113" s="1"/>
      <c r="K2113" s="1"/>
      <c r="AA2113" s="1"/>
    </row>
    <row r="2114" spans="1:27" x14ac:dyDescent="0.25">
      <c r="A2114" t="s">
        <v>91</v>
      </c>
      <c r="B2114" t="str">
        <f t="shared" si="34"/>
        <v>65</v>
      </c>
      <c r="C2114" s="35">
        <v>1999</v>
      </c>
      <c r="D2114" s="1" t="s">
        <v>24</v>
      </c>
      <c r="E2114" s="35">
        <v>1</v>
      </c>
      <c r="F2114" s="35">
        <v>1</v>
      </c>
      <c r="G2114" s="1" t="s">
        <v>2</v>
      </c>
      <c r="H2114" s="1" t="s">
        <v>2</v>
      </c>
      <c r="I2114" s="1"/>
      <c r="J2114" s="1"/>
      <c r="K2114" s="1"/>
      <c r="AA2114" s="1"/>
    </row>
    <row r="2115" spans="1:27" x14ac:dyDescent="0.25">
      <c r="A2115" t="s">
        <v>91</v>
      </c>
      <c r="B2115" t="str">
        <f t="shared" si="34"/>
        <v>65</v>
      </c>
      <c r="C2115" s="35">
        <v>2000</v>
      </c>
      <c r="D2115" s="1" t="s">
        <v>4</v>
      </c>
      <c r="E2115" s="36">
        <v>4123</v>
      </c>
      <c r="F2115" s="36">
        <v>2128</v>
      </c>
      <c r="G2115" s="36">
        <v>1995</v>
      </c>
      <c r="H2115" s="1" t="s">
        <v>2</v>
      </c>
      <c r="I2115" s="1"/>
      <c r="J2115" s="1"/>
      <c r="K2115" s="1"/>
      <c r="AA2115" s="1"/>
    </row>
    <row r="2116" spans="1:27" x14ac:dyDescent="0.25">
      <c r="A2116" t="s">
        <v>91</v>
      </c>
      <c r="B2116" t="str">
        <f t="shared" si="34"/>
        <v>65</v>
      </c>
      <c r="C2116" s="35">
        <v>2000</v>
      </c>
      <c r="D2116" s="35">
        <v>1931</v>
      </c>
      <c r="E2116" s="35">
        <v>1</v>
      </c>
      <c r="F2116" s="35">
        <v>1</v>
      </c>
      <c r="G2116" s="1" t="s">
        <v>2</v>
      </c>
      <c r="H2116" s="1" t="s">
        <v>2</v>
      </c>
      <c r="I2116" s="1"/>
      <c r="J2116" s="1"/>
      <c r="K2116" s="1"/>
      <c r="AA2116" s="1"/>
    </row>
    <row r="2117" spans="1:27" x14ac:dyDescent="0.25">
      <c r="A2117" t="s">
        <v>91</v>
      </c>
      <c r="B2117" t="str">
        <f t="shared" si="34"/>
        <v>65</v>
      </c>
      <c r="C2117" s="35">
        <v>2000</v>
      </c>
      <c r="D2117" s="35">
        <v>1999</v>
      </c>
      <c r="E2117" s="35">
        <v>21</v>
      </c>
      <c r="F2117" s="35">
        <v>12</v>
      </c>
      <c r="G2117" s="35">
        <v>9</v>
      </c>
      <c r="H2117" s="1" t="s">
        <v>2</v>
      </c>
      <c r="I2117" s="1"/>
      <c r="J2117" s="1"/>
      <c r="K2117" s="1"/>
      <c r="AA2117" s="1"/>
    </row>
    <row r="2118" spans="1:27" x14ac:dyDescent="0.25">
      <c r="A2118" t="s">
        <v>91</v>
      </c>
      <c r="B2118" t="str">
        <f t="shared" si="34"/>
        <v>65</v>
      </c>
      <c r="C2118" s="35">
        <v>2000</v>
      </c>
      <c r="D2118" s="35">
        <v>2000</v>
      </c>
      <c r="E2118" s="36">
        <v>4101</v>
      </c>
      <c r="F2118" s="36">
        <v>2115</v>
      </c>
      <c r="G2118" s="36">
        <v>1986</v>
      </c>
      <c r="H2118" s="1" t="s">
        <v>2</v>
      </c>
      <c r="I2118" s="1"/>
      <c r="J2118" s="1"/>
      <c r="K2118" s="1"/>
      <c r="AA2118" s="1"/>
    </row>
    <row r="2119" spans="1:27" x14ac:dyDescent="0.25">
      <c r="A2119" t="s">
        <v>91</v>
      </c>
      <c r="B2119" t="str">
        <f t="shared" ref="B2119:B2182" si="35">IF(A2119="Menores de 1 año",0,LEFT(A2119,2))</f>
        <v>65</v>
      </c>
      <c r="C2119" s="35">
        <v>2001</v>
      </c>
      <c r="D2119" s="1" t="s">
        <v>4</v>
      </c>
      <c r="E2119" s="36">
        <v>4125</v>
      </c>
      <c r="F2119" s="36">
        <v>2081</v>
      </c>
      <c r="G2119" s="36">
        <v>2044</v>
      </c>
      <c r="H2119" s="1" t="s">
        <v>2</v>
      </c>
      <c r="I2119" s="1"/>
      <c r="J2119" s="1"/>
      <c r="K2119" s="1"/>
      <c r="AA2119" s="1"/>
    </row>
    <row r="2120" spans="1:27" x14ac:dyDescent="0.25">
      <c r="A2120" t="s">
        <v>91</v>
      </c>
      <c r="B2120" t="str">
        <f t="shared" si="35"/>
        <v>65</v>
      </c>
      <c r="C2120" s="35">
        <v>2001</v>
      </c>
      <c r="D2120" s="35">
        <v>2000</v>
      </c>
      <c r="E2120" s="35">
        <v>17</v>
      </c>
      <c r="F2120" s="35">
        <v>8</v>
      </c>
      <c r="G2120" s="35">
        <v>9</v>
      </c>
      <c r="H2120" s="1" t="s">
        <v>2</v>
      </c>
      <c r="I2120" s="1"/>
      <c r="J2120" s="1"/>
      <c r="K2120" s="1"/>
      <c r="AA2120" s="1"/>
    </row>
    <row r="2121" spans="1:27" x14ac:dyDescent="0.25">
      <c r="A2121" t="s">
        <v>91</v>
      </c>
      <c r="B2121" t="str">
        <f t="shared" si="35"/>
        <v>65</v>
      </c>
      <c r="C2121" s="35">
        <v>2001</v>
      </c>
      <c r="D2121" s="35">
        <v>2001</v>
      </c>
      <c r="E2121" s="36">
        <v>4108</v>
      </c>
      <c r="F2121" s="36">
        <v>2073</v>
      </c>
      <c r="G2121" s="36">
        <v>2035</v>
      </c>
      <c r="H2121" s="1" t="s">
        <v>2</v>
      </c>
      <c r="I2121" s="1"/>
      <c r="J2121" s="1"/>
      <c r="K2121" s="1"/>
      <c r="AA2121" s="1"/>
    </row>
    <row r="2122" spans="1:27" x14ac:dyDescent="0.25">
      <c r="A2122" t="s">
        <v>91</v>
      </c>
      <c r="B2122" t="str">
        <f t="shared" si="35"/>
        <v>65</v>
      </c>
      <c r="C2122" s="35">
        <v>2002</v>
      </c>
      <c r="D2122" s="1" t="s">
        <v>4</v>
      </c>
      <c r="E2122" s="36">
        <v>4169</v>
      </c>
      <c r="F2122" s="36">
        <v>2142</v>
      </c>
      <c r="G2122" s="36">
        <v>2027</v>
      </c>
      <c r="H2122" s="1" t="s">
        <v>2</v>
      </c>
      <c r="I2122" s="1"/>
      <c r="J2122" s="1"/>
      <c r="K2122" s="1"/>
      <c r="AA2122" s="1"/>
    </row>
    <row r="2123" spans="1:27" x14ac:dyDescent="0.25">
      <c r="A2123" t="s">
        <v>91</v>
      </c>
      <c r="B2123" t="str">
        <f t="shared" si="35"/>
        <v>65</v>
      </c>
      <c r="C2123" s="35">
        <v>2002</v>
      </c>
      <c r="D2123" s="35">
        <v>2001</v>
      </c>
      <c r="E2123" s="35">
        <v>17</v>
      </c>
      <c r="F2123" s="35">
        <v>12</v>
      </c>
      <c r="G2123" s="35">
        <v>5</v>
      </c>
      <c r="H2123" s="1" t="s">
        <v>2</v>
      </c>
      <c r="I2123" s="1"/>
      <c r="J2123" s="1"/>
      <c r="K2123" s="1"/>
      <c r="AA2123" s="1"/>
    </row>
    <row r="2124" spans="1:27" x14ac:dyDescent="0.25">
      <c r="A2124" t="s">
        <v>91</v>
      </c>
      <c r="B2124" t="str">
        <f t="shared" si="35"/>
        <v>65</v>
      </c>
      <c r="C2124" s="35">
        <v>2002</v>
      </c>
      <c r="D2124" s="35">
        <v>2002</v>
      </c>
      <c r="E2124" s="36">
        <v>4152</v>
      </c>
      <c r="F2124" s="36">
        <v>2130</v>
      </c>
      <c r="G2124" s="36">
        <v>2022</v>
      </c>
      <c r="H2124" s="1" t="s">
        <v>2</v>
      </c>
      <c r="I2124" s="1"/>
      <c r="J2124" s="1"/>
      <c r="K2124" s="1"/>
      <c r="AA2124" s="1"/>
    </row>
    <row r="2125" spans="1:27" x14ac:dyDescent="0.25">
      <c r="A2125" t="s">
        <v>91</v>
      </c>
      <c r="B2125" t="str">
        <f t="shared" si="35"/>
        <v>65</v>
      </c>
      <c r="C2125" s="35">
        <v>2003</v>
      </c>
      <c r="D2125" s="1" t="s">
        <v>4</v>
      </c>
      <c r="E2125" s="36">
        <v>4250</v>
      </c>
      <c r="F2125" s="36">
        <v>2147</v>
      </c>
      <c r="G2125" s="36">
        <v>2103</v>
      </c>
      <c r="H2125" s="1" t="s">
        <v>2</v>
      </c>
      <c r="I2125" s="1"/>
      <c r="J2125" s="1"/>
      <c r="K2125" s="1"/>
      <c r="AA2125" s="1"/>
    </row>
    <row r="2126" spans="1:27" x14ac:dyDescent="0.25">
      <c r="A2126" t="s">
        <v>91</v>
      </c>
      <c r="B2126" t="str">
        <f t="shared" si="35"/>
        <v>65</v>
      </c>
      <c r="C2126" s="35">
        <v>2003</v>
      </c>
      <c r="D2126" s="35">
        <v>2000</v>
      </c>
      <c r="E2126" s="35">
        <v>2</v>
      </c>
      <c r="F2126" s="1" t="s">
        <v>2</v>
      </c>
      <c r="G2126" s="35">
        <v>2</v>
      </c>
      <c r="H2126" s="1" t="s">
        <v>2</v>
      </c>
      <c r="I2126" s="1"/>
      <c r="J2126" s="1"/>
      <c r="K2126" s="1"/>
      <c r="AA2126" s="1"/>
    </row>
    <row r="2127" spans="1:27" x14ac:dyDescent="0.25">
      <c r="A2127" t="s">
        <v>91</v>
      </c>
      <c r="B2127" t="str">
        <f t="shared" si="35"/>
        <v>65</v>
      </c>
      <c r="C2127" s="35">
        <v>2003</v>
      </c>
      <c r="D2127" s="35">
        <v>2002</v>
      </c>
      <c r="E2127" s="35">
        <v>18</v>
      </c>
      <c r="F2127" s="35">
        <v>10</v>
      </c>
      <c r="G2127" s="35">
        <v>8</v>
      </c>
      <c r="H2127" s="1" t="s">
        <v>2</v>
      </c>
      <c r="I2127" s="1"/>
      <c r="J2127" s="1"/>
      <c r="K2127" s="1"/>
      <c r="AA2127" s="1"/>
    </row>
    <row r="2128" spans="1:27" x14ac:dyDescent="0.25">
      <c r="A2128" t="s">
        <v>91</v>
      </c>
      <c r="B2128" t="str">
        <f t="shared" si="35"/>
        <v>65</v>
      </c>
      <c r="C2128" s="35">
        <v>2003</v>
      </c>
      <c r="D2128" s="35">
        <v>2003</v>
      </c>
      <c r="E2128" s="36">
        <v>4230</v>
      </c>
      <c r="F2128" s="36">
        <v>2137</v>
      </c>
      <c r="G2128" s="36">
        <v>2093</v>
      </c>
      <c r="H2128" s="1" t="s">
        <v>2</v>
      </c>
      <c r="I2128" s="1"/>
      <c r="J2128" s="1"/>
      <c r="K2128" s="1"/>
      <c r="AA2128" s="1"/>
    </row>
    <row r="2129" spans="1:27" x14ac:dyDescent="0.25">
      <c r="A2129" t="s">
        <v>91</v>
      </c>
      <c r="B2129" t="str">
        <f t="shared" si="35"/>
        <v>65</v>
      </c>
      <c r="C2129" s="35">
        <v>2004</v>
      </c>
      <c r="D2129" s="1" t="s">
        <v>4</v>
      </c>
      <c r="E2129" s="36">
        <v>4265</v>
      </c>
      <c r="F2129" s="36">
        <v>2205</v>
      </c>
      <c r="G2129" s="36">
        <v>2059</v>
      </c>
      <c r="H2129" s="35">
        <v>1</v>
      </c>
      <c r="I2129" s="1"/>
      <c r="J2129" s="1"/>
      <c r="K2129" s="1"/>
      <c r="AA2129" s="1"/>
    </row>
    <row r="2130" spans="1:27" x14ac:dyDescent="0.25">
      <c r="A2130" t="s">
        <v>91</v>
      </c>
      <c r="B2130" t="str">
        <f t="shared" si="35"/>
        <v>65</v>
      </c>
      <c r="C2130" s="35">
        <v>2004</v>
      </c>
      <c r="D2130" s="35">
        <v>2002</v>
      </c>
      <c r="E2130" s="35">
        <v>2</v>
      </c>
      <c r="F2130" s="35">
        <v>2</v>
      </c>
      <c r="G2130" s="1" t="s">
        <v>2</v>
      </c>
      <c r="H2130" s="1" t="s">
        <v>2</v>
      </c>
      <c r="I2130" s="1"/>
      <c r="J2130" s="1"/>
      <c r="K2130" s="1"/>
      <c r="AA2130" s="1"/>
    </row>
    <row r="2131" spans="1:27" x14ac:dyDescent="0.25">
      <c r="A2131" t="s">
        <v>91</v>
      </c>
      <c r="B2131" t="str">
        <f t="shared" si="35"/>
        <v>65</v>
      </c>
      <c r="C2131" s="35">
        <v>2004</v>
      </c>
      <c r="D2131" s="35">
        <v>2003</v>
      </c>
      <c r="E2131" s="35">
        <v>22</v>
      </c>
      <c r="F2131" s="35">
        <v>13</v>
      </c>
      <c r="G2131" s="35">
        <v>9</v>
      </c>
      <c r="H2131" s="1" t="s">
        <v>2</v>
      </c>
      <c r="I2131" s="1"/>
      <c r="J2131" s="1"/>
      <c r="K2131" s="1"/>
      <c r="AA2131" s="1"/>
    </row>
    <row r="2132" spans="1:27" x14ac:dyDescent="0.25">
      <c r="A2132" t="s">
        <v>91</v>
      </c>
      <c r="B2132" t="str">
        <f t="shared" si="35"/>
        <v>65</v>
      </c>
      <c r="C2132" s="35">
        <v>2004</v>
      </c>
      <c r="D2132" s="35">
        <v>2004</v>
      </c>
      <c r="E2132" s="36">
        <v>4241</v>
      </c>
      <c r="F2132" s="36">
        <v>2190</v>
      </c>
      <c r="G2132" s="36">
        <v>2050</v>
      </c>
      <c r="H2132" s="35">
        <v>1</v>
      </c>
      <c r="I2132" s="1"/>
      <c r="J2132" s="1"/>
      <c r="K2132" s="1"/>
      <c r="AA2132" s="1"/>
    </row>
    <row r="2133" spans="1:27" x14ac:dyDescent="0.25">
      <c r="A2133" t="s">
        <v>91</v>
      </c>
      <c r="B2133" t="str">
        <f t="shared" si="35"/>
        <v>65</v>
      </c>
      <c r="C2133" s="35">
        <v>2005</v>
      </c>
      <c r="D2133" s="1" t="s">
        <v>4</v>
      </c>
      <c r="E2133" s="36">
        <v>4250</v>
      </c>
      <c r="F2133" s="36">
        <v>2165</v>
      </c>
      <c r="G2133" s="36">
        <v>2085</v>
      </c>
      <c r="H2133" s="1" t="s">
        <v>2</v>
      </c>
      <c r="I2133" s="1"/>
      <c r="J2133" s="1"/>
      <c r="K2133" s="1"/>
      <c r="AA2133" s="1"/>
    </row>
    <row r="2134" spans="1:27" x14ac:dyDescent="0.25">
      <c r="A2134" t="s">
        <v>91</v>
      </c>
      <c r="B2134" t="str">
        <f t="shared" si="35"/>
        <v>65</v>
      </c>
      <c r="C2134" s="35">
        <v>2005</v>
      </c>
      <c r="D2134" s="35">
        <v>2004</v>
      </c>
      <c r="E2134" s="35">
        <v>23</v>
      </c>
      <c r="F2134" s="35">
        <v>9</v>
      </c>
      <c r="G2134" s="35">
        <v>14</v>
      </c>
      <c r="H2134" s="1" t="s">
        <v>2</v>
      </c>
      <c r="I2134" s="1"/>
      <c r="J2134" s="1"/>
      <c r="K2134" s="1"/>
      <c r="AA2134" s="1"/>
    </row>
    <row r="2135" spans="1:27" x14ac:dyDescent="0.25">
      <c r="A2135" t="s">
        <v>91</v>
      </c>
      <c r="B2135" t="str">
        <f t="shared" si="35"/>
        <v>65</v>
      </c>
      <c r="C2135" s="35">
        <v>2005</v>
      </c>
      <c r="D2135" s="35">
        <v>2005</v>
      </c>
      <c r="E2135" s="36">
        <v>4227</v>
      </c>
      <c r="F2135" s="36">
        <v>2156</v>
      </c>
      <c r="G2135" s="36">
        <v>2071</v>
      </c>
      <c r="H2135" s="1" t="s">
        <v>2</v>
      </c>
      <c r="I2135" s="1"/>
      <c r="J2135" s="1"/>
      <c r="K2135" s="1"/>
      <c r="AA2135" s="1"/>
    </row>
    <row r="2136" spans="1:27" x14ac:dyDescent="0.25">
      <c r="A2136" t="s">
        <v>91</v>
      </c>
      <c r="B2136" t="str">
        <f t="shared" si="35"/>
        <v>65</v>
      </c>
      <c r="C2136" s="35">
        <v>2006</v>
      </c>
      <c r="D2136" s="1" t="s">
        <v>4</v>
      </c>
      <c r="E2136" s="36">
        <v>4277</v>
      </c>
      <c r="F2136" s="36">
        <v>2220</v>
      </c>
      <c r="G2136" s="36">
        <v>2057</v>
      </c>
      <c r="H2136" s="1" t="s">
        <v>2</v>
      </c>
      <c r="I2136" s="1"/>
      <c r="J2136" s="1"/>
      <c r="K2136" s="1"/>
      <c r="AA2136" s="1"/>
    </row>
    <row r="2137" spans="1:27" x14ac:dyDescent="0.25">
      <c r="A2137" t="s">
        <v>91</v>
      </c>
      <c r="B2137" t="str">
        <f t="shared" si="35"/>
        <v>65</v>
      </c>
      <c r="C2137" s="35">
        <v>2006</v>
      </c>
      <c r="D2137" s="35">
        <v>2004</v>
      </c>
      <c r="E2137" s="35">
        <v>1</v>
      </c>
      <c r="F2137" s="35">
        <v>1</v>
      </c>
      <c r="G2137" s="1" t="s">
        <v>2</v>
      </c>
      <c r="H2137" s="1" t="s">
        <v>2</v>
      </c>
      <c r="I2137" s="1"/>
      <c r="J2137" s="1"/>
      <c r="K2137" s="1"/>
      <c r="AA2137" s="1"/>
    </row>
    <row r="2138" spans="1:27" x14ac:dyDescent="0.25">
      <c r="A2138" t="s">
        <v>91</v>
      </c>
      <c r="B2138" t="str">
        <f t="shared" si="35"/>
        <v>65</v>
      </c>
      <c r="C2138" s="35">
        <v>2006</v>
      </c>
      <c r="D2138" s="35">
        <v>2005</v>
      </c>
      <c r="E2138" s="35">
        <v>25</v>
      </c>
      <c r="F2138" s="35">
        <v>19</v>
      </c>
      <c r="G2138" s="35">
        <v>6</v>
      </c>
      <c r="H2138" s="1" t="s">
        <v>2</v>
      </c>
      <c r="I2138" s="1"/>
      <c r="J2138" s="1"/>
      <c r="K2138" s="1"/>
      <c r="AA2138" s="1"/>
    </row>
    <row r="2139" spans="1:27" x14ac:dyDescent="0.25">
      <c r="A2139" t="s">
        <v>91</v>
      </c>
      <c r="B2139" t="str">
        <f t="shared" si="35"/>
        <v>65</v>
      </c>
      <c r="C2139" s="35">
        <v>2006</v>
      </c>
      <c r="D2139" s="35">
        <v>2006</v>
      </c>
      <c r="E2139" s="36">
        <v>4251</v>
      </c>
      <c r="F2139" s="36">
        <v>2200</v>
      </c>
      <c r="G2139" s="36">
        <v>2051</v>
      </c>
      <c r="H2139" s="1" t="s">
        <v>2</v>
      </c>
      <c r="I2139" s="1"/>
      <c r="J2139" s="1"/>
      <c r="K2139" s="1"/>
      <c r="AA2139" s="1"/>
    </row>
    <row r="2140" spans="1:27" x14ac:dyDescent="0.25">
      <c r="A2140" t="s">
        <v>91</v>
      </c>
      <c r="B2140" t="str">
        <f t="shared" si="35"/>
        <v>65</v>
      </c>
      <c r="C2140" s="35">
        <v>2007</v>
      </c>
      <c r="D2140" s="1" t="s">
        <v>4</v>
      </c>
      <c r="E2140" s="36">
        <v>4346</v>
      </c>
      <c r="F2140" s="36">
        <v>2271</v>
      </c>
      <c r="G2140" s="36">
        <v>2075</v>
      </c>
      <c r="H2140" s="1" t="s">
        <v>2</v>
      </c>
      <c r="I2140" s="1"/>
      <c r="J2140" s="1"/>
      <c r="K2140" s="1"/>
      <c r="AA2140" s="1"/>
    </row>
    <row r="2141" spans="1:27" x14ac:dyDescent="0.25">
      <c r="A2141" t="s">
        <v>91</v>
      </c>
      <c r="B2141" t="str">
        <f t="shared" si="35"/>
        <v>65</v>
      </c>
      <c r="C2141" s="35">
        <v>2007</v>
      </c>
      <c r="D2141" s="35">
        <v>2000</v>
      </c>
      <c r="E2141" s="35">
        <v>1</v>
      </c>
      <c r="F2141" s="35">
        <v>1</v>
      </c>
      <c r="G2141" s="1" t="s">
        <v>2</v>
      </c>
      <c r="H2141" s="1" t="s">
        <v>2</v>
      </c>
      <c r="I2141" s="1"/>
      <c r="J2141" s="1"/>
      <c r="K2141" s="1"/>
      <c r="AA2141" s="1"/>
    </row>
    <row r="2142" spans="1:27" x14ac:dyDescent="0.25">
      <c r="A2142" t="s">
        <v>91</v>
      </c>
      <c r="B2142" t="str">
        <f t="shared" si="35"/>
        <v>65</v>
      </c>
      <c r="C2142" s="35">
        <v>2007</v>
      </c>
      <c r="D2142" s="35">
        <v>2006</v>
      </c>
      <c r="E2142" s="35">
        <v>18</v>
      </c>
      <c r="F2142" s="35">
        <v>14</v>
      </c>
      <c r="G2142" s="35">
        <v>4</v>
      </c>
      <c r="H2142" s="1" t="s">
        <v>2</v>
      </c>
      <c r="I2142" s="1"/>
      <c r="J2142" s="1"/>
      <c r="K2142" s="1"/>
      <c r="AA2142" s="1"/>
    </row>
    <row r="2143" spans="1:27" x14ac:dyDescent="0.25">
      <c r="A2143" t="s">
        <v>91</v>
      </c>
      <c r="B2143" t="str">
        <f t="shared" si="35"/>
        <v>65</v>
      </c>
      <c r="C2143" s="35">
        <v>2007</v>
      </c>
      <c r="D2143" s="35">
        <v>2007</v>
      </c>
      <c r="E2143" s="36">
        <v>4327</v>
      </c>
      <c r="F2143" s="36">
        <v>2256</v>
      </c>
      <c r="G2143" s="36">
        <v>2071</v>
      </c>
      <c r="H2143" s="1" t="s">
        <v>2</v>
      </c>
      <c r="I2143" s="1"/>
      <c r="J2143" s="1"/>
      <c r="K2143" s="1"/>
      <c r="AA2143" s="1"/>
    </row>
    <row r="2144" spans="1:27" x14ac:dyDescent="0.25">
      <c r="A2144" t="s">
        <v>91</v>
      </c>
      <c r="B2144" t="str">
        <f t="shared" si="35"/>
        <v>65</v>
      </c>
      <c r="C2144" s="35">
        <v>2008</v>
      </c>
      <c r="D2144" s="1" t="s">
        <v>4</v>
      </c>
      <c r="E2144" s="36">
        <v>4457</v>
      </c>
      <c r="F2144" s="36">
        <v>2311</v>
      </c>
      <c r="G2144" s="36">
        <v>2146</v>
      </c>
      <c r="H2144" s="1" t="s">
        <v>2</v>
      </c>
      <c r="I2144" s="1"/>
      <c r="J2144" s="1"/>
      <c r="K2144" s="1"/>
      <c r="AA2144" s="1"/>
    </row>
    <row r="2145" spans="1:27" x14ac:dyDescent="0.25">
      <c r="A2145" t="s">
        <v>91</v>
      </c>
      <c r="B2145" t="str">
        <f t="shared" si="35"/>
        <v>65</v>
      </c>
      <c r="C2145" s="35">
        <v>2008</v>
      </c>
      <c r="D2145" s="35">
        <v>2004</v>
      </c>
      <c r="E2145" s="35">
        <v>11</v>
      </c>
      <c r="F2145" s="35">
        <v>11</v>
      </c>
      <c r="G2145" s="1" t="s">
        <v>2</v>
      </c>
      <c r="H2145" s="1" t="s">
        <v>2</v>
      </c>
      <c r="I2145" s="1"/>
      <c r="J2145" s="1"/>
      <c r="K2145" s="1"/>
      <c r="AA2145" s="1"/>
    </row>
    <row r="2146" spans="1:27" x14ac:dyDescent="0.25">
      <c r="A2146" t="s">
        <v>91</v>
      </c>
      <c r="B2146" t="str">
        <f t="shared" si="35"/>
        <v>65</v>
      </c>
      <c r="C2146" s="35">
        <v>2008</v>
      </c>
      <c r="D2146" s="35">
        <v>2005</v>
      </c>
      <c r="E2146" s="35">
        <v>5</v>
      </c>
      <c r="F2146" s="35">
        <v>5</v>
      </c>
      <c r="G2146" s="1" t="s">
        <v>2</v>
      </c>
      <c r="H2146" s="1" t="s">
        <v>2</v>
      </c>
      <c r="I2146" s="1"/>
      <c r="J2146" s="1"/>
      <c r="K2146" s="1"/>
      <c r="AA2146" s="1"/>
    </row>
    <row r="2147" spans="1:27" x14ac:dyDescent="0.25">
      <c r="A2147" t="s">
        <v>91</v>
      </c>
      <c r="B2147" t="str">
        <f t="shared" si="35"/>
        <v>65</v>
      </c>
      <c r="C2147" s="35">
        <v>2008</v>
      </c>
      <c r="D2147" s="35">
        <v>2007</v>
      </c>
      <c r="E2147" s="35">
        <v>28</v>
      </c>
      <c r="F2147" s="35">
        <v>17</v>
      </c>
      <c r="G2147" s="35">
        <v>11</v>
      </c>
      <c r="H2147" s="1" t="s">
        <v>2</v>
      </c>
      <c r="I2147" s="1"/>
      <c r="J2147" s="1"/>
      <c r="K2147" s="1"/>
      <c r="AA2147" s="1"/>
    </row>
    <row r="2148" spans="1:27" x14ac:dyDescent="0.25">
      <c r="A2148" t="s">
        <v>91</v>
      </c>
      <c r="B2148" t="str">
        <f t="shared" si="35"/>
        <v>65</v>
      </c>
      <c r="C2148" s="35">
        <v>2008</v>
      </c>
      <c r="D2148" s="35">
        <v>2008</v>
      </c>
      <c r="E2148" s="36">
        <v>4413</v>
      </c>
      <c r="F2148" s="36">
        <v>2278</v>
      </c>
      <c r="G2148" s="36">
        <v>2135</v>
      </c>
      <c r="H2148" s="1" t="s">
        <v>2</v>
      </c>
      <c r="I2148" s="1"/>
      <c r="J2148" s="1"/>
      <c r="K2148" s="1"/>
      <c r="AA2148" s="1"/>
    </row>
    <row r="2149" spans="1:27" x14ac:dyDescent="0.25">
      <c r="A2149" t="s">
        <v>91</v>
      </c>
      <c r="B2149" t="str">
        <f t="shared" si="35"/>
        <v>65</v>
      </c>
      <c r="C2149" s="35">
        <v>2009</v>
      </c>
      <c r="D2149" s="1" t="s">
        <v>4</v>
      </c>
      <c r="E2149" s="36">
        <v>4525</v>
      </c>
      <c r="F2149" s="36">
        <v>2435</v>
      </c>
      <c r="G2149" s="36">
        <v>2090</v>
      </c>
      <c r="H2149" s="1" t="s">
        <v>2</v>
      </c>
      <c r="I2149" s="1"/>
      <c r="J2149" s="1"/>
      <c r="K2149" s="1"/>
      <c r="AA2149" s="1"/>
    </row>
    <row r="2150" spans="1:27" x14ac:dyDescent="0.25">
      <c r="A2150" t="s">
        <v>91</v>
      </c>
      <c r="B2150" t="str">
        <f t="shared" si="35"/>
        <v>65</v>
      </c>
      <c r="C2150" s="35">
        <v>2009</v>
      </c>
      <c r="D2150" s="35">
        <v>2004</v>
      </c>
      <c r="E2150" s="35">
        <v>1</v>
      </c>
      <c r="F2150" s="35">
        <v>1</v>
      </c>
      <c r="G2150" s="1" t="s">
        <v>2</v>
      </c>
      <c r="H2150" s="1" t="s">
        <v>2</v>
      </c>
      <c r="I2150" s="1"/>
      <c r="J2150" s="1"/>
      <c r="K2150" s="1"/>
      <c r="AA2150" s="1"/>
    </row>
    <row r="2151" spans="1:27" x14ac:dyDescent="0.25">
      <c r="A2151" t="s">
        <v>91</v>
      </c>
      <c r="B2151" t="str">
        <f t="shared" si="35"/>
        <v>65</v>
      </c>
      <c r="C2151" s="35">
        <v>2009</v>
      </c>
      <c r="D2151" s="35">
        <v>2008</v>
      </c>
      <c r="E2151" s="35">
        <v>30</v>
      </c>
      <c r="F2151" s="35">
        <v>22</v>
      </c>
      <c r="G2151" s="35">
        <v>8</v>
      </c>
      <c r="H2151" s="1" t="s">
        <v>2</v>
      </c>
      <c r="I2151" s="1"/>
      <c r="J2151" s="1"/>
      <c r="K2151" s="1"/>
      <c r="AA2151" s="1"/>
    </row>
    <row r="2152" spans="1:27" x14ac:dyDescent="0.25">
      <c r="A2152" t="s">
        <v>91</v>
      </c>
      <c r="B2152" t="str">
        <f t="shared" si="35"/>
        <v>65</v>
      </c>
      <c r="C2152" s="35">
        <v>2009</v>
      </c>
      <c r="D2152" s="35">
        <v>2009</v>
      </c>
      <c r="E2152" s="36">
        <v>4494</v>
      </c>
      <c r="F2152" s="36">
        <v>2412</v>
      </c>
      <c r="G2152" s="36">
        <v>2082</v>
      </c>
      <c r="H2152" s="1" t="s">
        <v>2</v>
      </c>
      <c r="I2152" s="1"/>
      <c r="J2152" s="1"/>
      <c r="K2152" s="1"/>
      <c r="AA2152" s="1"/>
    </row>
    <row r="2153" spans="1:27" x14ac:dyDescent="0.25">
      <c r="A2153" t="s">
        <v>91</v>
      </c>
      <c r="B2153" t="str">
        <f t="shared" si="35"/>
        <v>65</v>
      </c>
      <c r="C2153" s="35">
        <v>2010</v>
      </c>
      <c r="D2153" s="1" t="s">
        <v>4</v>
      </c>
      <c r="E2153" s="36">
        <v>4626</v>
      </c>
      <c r="F2153" s="36">
        <v>2413</v>
      </c>
      <c r="G2153" s="36">
        <v>2213</v>
      </c>
      <c r="H2153" s="1" t="s">
        <v>2</v>
      </c>
      <c r="I2153" s="1"/>
      <c r="J2153" s="1"/>
      <c r="K2153" s="1"/>
      <c r="AA2153" s="1"/>
    </row>
    <row r="2154" spans="1:27" x14ac:dyDescent="0.25">
      <c r="A2154" t="s">
        <v>91</v>
      </c>
      <c r="B2154" t="str">
        <f t="shared" si="35"/>
        <v>65</v>
      </c>
      <c r="C2154" s="35">
        <v>2010</v>
      </c>
      <c r="D2154" s="35">
        <v>2009</v>
      </c>
      <c r="E2154" s="35">
        <v>29</v>
      </c>
      <c r="F2154" s="35">
        <v>23</v>
      </c>
      <c r="G2154" s="35">
        <v>6</v>
      </c>
      <c r="H2154" s="1" t="s">
        <v>2</v>
      </c>
      <c r="I2154" s="1"/>
      <c r="J2154" s="1"/>
      <c r="K2154" s="1"/>
      <c r="AA2154" s="1"/>
    </row>
    <row r="2155" spans="1:27" x14ac:dyDescent="0.25">
      <c r="A2155" t="s">
        <v>91</v>
      </c>
      <c r="B2155" t="str">
        <f t="shared" si="35"/>
        <v>65</v>
      </c>
      <c r="C2155" s="35">
        <v>2010</v>
      </c>
      <c r="D2155" s="35">
        <v>2010</v>
      </c>
      <c r="E2155" s="36">
        <v>4597</v>
      </c>
      <c r="F2155" s="36">
        <v>2390</v>
      </c>
      <c r="G2155" s="36">
        <v>2207</v>
      </c>
      <c r="H2155" s="1" t="s">
        <v>2</v>
      </c>
      <c r="I2155" s="1"/>
      <c r="J2155" s="1"/>
      <c r="K2155" s="1"/>
      <c r="AA2155" s="1"/>
    </row>
    <row r="2156" spans="1:27" x14ac:dyDescent="0.25">
      <c r="A2156" t="s">
        <v>91</v>
      </c>
      <c r="B2156" t="str">
        <f t="shared" si="35"/>
        <v>65</v>
      </c>
      <c r="C2156" s="35">
        <v>2011</v>
      </c>
      <c r="D2156" s="1" t="s">
        <v>4</v>
      </c>
      <c r="E2156" s="36">
        <v>4596</v>
      </c>
      <c r="F2156" s="36">
        <v>2437</v>
      </c>
      <c r="G2156" s="36">
        <v>2159</v>
      </c>
      <c r="H2156" s="1" t="s">
        <v>2</v>
      </c>
      <c r="I2156" s="1"/>
      <c r="J2156" s="1"/>
      <c r="K2156" s="1"/>
      <c r="AA2156" s="1"/>
    </row>
    <row r="2157" spans="1:27" x14ac:dyDescent="0.25">
      <c r="A2157" t="s">
        <v>91</v>
      </c>
      <c r="B2157" t="str">
        <f t="shared" si="35"/>
        <v>65</v>
      </c>
      <c r="C2157" s="35">
        <v>2011</v>
      </c>
      <c r="D2157" s="35">
        <v>2006</v>
      </c>
      <c r="E2157" s="35">
        <v>1</v>
      </c>
      <c r="F2157" s="1" t="s">
        <v>2</v>
      </c>
      <c r="G2157" s="35">
        <v>1</v>
      </c>
      <c r="H2157" s="1" t="s">
        <v>2</v>
      </c>
      <c r="I2157" s="1"/>
      <c r="J2157" s="1"/>
      <c r="K2157" s="1"/>
      <c r="AA2157" s="1"/>
    </row>
    <row r="2158" spans="1:27" x14ac:dyDescent="0.25">
      <c r="A2158" t="s">
        <v>91</v>
      </c>
      <c r="B2158" t="str">
        <f t="shared" si="35"/>
        <v>65</v>
      </c>
      <c r="C2158" s="35">
        <v>2011</v>
      </c>
      <c r="D2158" s="35">
        <v>2010</v>
      </c>
      <c r="E2158" s="35">
        <v>49</v>
      </c>
      <c r="F2158" s="35">
        <v>35</v>
      </c>
      <c r="G2158" s="35">
        <v>14</v>
      </c>
      <c r="H2158" s="1" t="s">
        <v>2</v>
      </c>
      <c r="I2158" s="1"/>
      <c r="J2158" s="1"/>
      <c r="K2158" s="1"/>
      <c r="AA2158" s="1"/>
    </row>
    <row r="2159" spans="1:27" x14ac:dyDescent="0.25">
      <c r="A2159" t="s">
        <v>91</v>
      </c>
      <c r="B2159" t="str">
        <f t="shared" si="35"/>
        <v>65</v>
      </c>
      <c r="C2159" s="35">
        <v>2011</v>
      </c>
      <c r="D2159" s="35">
        <v>2011</v>
      </c>
      <c r="E2159" s="36">
        <v>4546</v>
      </c>
      <c r="F2159" s="36">
        <v>2402</v>
      </c>
      <c r="G2159" s="36">
        <v>2144</v>
      </c>
      <c r="H2159" s="1" t="s">
        <v>2</v>
      </c>
      <c r="I2159" s="1"/>
      <c r="J2159" s="1"/>
      <c r="K2159" s="1"/>
      <c r="AA2159" s="1"/>
    </row>
    <row r="2160" spans="1:27" x14ac:dyDescent="0.25">
      <c r="A2160" t="s">
        <v>91</v>
      </c>
      <c r="B2160" t="str">
        <f t="shared" si="35"/>
        <v>65</v>
      </c>
      <c r="C2160" s="35">
        <v>2012</v>
      </c>
      <c r="D2160" s="1" t="s">
        <v>4</v>
      </c>
      <c r="E2160" s="36">
        <v>4967</v>
      </c>
      <c r="F2160" s="36">
        <v>2676</v>
      </c>
      <c r="G2160" s="36">
        <v>2290</v>
      </c>
      <c r="H2160" s="35">
        <v>1</v>
      </c>
      <c r="I2160" s="1"/>
      <c r="J2160" s="1"/>
      <c r="K2160" s="1"/>
      <c r="AA2160" s="1"/>
    </row>
    <row r="2161" spans="1:27" x14ac:dyDescent="0.25">
      <c r="A2161" t="s">
        <v>91</v>
      </c>
      <c r="B2161" t="str">
        <f t="shared" si="35"/>
        <v>65</v>
      </c>
      <c r="C2161" s="35">
        <v>2012</v>
      </c>
      <c r="D2161" s="35">
        <v>2011</v>
      </c>
      <c r="E2161" s="35">
        <v>41</v>
      </c>
      <c r="F2161" s="35">
        <v>35</v>
      </c>
      <c r="G2161" s="35">
        <v>6</v>
      </c>
      <c r="H2161" s="1" t="s">
        <v>2</v>
      </c>
      <c r="I2161" s="1"/>
      <c r="J2161" s="1"/>
      <c r="K2161" s="1"/>
      <c r="AA2161" s="1"/>
    </row>
    <row r="2162" spans="1:27" x14ac:dyDescent="0.25">
      <c r="A2162" t="s">
        <v>91</v>
      </c>
      <c r="B2162" t="str">
        <f t="shared" si="35"/>
        <v>65</v>
      </c>
      <c r="C2162" s="35">
        <v>2012</v>
      </c>
      <c r="D2162" s="35">
        <v>2012</v>
      </c>
      <c r="E2162" s="36">
        <v>4926</v>
      </c>
      <c r="F2162" s="36">
        <v>2641</v>
      </c>
      <c r="G2162" s="36">
        <v>2284</v>
      </c>
      <c r="H2162" s="35">
        <v>1</v>
      </c>
      <c r="I2162" s="1"/>
      <c r="J2162" s="1"/>
      <c r="K2162" s="1"/>
      <c r="AA2162" s="1"/>
    </row>
    <row r="2163" spans="1:27" x14ac:dyDescent="0.25">
      <c r="A2163" t="s">
        <v>91</v>
      </c>
      <c r="B2163" t="str">
        <f t="shared" si="35"/>
        <v>65</v>
      </c>
      <c r="C2163" s="35">
        <v>2013</v>
      </c>
      <c r="D2163" s="1" t="s">
        <v>4</v>
      </c>
      <c r="E2163" s="36">
        <v>5067</v>
      </c>
      <c r="F2163" s="36">
        <v>2728</v>
      </c>
      <c r="G2163" s="36">
        <v>2339</v>
      </c>
      <c r="H2163" s="1" t="s">
        <v>2</v>
      </c>
      <c r="I2163" s="1"/>
      <c r="J2163" s="1"/>
      <c r="K2163" s="1"/>
      <c r="AA2163" s="1"/>
    </row>
    <row r="2164" spans="1:27" x14ac:dyDescent="0.25">
      <c r="A2164" t="s">
        <v>91</v>
      </c>
      <c r="B2164" t="str">
        <f t="shared" si="35"/>
        <v>65</v>
      </c>
      <c r="C2164" s="35">
        <v>2013</v>
      </c>
      <c r="D2164" s="35">
        <v>2012</v>
      </c>
      <c r="E2164" s="35">
        <v>43</v>
      </c>
      <c r="F2164" s="35">
        <v>32</v>
      </c>
      <c r="G2164" s="35">
        <v>11</v>
      </c>
      <c r="H2164" s="1" t="s">
        <v>2</v>
      </c>
      <c r="I2164" s="1"/>
      <c r="J2164" s="1"/>
      <c r="K2164" s="1"/>
      <c r="AA2164" s="1"/>
    </row>
    <row r="2165" spans="1:27" x14ac:dyDescent="0.25">
      <c r="A2165" t="s">
        <v>91</v>
      </c>
      <c r="B2165" t="str">
        <f t="shared" si="35"/>
        <v>65</v>
      </c>
      <c r="C2165" s="35">
        <v>2013</v>
      </c>
      <c r="D2165" s="35">
        <v>2013</v>
      </c>
      <c r="E2165" s="36">
        <v>5024</v>
      </c>
      <c r="F2165" s="36">
        <v>2696</v>
      </c>
      <c r="G2165" s="36">
        <v>2328</v>
      </c>
      <c r="H2165" s="1" t="s">
        <v>2</v>
      </c>
      <c r="I2165" s="1"/>
      <c r="J2165" s="1"/>
      <c r="K2165" s="1"/>
      <c r="AA2165" s="1"/>
    </row>
    <row r="2166" spans="1:27" x14ac:dyDescent="0.25">
      <c r="A2166" t="s">
        <v>91</v>
      </c>
      <c r="B2166" t="str">
        <f t="shared" si="35"/>
        <v>65</v>
      </c>
      <c r="C2166" s="35">
        <v>2014</v>
      </c>
      <c r="D2166" s="1" t="s">
        <v>4</v>
      </c>
      <c r="E2166" s="36">
        <v>5330</v>
      </c>
      <c r="F2166" s="36">
        <v>2898</v>
      </c>
      <c r="G2166" s="36">
        <v>2432</v>
      </c>
      <c r="H2166" s="1" t="s">
        <v>2</v>
      </c>
      <c r="I2166" s="1"/>
      <c r="J2166" s="1"/>
      <c r="K2166" s="1"/>
      <c r="AA2166" s="1"/>
    </row>
    <row r="2167" spans="1:27" x14ac:dyDescent="0.25">
      <c r="A2167" t="s">
        <v>91</v>
      </c>
      <c r="B2167" t="str">
        <f t="shared" si="35"/>
        <v>65</v>
      </c>
      <c r="C2167" s="35">
        <v>2014</v>
      </c>
      <c r="D2167" s="35">
        <v>2004</v>
      </c>
      <c r="E2167" s="35">
        <v>1</v>
      </c>
      <c r="F2167" s="35">
        <v>1</v>
      </c>
      <c r="G2167" s="1" t="s">
        <v>2</v>
      </c>
      <c r="H2167" s="1" t="s">
        <v>2</v>
      </c>
      <c r="I2167" s="1"/>
      <c r="J2167" s="1"/>
      <c r="K2167" s="1"/>
      <c r="AA2167" s="1"/>
    </row>
    <row r="2168" spans="1:27" x14ac:dyDescent="0.25">
      <c r="A2168" t="s">
        <v>91</v>
      </c>
      <c r="B2168" t="str">
        <f t="shared" si="35"/>
        <v>65</v>
      </c>
      <c r="C2168" s="35">
        <v>2014</v>
      </c>
      <c r="D2168" s="35">
        <v>2011</v>
      </c>
      <c r="E2168" s="35">
        <v>1</v>
      </c>
      <c r="F2168" s="35">
        <v>1</v>
      </c>
      <c r="G2168" s="1" t="s">
        <v>2</v>
      </c>
      <c r="H2168" s="1" t="s">
        <v>2</v>
      </c>
      <c r="I2168" s="1"/>
      <c r="J2168" s="1"/>
      <c r="K2168" s="1"/>
      <c r="AA2168" s="1"/>
    </row>
    <row r="2169" spans="1:27" x14ac:dyDescent="0.25">
      <c r="A2169" t="s">
        <v>91</v>
      </c>
      <c r="B2169" t="str">
        <f t="shared" si="35"/>
        <v>65</v>
      </c>
      <c r="C2169" s="35">
        <v>2014</v>
      </c>
      <c r="D2169" s="35">
        <v>2013</v>
      </c>
      <c r="E2169" s="35">
        <v>43</v>
      </c>
      <c r="F2169" s="35">
        <v>31</v>
      </c>
      <c r="G2169" s="35">
        <v>12</v>
      </c>
      <c r="H2169" s="1" t="s">
        <v>2</v>
      </c>
      <c r="I2169" s="1"/>
      <c r="J2169" s="1"/>
      <c r="K2169" s="1"/>
      <c r="AA2169" s="1"/>
    </row>
    <row r="2170" spans="1:27" x14ac:dyDescent="0.25">
      <c r="A2170" t="s">
        <v>91</v>
      </c>
      <c r="B2170" t="str">
        <f t="shared" si="35"/>
        <v>65</v>
      </c>
      <c r="C2170" s="35">
        <v>2014</v>
      </c>
      <c r="D2170" s="35">
        <v>2014</v>
      </c>
      <c r="E2170" s="36">
        <v>5285</v>
      </c>
      <c r="F2170" s="36">
        <v>2865</v>
      </c>
      <c r="G2170" s="36">
        <v>2420</v>
      </c>
      <c r="H2170" s="1" t="s">
        <v>2</v>
      </c>
      <c r="I2170" s="1"/>
      <c r="J2170" s="1"/>
      <c r="K2170" s="1"/>
      <c r="AA2170" s="1"/>
    </row>
    <row r="2171" spans="1:27" x14ac:dyDescent="0.25">
      <c r="A2171" t="s">
        <v>91</v>
      </c>
      <c r="B2171" t="str">
        <f t="shared" si="35"/>
        <v>65</v>
      </c>
      <c r="C2171" s="35">
        <v>2015</v>
      </c>
      <c r="D2171" s="1" t="s">
        <v>4</v>
      </c>
      <c r="E2171" s="36">
        <v>5407</v>
      </c>
      <c r="F2171" s="36">
        <v>2909</v>
      </c>
      <c r="G2171" s="36">
        <v>2498</v>
      </c>
      <c r="H2171" s="1" t="s">
        <v>2</v>
      </c>
      <c r="I2171" s="1"/>
      <c r="J2171" s="1"/>
      <c r="K2171" s="1"/>
      <c r="AA2171" s="1"/>
    </row>
    <row r="2172" spans="1:27" x14ac:dyDescent="0.25">
      <c r="A2172" t="s">
        <v>91</v>
      </c>
      <c r="B2172" t="str">
        <f t="shared" si="35"/>
        <v>65</v>
      </c>
      <c r="C2172" s="35">
        <v>2015</v>
      </c>
      <c r="D2172" s="35">
        <v>2014</v>
      </c>
      <c r="E2172" s="35">
        <v>45</v>
      </c>
      <c r="F2172" s="35">
        <v>34</v>
      </c>
      <c r="G2172" s="35">
        <v>11</v>
      </c>
      <c r="H2172" s="1" t="s">
        <v>2</v>
      </c>
      <c r="I2172" s="1"/>
      <c r="J2172" s="1"/>
      <c r="K2172" s="1"/>
      <c r="AA2172" s="1"/>
    </row>
    <row r="2173" spans="1:27" x14ac:dyDescent="0.25">
      <c r="A2173" t="s">
        <v>91</v>
      </c>
      <c r="B2173" t="str">
        <f t="shared" si="35"/>
        <v>65</v>
      </c>
      <c r="C2173" s="35">
        <v>2015</v>
      </c>
      <c r="D2173" s="35">
        <v>2015</v>
      </c>
      <c r="E2173" s="36">
        <v>5362</v>
      </c>
      <c r="F2173" s="36">
        <v>2875</v>
      </c>
      <c r="G2173" s="36">
        <v>2487</v>
      </c>
      <c r="H2173" s="1" t="s">
        <v>2</v>
      </c>
      <c r="I2173" s="1"/>
      <c r="J2173" s="1"/>
      <c r="K2173" s="1"/>
      <c r="AA2173" s="1"/>
    </row>
    <row r="2174" spans="1:27" x14ac:dyDescent="0.25">
      <c r="A2174" t="s">
        <v>91</v>
      </c>
      <c r="B2174" t="str">
        <f t="shared" si="35"/>
        <v>65</v>
      </c>
      <c r="C2174" s="35">
        <v>2016</v>
      </c>
      <c r="D2174" s="1" t="s">
        <v>4</v>
      </c>
      <c r="E2174" s="36">
        <v>5702</v>
      </c>
      <c r="F2174" s="36">
        <v>3094</v>
      </c>
      <c r="G2174" s="36">
        <v>2608</v>
      </c>
      <c r="H2174" s="1" t="s">
        <v>2</v>
      </c>
      <c r="I2174" s="1"/>
      <c r="J2174" s="1"/>
      <c r="K2174" s="1"/>
      <c r="AA2174" s="1"/>
    </row>
    <row r="2175" spans="1:27" x14ac:dyDescent="0.25">
      <c r="A2175" t="s">
        <v>91</v>
      </c>
      <c r="B2175" t="str">
        <f t="shared" si="35"/>
        <v>65</v>
      </c>
      <c r="C2175" s="35">
        <v>2016</v>
      </c>
      <c r="D2175" s="35">
        <v>2009</v>
      </c>
      <c r="E2175" s="35">
        <v>1</v>
      </c>
      <c r="F2175" s="35">
        <v>1</v>
      </c>
      <c r="G2175" s="1" t="s">
        <v>2</v>
      </c>
      <c r="H2175" s="1" t="s">
        <v>2</v>
      </c>
      <c r="I2175" s="1"/>
      <c r="J2175" s="1"/>
      <c r="K2175" s="1"/>
      <c r="AA2175" s="1"/>
    </row>
    <row r="2176" spans="1:27" x14ac:dyDescent="0.25">
      <c r="A2176" t="s">
        <v>91</v>
      </c>
      <c r="B2176" t="str">
        <f t="shared" si="35"/>
        <v>65</v>
      </c>
      <c r="C2176" s="35">
        <v>2016</v>
      </c>
      <c r="D2176" s="35">
        <v>2010</v>
      </c>
      <c r="E2176" s="35">
        <v>2</v>
      </c>
      <c r="F2176" s="35">
        <v>2</v>
      </c>
      <c r="G2176" s="1" t="s">
        <v>2</v>
      </c>
      <c r="H2176" s="1" t="s">
        <v>2</v>
      </c>
      <c r="I2176" s="1"/>
      <c r="J2176" s="1"/>
      <c r="K2176" s="1"/>
      <c r="AA2176" s="1"/>
    </row>
    <row r="2177" spans="1:27" x14ac:dyDescent="0.25">
      <c r="A2177" t="s">
        <v>91</v>
      </c>
      <c r="B2177" t="str">
        <f t="shared" si="35"/>
        <v>65</v>
      </c>
      <c r="C2177" s="35">
        <v>2016</v>
      </c>
      <c r="D2177" s="35">
        <v>2012</v>
      </c>
      <c r="E2177" s="35">
        <v>1</v>
      </c>
      <c r="F2177" s="35">
        <v>1</v>
      </c>
      <c r="G2177" s="1" t="s">
        <v>2</v>
      </c>
      <c r="H2177" s="1" t="s">
        <v>2</v>
      </c>
      <c r="I2177" s="1"/>
      <c r="J2177" s="1"/>
      <c r="K2177" s="1"/>
      <c r="AA2177" s="1"/>
    </row>
    <row r="2178" spans="1:27" x14ac:dyDescent="0.25">
      <c r="A2178" t="s">
        <v>91</v>
      </c>
      <c r="B2178" t="str">
        <f t="shared" si="35"/>
        <v>65</v>
      </c>
      <c r="C2178" s="35">
        <v>2016</v>
      </c>
      <c r="D2178" s="35">
        <v>2013</v>
      </c>
      <c r="E2178" s="35">
        <v>1</v>
      </c>
      <c r="F2178" s="1" t="s">
        <v>2</v>
      </c>
      <c r="G2178" s="35">
        <v>1</v>
      </c>
      <c r="H2178" s="1" t="s">
        <v>2</v>
      </c>
      <c r="I2178" s="1"/>
      <c r="J2178" s="1"/>
      <c r="K2178" s="1"/>
      <c r="AA2178" s="1"/>
    </row>
    <row r="2179" spans="1:27" x14ac:dyDescent="0.25">
      <c r="A2179" t="s">
        <v>91</v>
      </c>
      <c r="B2179" t="str">
        <f t="shared" si="35"/>
        <v>65</v>
      </c>
      <c r="C2179" s="35">
        <v>2016</v>
      </c>
      <c r="D2179" s="35">
        <v>2015</v>
      </c>
      <c r="E2179" s="35">
        <v>39</v>
      </c>
      <c r="F2179" s="35">
        <v>26</v>
      </c>
      <c r="G2179" s="35">
        <v>13</v>
      </c>
      <c r="H2179" s="1" t="s">
        <v>2</v>
      </c>
      <c r="I2179" s="1"/>
      <c r="J2179" s="1"/>
      <c r="K2179" s="1"/>
      <c r="AA2179" s="1"/>
    </row>
    <row r="2180" spans="1:27" x14ac:dyDescent="0.25">
      <c r="A2180" t="s">
        <v>91</v>
      </c>
      <c r="B2180" t="str">
        <f t="shared" si="35"/>
        <v>65</v>
      </c>
      <c r="C2180" s="35">
        <v>2016</v>
      </c>
      <c r="D2180" s="35">
        <v>2016</v>
      </c>
      <c r="E2180" s="36">
        <v>5658</v>
      </c>
      <c r="F2180" s="36">
        <v>3064</v>
      </c>
      <c r="G2180" s="36">
        <v>2594</v>
      </c>
      <c r="H2180" s="1" t="s">
        <v>2</v>
      </c>
      <c r="I2180" s="1"/>
      <c r="J2180" s="1"/>
      <c r="K2180" s="1"/>
      <c r="AA2180" s="1"/>
    </row>
    <row r="2181" spans="1:27" x14ac:dyDescent="0.25">
      <c r="A2181" t="s">
        <v>91</v>
      </c>
      <c r="B2181" t="str">
        <f t="shared" si="35"/>
        <v>65</v>
      </c>
      <c r="C2181" s="35">
        <v>2017</v>
      </c>
      <c r="D2181" s="1" t="s">
        <v>4</v>
      </c>
      <c r="E2181" s="36">
        <v>5646</v>
      </c>
      <c r="F2181" s="36">
        <v>3102</v>
      </c>
      <c r="G2181" s="36">
        <v>2544</v>
      </c>
      <c r="H2181" s="1" t="s">
        <v>2</v>
      </c>
      <c r="I2181" s="1"/>
      <c r="J2181" s="1"/>
      <c r="K2181" s="1"/>
      <c r="AA2181" s="1"/>
    </row>
    <row r="2182" spans="1:27" x14ac:dyDescent="0.25">
      <c r="A2182" t="s">
        <v>91</v>
      </c>
      <c r="B2182" t="str">
        <f t="shared" si="35"/>
        <v>65</v>
      </c>
      <c r="C2182" s="35">
        <v>2017</v>
      </c>
      <c r="D2182" s="35">
        <v>2016</v>
      </c>
      <c r="E2182" s="35">
        <v>27</v>
      </c>
      <c r="F2182" s="35">
        <v>20</v>
      </c>
      <c r="G2182" s="35">
        <v>7</v>
      </c>
      <c r="H2182" s="1" t="s">
        <v>2</v>
      </c>
      <c r="I2182" s="1"/>
      <c r="J2182" s="1"/>
      <c r="K2182" s="1"/>
      <c r="AA2182" s="1"/>
    </row>
    <row r="2183" spans="1:27" x14ac:dyDescent="0.25">
      <c r="A2183" t="s">
        <v>91</v>
      </c>
      <c r="B2183" t="str">
        <f t="shared" ref="B2183:B2246" si="36">IF(A2183="Menores de 1 año",0,LEFT(A2183,2))</f>
        <v>65</v>
      </c>
      <c r="C2183" s="35">
        <v>2017</v>
      </c>
      <c r="D2183" s="35">
        <v>2017</v>
      </c>
      <c r="E2183" s="36">
        <v>5619</v>
      </c>
      <c r="F2183" s="36">
        <v>3082</v>
      </c>
      <c r="G2183" s="36">
        <v>2537</v>
      </c>
      <c r="H2183" s="1" t="s">
        <v>2</v>
      </c>
      <c r="I2183" s="1"/>
      <c r="J2183" s="1"/>
      <c r="K2183" s="1"/>
      <c r="AA2183" s="1"/>
    </row>
    <row r="2184" spans="1:27" x14ac:dyDescent="0.25">
      <c r="A2184" t="s">
        <v>91</v>
      </c>
      <c r="B2184" t="str">
        <f t="shared" si="36"/>
        <v>65</v>
      </c>
      <c r="C2184" s="35">
        <v>2018</v>
      </c>
      <c r="D2184" s="1" t="s">
        <v>4</v>
      </c>
      <c r="E2184" s="36">
        <v>5779</v>
      </c>
      <c r="F2184" s="36">
        <v>3127</v>
      </c>
      <c r="G2184" s="36">
        <v>2652</v>
      </c>
      <c r="H2184" s="1" t="s">
        <v>2</v>
      </c>
      <c r="I2184" s="1"/>
      <c r="J2184" s="1"/>
      <c r="K2184" s="1"/>
      <c r="AA2184" s="1"/>
    </row>
    <row r="2185" spans="1:27" x14ac:dyDescent="0.25">
      <c r="A2185" t="s">
        <v>91</v>
      </c>
      <c r="B2185" t="str">
        <f t="shared" si="36"/>
        <v>65</v>
      </c>
      <c r="C2185" s="35">
        <v>2018</v>
      </c>
      <c r="D2185" s="35">
        <v>2017</v>
      </c>
      <c r="E2185" s="35">
        <v>33</v>
      </c>
      <c r="F2185" s="35">
        <v>22</v>
      </c>
      <c r="G2185" s="35">
        <v>11</v>
      </c>
      <c r="H2185" s="1" t="s">
        <v>2</v>
      </c>
      <c r="I2185" s="1"/>
      <c r="J2185" s="1"/>
      <c r="K2185" s="1"/>
      <c r="AA2185" s="1"/>
    </row>
    <row r="2186" spans="1:27" x14ac:dyDescent="0.25">
      <c r="A2186" t="s">
        <v>91</v>
      </c>
      <c r="B2186" t="str">
        <f t="shared" si="36"/>
        <v>65</v>
      </c>
      <c r="C2186" s="35">
        <v>2018</v>
      </c>
      <c r="D2186" s="35">
        <v>2018</v>
      </c>
      <c r="E2186" s="36">
        <v>5746</v>
      </c>
      <c r="F2186" s="36">
        <v>3105</v>
      </c>
      <c r="G2186" s="36">
        <v>2641</v>
      </c>
      <c r="H2186" s="1" t="s">
        <v>2</v>
      </c>
      <c r="I2186" s="1"/>
      <c r="J2186" s="1"/>
      <c r="K2186" s="1"/>
      <c r="AA2186" s="1"/>
    </row>
    <row r="2187" spans="1:27" x14ac:dyDescent="0.25">
      <c r="A2187" t="s">
        <v>91</v>
      </c>
      <c r="B2187" t="str">
        <f t="shared" si="36"/>
        <v>65</v>
      </c>
      <c r="C2187" s="35">
        <v>2019</v>
      </c>
      <c r="D2187" s="1" t="s">
        <v>4</v>
      </c>
      <c r="E2187" s="36">
        <v>5996</v>
      </c>
      <c r="F2187" s="36">
        <v>3273</v>
      </c>
      <c r="G2187" s="36">
        <v>2723</v>
      </c>
      <c r="H2187" s="1" t="s">
        <v>2</v>
      </c>
      <c r="I2187" s="1"/>
      <c r="J2187" s="1"/>
      <c r="K2187" s="1"/>
      <c r="AA2187" s="1"/>
    </row>
    <row r="2188" spans="1:27" x14ac:dyDescent="0.25">
      <c r="A2188" t="s">
        <v>91</v>
      </c>
      <c r="B2188" t="str">
        <f t="shared" si="36"/>
        <v>65</v>
      </c>
      <c r="C2188" s="35">
        <v>2019</v>
      </c>
      <c r="D2188" s="35">
        <v>2018</v>
      </c>
      <c r="E2188" s="35">
        <v>35</v>
      </c>
      <c r="F2188" s="35">
        <v>27</v>
      </c>
      <c r="G2188" s="35">
        <v>8</v>
      </c>
      <c r="H2188" s="1" t="s">
        <v>2</v>
      </c>
      <c r="I2188" s="1"/>
      <c r="J2188" s="1"/>
      <c r="K2188" s="1"/>
      <c r="AA2188" s="1"/>
    </row>
    <row r="2189" spans="1:27" x14ac:dyDescent="0.25">
      <c r="A2189" t="s">
        <v>91</v>
      </c>
      <c r="B2189" t="str">
        <f t="shared" si="36"/>
        <v>65</v>
      </c>
      <c r="C2189" s="35">
        <v>2019</v>
      </c>
      <c r="D2189" s="35">
        <v>2019</v>
      </c>
      <c r="E2189" s="36">
        <v>5961</v>
      </c>
      <c r="F2189" s="36">
        <v>3246</v>
      </c>
      <c r="G2189" s="36">
        <v>2715</v>
      </c>
      <c r="H2189" s="1" t="s">
        <v>2</v>
      </c>
      <c r="I2189" s="1"/>
      <c r="J2189" s="1"/>
      <c r="K2189" s="1"/>
      <c r="AA2189" s="1"/>
    </row>
    <row r="2190" spans="1:27" x14ac:dyDescent="0.25">
      <c r="A2190" t="s">
        <v>91</v>
      </c>
      <c r="B2190" t="str">
        <f t="shared" si="36"/>
        <v>65</v>
      </c>
      <c r="C2190" s="35">
        <v>2020</v>
      </c>
      <c r="D2190" s="1" t="s">
        <v>4</v>
      </c>
      <c r="E2190" s="36">
        <v>11929</v>
      </c>
      <c r="F2190" s="36">
        <v>7115</v>
      </c>
      <c r="G2190" s="36">
        <v>4814</v>
      </c>
      <c r="H2190" s="1" t="s">
        <v>2</v>
      </c>
      <c r="I2190" s="1"/>
      <c r="J2190" s="1"/>
      <c r="K2190" s="1"/>
      <c r="AA2190" s="1"/>
    </row>
    <row r="2191" spans="1:27" x14ac:dyDescent="0.25">
      <c r="A2191" t="s">
        <v>91</v>
      </c>
      <c r="B2191" t="str">
        <f t="shared" si="36"/>
        <v>65</v>
      </c>
      <c r="C2191" s="35">
        <v>2020</v>
      </c>
      <c r="D2191" s="35">
        <v>2019</v>
      </c>
      <c r="E2191" s="35">
        <v>28</v>
      </c>
      <c r="F2191" s="35">
        <v>19</v>
      </c>
      <c r="G2191" s="35">
        <v>9</v>
      </c>
      <c r="H2191" s="1" t="s">
        <v>2</v>
      </c>
      <c r="I2191" s="1"/>
      <c r="J2191" s="1"/>
      <c r="K2191" s="1"/>
      <c r="AA2191" s="1"/>
    </row>
    <row r="2192" spans="1:27" x14ac:dyDescent="0.25">
      <c r="A2192" t="s">
        <v>91</v>
      </c>
      <c r="B2192" t="str">
        <f t="shared" si="36"/>
        <v>65</v>
      </c>
      <c r="C2192" s="35">
        <v>2020</v>
      </c>
      <c r="D2192" s="35">
        <v>2020</v>
      </c>
      <c r="E2192" s="36">
        <v>11901</v>
      </c>
      <c r="F2192" s="36">
        <v>7096</v>
      </c>
      <c r="G2192" s="36">
        <v>4805</v>
      </c>
      <c r="H2192" s="1" t="s">
        <v>2</v>
      </c>
      <c r="I2192" s="1"/>
      <c r="J2192" s="1"/>
      <c r="K2192" s="1"/>
      <c r="AA2192" s="1"/>
    </row>
    <row r="2193" spans="1:27" x14ac:dyDescent="0.25">
      <c r="A2193" t="s">
        <v>91</v>
      </c>
      <c r="B2193" t="str">
        <f t="shared" si="36"/>
        <v>65</v>
      </c>
      <c r="C2193" s="35">
        <v>2021</v>
      </c>
      <c r="D2193" s="1" t="s">
        <v>4</v>
      </c>
      <c r="E2193" s="36">
        <v>10709</v>
      </c>
      <c r="F2193" s="36">
        <v>6111</v>
      </c>
      <c r="G2193" s="36">
        <v>4598</v>
      </c>
      <c r="H2193" s="1" t="s">
        <v>2</v>
      </c>
      <c r="I2193" s="1"/>
      <c r="J2193" s="1"/>
      <c r="K2193" s="1"/>
      <c r="AA2193" s="1"/>
    </row>
    <row r="2194" spans="1:27" x14ac:dyDescent="0.25">
      <c r="A2194" t="s">
        <v>91</v>
      </c>
      <c r="B2194" t="str">
        <f t="shared" si="36"/>
        <v>65</v>
      </c>
      <c r="C2194" s="35">
        <v>2021</v>
      </c>
      <c r="D2194" s="35">
        <v>2020</v>
      </c>
      <c r="E2194" s="35">
        <v>72</v>
      </c>
      <c r="F2194" s="35">
        <v>49</v>
      </c>
      <c r="G2194" s="35">
        <v>23</v>
      </c>
      <c r="H2194" s="1" t="s">
        <v>2</v>
      </c>
      <c r="I2194" s="1"/>
      <c r="J2194" s="1"/>
      <c r="K2194" s="1"/>
      <c r="AA2194" s="1"/>
    </row>
    <row r="2195" spans="1:27" x14ac:dyDescent="0.25">
      <c r="A2195" t="s">
        <v>91</v>
      </c>
      <c r="B2195" t="str">
        <f t="shared" si="36"/>
        <v>65</v>
      </c>
      <c r="C2195" s="35">
        <v>2021</v>
      </c>
      <c r="D2195" s="35">
        <v>2021</v>
      </c>
      <c r="E2195" s="36">
        <v>10636</v>
      </c>
      <c r="F2195" s="36">
        <v>6062</v>
      </c>
      <c r="G2195" s="36">
        <v>4574</v>
      </c>
      <c r="H2195" s="1" t="s">
        <v>2</v>
      </c>
      <c r="I2195" s="1"/>
      <c r="J2195" s="1"/>
      <c r="K2195" s="1"/>
      <c r="AA2195" s="1"/>
    </row>
    <row r="2196" spans="1:27" x14ac:dyDescent="0.25">
      <c r="A2196" t="s">
        <v>91</v>
      </c>
      <c r="B2196" t="str">
        <f t="shared" si="36"/>
        <v>65</v>
      </c>
      <c r="C2196" s="35">
        <v>2021</v>
      </c>
      <c r="D2196" s="1" t="s">
        <v>24</v>
      </c>
      <c r="E2196" s="35">
        <v>1</v>
      </c>
      <c r="F2196" s="1" t="s">
        <v>2</v>
      </c>
      <c r="G2196" s="35">
        <v>1</v>
      </c>
      <c r="H2196" s="1" t="s">
        <v>2</v>
      </c>
      <c r="I2196" s="1"/>
      <c r="J2196" s="1"/>
      <c r="K2196" s="1"/>
      <c r="AA2196" s="1"/>
    </row>
    <row r="2197" spans="1:27" x14ac:dyDescent="0.25">
      <c r="A2197" t="s">
        <v>91</v>
      </c>
      <c r="B2197" t="str">
        <f t="shared" si="36"/>
        <v>65</v>
      </c>
      <c r="C2197" s="35">
        <v>2022</v>
      </c>
      <c r="D2197" s="1" t="s">
        <v>4</v>
      </c>
      <c r="E2197" s="36">
        <v>6609</v>
      </c>
      <c r="F2197" s="36">
        <v>3625</v>
      </c>
      <c r="G2197" s="36">
        <v>2983</v>
      </c>
      <c r="H2197" s="35">
        <v>1</v>
      </c>
      <c r="I2197" s="1"/>
      <c r="J2197" s="1"/>
      <c r="K2197" s="1"/>
      <c r="AA2197" s="1"/>
    </row>
    <row r="2198" spans="1:27" x14ac:dyDescent="0.25">
      <c r="A2198" t="s">
        <v>91</v>
      </c>
      <c r="B2198" t="str">
        <f t="shared" si="36"/>
        <v>65</v>
      </c>
      <c r="C2198" s="35">
        <v>2022</v>
      </c>
      <c r="D2198" s="35">
        <v>2006</v>
      </c>
      <c r="E2198" s="35">
        <v>1</v>
      </c>
      <c r="F2198" s="35">
        <v>1</v>
      </c>
      <c r="G2198" s="1" t="s">
        <v>2</v>
      </c>
      <c r="H2198" s="1" t="s">
        <v>2</v>
      </c>
      <c r="I2198" s="1"/>
      <c r="J2198" s="1"/>
      <c r="K2198" s="1"/>
      <c r="AA2198" s="1"/>
    </row>
    <row r="2199" spans="1:27" x14ac:dyDescent="0.25">
      <c r="A2199" t="s">
        <v>91</v>
      </c>
      <c r="B2199" t="str">
        <f t="shared" si="36"/>
        <v>65</v>
      </c>
      <c r="C2199" s="35">
        <v>2022</v>
      </c>
      <c r="D2199" s="35">
        <v>2007</v>
      </c>
      <c r="E2199" s="35">
        <v>3</v>
      </c>
      <c r="F2199" s="35">
        <v>3</v>
      </c>
      <c r="G2199" s="1" t="s">
        <v>2</v>
      </c>
      <c r="H2199" s="1" t="s">
        <v>2</v>
      </c>
      <c r="I2199" s="1"/>
      <c r="J2199" s="1"/>
      <c r="K2199" s="1"/>
      <c r="AA2199" s="1"/>
    </row>
    <row r="2200" spans="1:27" x14ac:dyDescent="0.25">
      <c r="A2200" t="s">
        <v>91</v>
      </c>
      <c r="B2200" t="str">
        <f t="shared" si="36"/>
        <v>65</v>
      </c>
      <c r="C2200" s="35">
        <v>2022</v>
      </c>
      <c r="D2200" s="35">
        <v>2009</v>
      </c>
      <c r="E2200" s="35">
        <v>6</v>
      </c>
      <c r="F2200" s="35">
        <v>5</v>
      </c>
      <c r="G2200" s="35">
        <v>1</v>
      </c>
      <c r="H2200" s="1" t="s">
        <v>2</v>
      </c>
      <c r="I2200" s="1"/>
      <c r="J2200" s="1"/>
      <c r="K2200" s="1"/>
      <c r="AA2200" s="1"/>
    </row>
    <row r="2201" spans="1:27" x14ac:dyDescent="0.25">
      <c r="A2201" t="s">
        <v>91</v>
      </c>
      <c r="B2201" t="str">
        <f t="shared" si="36"/>
        <v>65</v>
      </c>
      <c r="C2201" s="35">
        <v>2022</v>
      </c>
      <c r="D2201" s="35">
        <v>2010</v>
      </c>
      <c r="E2201" s="35">
        <v>2</v>
      </c>
      <c r="F2201" s="35">
        <v>1</v>
      </c>
      <c r="G2201" s="35">
        <v>1</v>
      </c>
      <c r="H2201" s="1" t="s">
        <v>2</v>
      </c>
      <c r="I2201" s="1"/>
      <c r="J2201" s="1"/>
      <c r="K2201" s="1"/>
      <c r="AA2201" s="1"/>
    </row>
    <row r="2202" spans="1:27" x14ac:dyDescent="0.25">
      <c r="A2202" t="s">
        <v>91</v>
      </c>
      <c r="B2202" t="str">
        <f t="shared" si="36"/>
        <v>65</v>
      </c>
      <c r="C2202" s="35">
        <v>2022</v>
      </c>
      <c r="D2202" s="35">
        <v>2021</v>
      </c>
      <c r="E2202" s="35">
        <v>26</v>
      </c>
      <c r="F2202" s="35">
        <v>17</v>
      </c>
      <c r="G2202" s="35">
        <v>9</v>
      </c>
      <c r="H2202" s="1" t="s">
        <v>2</v>
      </c>
      <c r="I2202" s="1"/>
      <c r="J2202" s="1"/>
      <c r="K2202" s="1"/>
      <c r="AA2202" s="1"/>
    </row>
    <row r="2203" spans="1:27" x14ac:dyDescent="0.25">
      <c r="A2203" t="s">
        <v>91</v>
      </c>
      <c r="B2203" t="str">
        <f t="shared" si="36"/>
        <v>65</v>
      </c>
      <c r="C2203" s="35">
        <v>2022</v>
      </c>
      <c r="D2203" s="35">
        <v>2022</v>
      </c>
      <c r="E2203" s="36">
        <v>6571</v>
      </c>
      <c r="F2203" s="36">
        <v>3598</v>
      </c>
      <c r="G2203" s="36">
        <v>2972</v>
      </c>
      <c r="H2203" s="35">
        <v>1</v>
      </c>
      <c r="I2203" s="1"/>
      <c r="J2203" s="1"/>
      <c r="K2203" s="1"/>
      <c r="AA2203" s="1"/>
    </row>
    <row r="2204" spans="1:27" x14ac:dyDescent="0.25">
      <c r="A2204" t="s">
        <v>91</v>
      </c>
      <c r="B2204" t="str">
        <f t="shared" si="36"/>
        <v>65</v>
      </c>
      <c r="C2204" s="35">
        <v>2023</v>
      </c>
      <c r="D2204" s="1" t="s">
        <v>4</v>
      </c>
      <c r="E2204" s="36">
        <v>6185</v>
      </c>
      <c r="F2204" s="36">
        <v>3391</v>
      </c>
      <c r="G2204" s="36">
        <v>2794</v>
      </c>
      <c r="H2204" s="1" t="s">
        <v>2</v>
      </c>
      <c r="I2204" s="1"/>
      <c r="J2204" s="1"/>
      <c r="K2204" s="1"/>
      <c r="AA2204" s="1"/>
    </row>
    <row r="2205" spans="1:27" x14ac:dyDescent="0.25">
      <c r="A2205" t="s">
        <v>91</v>
      </c>
      <c r="B2205" t="str">
        <f t="shared" si="36"/>
        <v>65</v>
      </c>
      <c r="C2205" s="35">
        <v>2023</v>
      </c>
      <c r="D2205" s="35">
        <v>2022</v>
      </c>
      <c r="E2205" s="35">
        <v>20</v>
      </c>
      <c r="F2205" s="35">
        <v>11</v>
      </c>
      <c r="G2205" s="35">
        <v>9</v>
      </c>
      <c r="H2205" s="1" t="s">
        <v>2</v>
      </c>
      <c r="I2205" s="1"/>
      <c r="J2205" s="1"/>
      <c r="K2205" s="1"/>
      <c r="AA2205" s="1"/>
    </row>
    <row r="2206" spans="1:27" x14ac:dyDescent="0.25">
      <c r="A2206" t="s">
        <v>91</v>
      </c>
      <c r="B2206" t="str">
        <f t="shared" si="36"/>
        <v>65</v>
      </c>
      <c r="C2206" s="35">
        <v>2023</v>
      </c>
      <c r="D2206" s="35">
        <v>2023</v>
      </c>
      <c r="E2206" s="36">
        <v>6165</v>
      </c>
      <c r="F2206" s="36">
        <v>3380</v>
      </c>
      <c r="G2206" s="36">
        <v>2785</v>
      </c>
      <c r="H2206" s="1" t="s">
        <v>2</v>
      </c>
      <c r="I2206" s="1"/>
      <c r="J2206" s="1"/>
      <c r="K2206" s="1"/>
      <c r="AA2206" s="1"/>
    </row>
    <row r="2207" spans="1:27" x14ac:dyDescent="0.25">
      <c r="A2207" t="s">
        <v>91</v>
      </c>
      <c r="B2207" t="str">
        <f t="shared" si="36"/>
        <v>65</v>
      </c>
      <c r="C2207" s="35">
        <v>2024</v>
      </c>
      <c r="D2207" s="1" t="s">
        <v>4</v>
      </c>
      <c r="E2207" s="36">
        <v>6463</v>
      </c>
      <c r="F2207" s="36">
        <v>3572</v>
      </c>
      <c r="G2207" s="36">
        <v>2891</v>
      </c>
      <c r="H2207" s="1" t="s">
        <v>2</v>
      </c>
      <c r="I2207" s="1"/>
      <c r="J2207" s="1"/>
      <c r="K2207" s="1"/>
      <c r="AA2207" s="1"/>
    </row>
    <row r="2208" spans="1:27" x14ac:dyDescent="0.25">
      <c r="A2208" t="s">
        <v>91</v>
      </c>
      <c r="B2208" t="str">
        <f t="shared" si="36"/>
        <v>65</v>
      </c>
      <c r="C2208" s="35">
        <v>2024</v>
      </c>
      <c r="D2208" s="35">
        <v>2021</v>
      </c>
      <c r="E2208" s="35">
        <v>1</v>
      </c>
      <c r="F2208" s="1" t="s">
        <v>2</v>
      </c>
      <c r="G2208" s="35">
        <v>1</v>
      </c>
      <c r="H2208" s="1" t="s">
        <v>2</v>
      </c>
      <c r="I2208" s="1"/>
      <c r="J2208" s="1"/>
      <c r="K2208" s="1"/>
      <c r="AA2208" s="1"/>
    </row>
    <row r="2209" spans="1:27" x14ac:dyDescent="0.25">
      <c r="A2209" t="s">
        <v>91</v>
      </c>
      <c r="B2209" t="str">
        <f t="shared" si="36"/>
        <v>65</v>
      </c>
      <c r="C2209" s="35">
        <v>2024</v>
      </c>
      <c r="D2209" s="35">
        <v>2023</v>
      </c>
      <c r="E2209" s="35">
        <v>30</v>
      </c>
      <c r="F2209" s="35">
        <v>17</v>
      </c>
      <c r="G2209" s="35">
        <v>13</v>
      </c>
      <c r="H2209" s="1" t="s">
        <v>2</v>
      </c>
      <c r="I2209" s="1"/>
      <c r="J2209" s="1"/>
      <c r="K2209" s="1"/>
      <c r="AA2209" s="1"/>
    </row>
    <row r="2210" spans="1:27" x14ac:dyDescent="0.25">
      <c r="A2210" t="s">
        <v>91</v>
      </c>
      <c r="B2210" t="str">
        <f t="shared" si="36"/>
        <v>65</v>
      </c>
      <c r="C2210" s="35">
        <v>2024</v>
      </c>
      <c r="D2210" s="35">
        <v>2024</v>
      </c>
      <c r="E2210" s="36">
        <v>6432</v>
      </c>
      <c r="F2210" s="36">
        <v>3555</v>
      </c>
      <c r="G2210" s="36">
        <v>2877</v>
      </c>
      <c r="H2210" s="1" t="s">
        <v>2</v>
      </c>
      <c r="I2210" s="1"/>
      <c r="J2210" s="1"/>
      <c r="K2210" s="1"/>
      <c r="AA2210" s="1"/>
    </row>
    <row r="2211" spans="1:27" x14ac:dyDescent="0.25">
      <c r="A2211" t="s">
        <v>92</v>
      </c>
      <c r="B2211" t="str">
        <f t="shared" si="36"/>
        <v>70</v>
      </c>
      <c r="C2211" s="35">
        <v>1990</v>
      </c>
      <c r="D2211" s="1" t="s">
        <v>4</v>
      </c>
      <c r="E2211" s="36">
        <v>3541</v>
      </c>
      <c r="F2211" s="36">
        <v>1763</v>
      </c>
      <c r="G2211" s="36">
        <v>1777</v>
      </c>
      <c r="H2211" s="35">
        <v>1</v>
      </c>
      <c r="I2211" s="1"/>
      <c r="J2211" s="1"/>
      <c r="K2211" s="1"/>
      <c r="AA2211" s="1"/>
    </row>
    <row r="2212" spans="1:27" x14ac:dyDescent="0.25">
      <c r="A2212" t="s">
        <v>92</v>
      </c>
      <c r="B2212" t="str">
        <f t="shared" si="36"/>
        <v>70</v>
      </c>
      <c r="C2212" s="35">
        <v>1990</v>
      </c>
      <c r="D2212" s="35">
        <v>1990</v>
      </c>
      <c r="E2212" s="36">
        <v>3540</v>
      </c>
      <c r="F2212" s="36">
        <v>1762</v>
      </c>
      <c r="G2212" s="36">
        <v>1777</v>
      </c>
      <c r="H2212" s="35">
        <v>1</v>
      </c>
      <c r="I2212" s="1"/>
      <c r="J2212" s="1"/>
      <c r="K2212" s="1"/>
      <c r="AA2212" s="1"/>
    </row>
    <row r="2213" spans="1:27" x14ac:dyDescent="0.25">
      <c r="A2213" t="s">
        <v>92</v>
      </c>
      <c r="B2213" t="str">
        <f t="shared" si="36"/>
        <v>70</v>
      </c>
      <c r="C2213" s="35">
        <v>1990</v>
      </c>
      <c r="D2213" s="1" t="s">
        <v>24</v>
      </c>
      <c r="E2213" s="35">
        <v>1</v>
      </c>
      <c r="F2213" s="35">
        <v>1</v>
      </c>
      <c r="G2213" s="1" t="s">
        <v>2</v>
      </c>
      <c r="H2213" s="1" t="s">
        <v>2</v>
      </c>
      <c r="I2213" s="1"/>
      <c r="J2213" s="1"/>
      <c r="K2213" s="1"/>
      <c r="AA2213" s="1"/>
    </row>
    <row r="2214" spans="1:27" x14ac:dyDescent="0.25">
      <c r="A2214" t="s">
        <v>92</v>
      </c>
      <c r="B2214" t="str">
        <f t="shared" si="36"/>
        <v>70</v>
      </c>
      <c r="C2214" s="35">
        <v>1991</v>
      </c>
      <c r="D2214" s="1" t="s">
        <v>4</v>
      </c>
      <c r="E2214" s="36">
        <v>3772</v>
      </c>
      <c r="F2214" s="36">
        <v>1883</v>
      </c>
      <c r="G2214" s="36">
        <v>1889</v>
      </c>
      <c r="H2214" s="1" t="s">
        <v>2</v>
      </c>
      <c r="I2214" s="1"/>
      <c r="J2214" s="1"/>
      <c r="K2214" s="1"/>
      <c r="AA2214" s="1"/>
    </row>
    <row r="2215" spans="1:27" x14ac:dyDescent="0.25">
      <c r="A2215" t="s">
        <v>92</v>
      </c>
      <c r="B2215" t="str">
        <f t="shared" si="36"/>
        <v>70</v>
      </c>
      <c r="C2215" s="35">
        <v>1991</v>
      </c>
      <c r="D2215" s="35">
        <v>1991</v>
      </c>
      <c r="E2215" s="36">
        <v>3770</v>
      </c>
      <c r="F2215" s="36">
        <v>1881</v>
      </c>
      <c r="G2215" s="36">
        <v>1889</v>
      </c>
      <c r="H2215" s="1" t="s">
        <v>2</v>
      </c>
      <c r="I2215" s="1"/>
      <c r="J2215" s="1"/>
      <c r="K2215" s="1"/>
      <c r="AA2215" s="1"/>
    </row>
    <row r="2216" spans="1:27" x14ac:dyDescent="0.25">
      <c r="A2216" t="s">
        <v>92</v>
      </c>
      <c r="B2216" t="str">
        <f t="shared" si="36"/>
        <v>70</v>
      </c>
      <c r="C2216" s="35">
        <v>1991</v>
      </c>
      <c r="D2216" s="1" t="s">
        <v>24</v>
      </c>
      <c r="E2216" s="35">
        <v>2</v>
      </c>
      <c r="F2216" s="35">
        <v>2</v>
      </c>
      <c r="G2216" s="1" t="s">
        <v>2</v>
      </c>
      <c r="H2216" s="1" t="s">
        <v>2</v>
      </c>
      <c r="I2216" s="1"/>
      <c r="J2216" s="1"/>
      <c r="K2216" s="1"/>
      <c r="AA2216" s="1"/>
    </row>
    <row r="2217" spans="1:27" x14ac:dyDescent="0.25">
      <c r="A2217" t="s">
        <v>92</v>
      </c>
      <c r="B2217" t="str">
        <f t="shared" si="36"/>
        <v>70</v>
      </c>
      <c r="C2217" s="35">
        <v>1992</v>
      </c>
      <c r="D2217" s="1" t="s">
        <v>4</v>
      </c>
      <c r="E2217" s="36">
        <v>4045</v>
      </c>
      <c r="F2217" s="36">
        <v>2054</v>
      </c>
      <c r="G2217" s="36">
        <v>1991</v>
      </c>
      <c r="H2217" s="1" t="s">
        <v>2</v>
      </c>
      <c r="I2217" s="1"/>
      <c r="J2217" s="1"/>
      <c r="K2217" s="1"/>
      <c r="AA2217" s="1"/>
    </row>
    <row r="2218" spans="1:27" x14ac:dyDescent="0.25">
      <c r="A2218" t="s">
        <v>92</v>
      </c>
      <c r="B2218" t="str">
        <f t="shared" si="36"/>
        <v>70</v>
      </c>
      <c r="C2218" s="35">
        <v>1992</v>
      </c>
      <c r="D2218" s="35">
        <v>1992</v>
      </c>
      <c r="E2218" s="36">
        <v>4044</v>
      </c>
      <c r="F2218" s="36">
        <v>2053</v>
      </c>
      <c r="G2218" s="36">
        <v>1991</v>
      </c>
      <c r="H2218" s="1" t="s">
        <v>2</v>
      </c>
      <c r="I2218" s="1"/>
      <c r="J2218" s="1"/>
      <c r="K2218" s="1"/>
      <c r="AA2218" s="1"/>
    </row>
    <row r="2219" spans="1:27" x14ac:dyDescent="0.25">
      <c r="A2219" t="s">
        <v>92</v>
      </c>
      <c r="B2219" t="str">
        <f t="shared" si="36"/>
        <v>70</v>
      </c>
      <c r="C2219" s="35">
        <v>1992</v>
      </c>
      <c r="D2219" s="1" t="s">
        <v>24</v>
      </c>
      <c r="E2219" s="35">
        <v>1</v>
      </c>
      <c r="F2219" s="35">
        <v>1</v>
      </c>
      <c r="G2219" s="1" t="s">
        <v>2</v>
      </c>
      <c r="H2219" s="1" t="s">
        <v>2</v>
      </c>
      <c r="I2219" s="1"/>
      <c r="J2219" s="1"/>
      <c r="K2219" s="1"/>
      <c r="AA2219" s="1"/>
    </row>
    <row r="2220" spans="1:27" x14ac:dyDescent="0.25">
      <c r="A2220" t="s">
        <v>92</v>
      </c>
      <c r="B2220" t="str">
        <f t="shared" si="36"/>
        <v>70</v>
      </c>
      <c r="C2220" s="35">
        <v>1993</v>
      </c>
      <c r="D2220" s="1" t="s">
        <v>4</v>
      </c>
      <c r="E2220" s="36">
        <v>4278</v>
      </c>
      <c r="F2220" s="36">
        <v>2172</v>
      </c>
      <c r="G2220" s="36">
        <v>2105</v>
      </c>
      <c r="H2220" s="35">
        <v>1</v>
      </c>
      <c r="I2220" s="1"/>
      <c r="J2220" s="1"/>
      <c r="K2220" s="1"/>
      <c r="AA2220" s="1"/>
    </row>
    <row r="2221" spans="1:27" x14ac:dyDescent="0.25">
      <c r="A2221" t="s">
        <v>92</v>
      </c>
      <c r="B2221" t="str">
        <f t="shared" si="36"/>
        <v>70</v>
      </c>
      <c r="C2221" s="35">
        <v>1993</v>
      </c>
      <c r="D2221" s="35">
        <v>1930</v>
      </c>
      <c r="E2221" s="35">
        <v>1</v>
      </c>
      <c r="F2221" s="35">
        <v>1</v>
      </c>
      <c r="G2221" s="1" t="s">
        <v>2</v>
      </c>
      <c r="H2221" s="1" t="s">
        <v>2</v>
      </c>
      <c r="I2221" s="1"/>
      <c r="J2221" s="1"/>
      <c r="K2221" s="1"/>
      <c r="AA2221" s="1"/>
    </row>
    <row r="2222" spans="1:27" x14ac:dyDescent="0.25">
      <c r="A2222" t="s">
        <v>92</v>
      </c>
      <c r="B2222" t="str">
        <f t="shared" si="36"/>
        <v>70</v>
      </c>
      <c r="C2222" s="35">
        <v>1993</v>
      </c>
      <c r="D2222" s="35">
        <v>1943</v>
      </c>
      <c r="E2222" s="35">
        <v>1</v>
      </c>
      <c r="F2222" s="1" t="s">
        <v>2</v>
      </c>
      <c r="G2222" s="35">
        <v>1</v>
      </c>
      <c r="H2222" s="1" t="s">
        <v>2</v>
      </c>
      <c r="I2222" s="1"/>
      <c r="J2222" s="1"/>
      <c r="K2222" s="1"/>
      <c r="AA2222" s="1"/>
    </row>
    <row r="2223" spans="1:27" x14ac:dyDescent="0.25">
      <c r="A2223" t="s">
        <v>92</v>
      </c>
      <c r="B2223" t="str">
        <f t="shared" si="36"/>
        <v>70</v>
      </c>
      <c r="C2223" s="35">
        <v>1993</v>
      </c>
      <c r="D2223" s="35">
        <v>1973</v>
      </c>
      <c r="E2223" s="35">
        <v>1</v>
      </c>
      <c r="F2223" s="1" t="s">
        <v>2</v>
      </c>
      <c r="G2223" s="35">
        <v>1</v>
      </c>
      <c r="H2223" s="1" t="s">
        <v>2</v>
      </c>
      <c r="I2223" s="1"/>
      <c r="J2223" s="1"/>
      <c r="K2223" s="1"/>
      <c r="AA2223" s="1"/>
    </row>
    <row r="2224" spans="1:27" x14ac:dyDescent="0.25">
      <c r="A2224" t="s">
        <v>92</v>
      </c>
      <c r="B2224" t="str">
        <f t="shared" si="36"/>
        <v>70</v>
      </c>
      <c r="C2224" s="35">
        <v>1993</v>
      </c>
      <c r="D2224" s="35">
        <v>1992</v>
      </c>
      <c r="E2224" s="35">
        <v>11</v>
      </c>
      <c r="F2224" s="35">
        <v>2</v>
      </c>
      <c r="G2224" s="35">
        <v>9</v>
      </c>
      <c r="H2224" s="1" t="s">
        <v>2</v>
      </c>
      <c r="I2224" s="1"/>
      <c r="J2224" s="1"/>
      <c r="K2224" s="1"/>
      <c r="AA2224" s="1"/>
    </row>
    <row r="2225" spans="1:27" x14ac:dyDescent="0.25">
      <c r="A2225" t="s">
        <v>92</v>
      </c>
      <c r="B2225" t="str">
        <f t="shared" si="36"/>
        <v>70</v>
      </c>
      <c r="C2225" s="35">
        <v>1993</v>
      </c>
      <c r="D2225" s="35">
        <v>1993</v>
      </c>
      <c r="E2225" s="36">
        <v>4263</v>
      </c>
      <c r="F2225" s="36">
        <v>2168</v>
      </c>
      <c r="G2225" s="36">
        <v>2094</v>
      </c>
      <c r="H2225" s="35">
        <v>1</v>
      </c>
      <c r="I2225" s="1"/>
      <c r="J2225" s="1"/>
      <c r="K2225" s="1"/>
      <c r="AA2225" s="1"/>
    </row>
    <row r="2226" spans="1:27" x14ac:dyDescent="0.25">
      <c r="A2226" t="s">
        <v>92</v>
      </c>
      <c r="B2226" t="str">
        <f t="shared" si="36"/>
        <v>70</v>
      </c>
      <c r="C2226" s="35">
        <v>1993</v>
      </c>
      <c r="D2226" s="1" t="s">
        <v>24</v>
      </c>
      <c r="E2226" s="35">
        <v>1</v>
      </c>
      <c r="F2226" s="35">
        <v>1</v>
      </c>
      <c r="G2226" s="1" t="s">
        <v>2</v>
      </c>
      <c r="H2226" s="1" t="s">
        <v>2</v>
      </c>
      <c r="I2226" s="1"/>
      <c r="J2226" s="1"/>
      <c r="K2226" s="1"/>
      <c r="AA2226" s="1"/>
    </row>
    <row r="2227" spans="1:27" x14ac:dyDescent="0.25">
      <c r="A2227" t="s">
        <v>92</v>
      </c>
      <c r="B2227" t="str">
        <f t="shared" si="36"/>
        <v>70</v>
      </c>
      <c r="C2227" s="35">
        <v>1994</v>
      </c>
      <c r="D2227" s="1" t="s">
        <v>4</v>
      </c>
      <c r="E2227" s="36">
        <v>4515</v>
      </c>
      <c r="F2227" s="36">
        <v>2305</v>
      </c>
      <c r="G2227" s="36">
        <v>2210</v>
      </c>
      <c r="H2227" s="1" t="s">
        <v>2</v>
      </c>
      <c r="I2227" s="1"/>
      <c r="J2227" s="1"/>
      <c r="K2227" s="1"/>
      <c r="AA2227" s="1"/>
    </row>
    <row r="2228" spans="1:27" x14ac:dyDescent="0.25">
      <c r="A2228" t="s">
        <v>92</v>
      </c>
      <c r="B2228" t="str">
        <f t="shared" si="36"/>
        <v>70</v>
      </c>
      <c r="C2228" s="35">
        <v>1994</v>
      </c>
      <c r="D2228" s="35">
        <v>1904</v>
      </c>
      <c r="E2228" s="35">
        <v>1</v>
      </c>
      <c r="F2228" s="1" t="s">
        <v>2</v>
      </c>
      <c r="G2228" s="35">
        <v>1</v>
      </c>
      <c r="H2228" s="1" t="s">
        <v>2</v>
      </c>
      <c r="I2228" s="1"/>
      <c r="J2228" s="1"/>
      <c r="K2228" s="1"/>
      <c r="AA2228" s="1"/>
    </row>
    <row r="2229" spans="1:27" x14ac:dyDescent="0.25">
      <c r="A2229" t="s">
        <v>92</v>
      </c>
      <c r="B2229" t="str">
        <f t="shared" si="36"/>
        <v>70</v>
      </c>
      <c r="C2229" s="35">
        <v>1994</v>
      </c>
      <c r="D2229" s="35">
        <v>1944</v>
      </c>
      <c r="E2229" s="35">
        <v>2</v>
      </c>
      <c r="F2229" s="35">
        <v>1</v>
      </c>
      <c r="G2229" s="35">
        <v>1</v>
      </c>
      <c r="H2229" s="1" t="s">
        <v>2</v>
      </c>
      <c r="I2229" s="1"/>
      <c r="J2229" s="1"/>
      <c r="K2229" s="1"/>
      <c r="AA2229" s="1"/>
    </row>
    <row r="2230" spans="1:27" x14ac:dyDescent="0.25">
      <c r="A2230" t="s">
        <v>92</v>
      </c>
      <c r="B2230" t="str">
        <f t="shared" si="36"/>
        <v>70</v>
      </c>
      <c r="C2230" s="35">
        <v>1994</v>
      </c>
      <c r="D2230" s="35">
        <v>1988</v>
      </c>
      <c r="E2230" s="35">
        <v>1</v>
      </c>
      <c r="F2230" s="1" t="s">
        <v>2</v>
      </c>
      <c r="G2230" s="35">
        <v>1</v>
      </c>
      <c r="H2230" s="1" t="s">
        <v>2</v>
      </c>
      <c r="I2230" s="1"/>
      <c r="J2230" s="1"/>
      <c r="K2230" s="1"/>
      <c r="AA2230" s="1"/>
    </row>
    <row r="2231" spans="1:27" x14ac:dyDescent="0.25">
      <c r="A2231" t="s">
        <v>92</v>
      </c>
      <c r="B2231" t="str">
        <f t="shared" si="36"/>
        <v>70</v>
      </c>
      <c r="C2231" s="35">
        <v>1994</v>
      </c>
      <c r="D2231" s="35">
        <v>1993</v>
      </c>
      <c r="E2231" s="35">
        <v>18</v>
      </c>
      <c r="F2231" s="35">
        <v>8</v>
      </c>
      <c r="G2231" s="35">
        <v>10</v>
      </c>
      <c r="H2231" s="1" t="s">
        <v>2</v>
      </c>
      <c r="I2231" s="1"/>
      <c r="J2231" s="1"/>
      <c r="K2231" s="1"/>
      <c r="AA2231" s="1"/>
    </row>
    <row r="2232" spans="1:27" x14ac:dyDescent="0.25">
      <c r="A2232" t="s">
        <v>92</v>
      </c>
      <c r="B2232" t="str">
        <f t="shared" si="36"/>
        <v>70</v>
      </c>
      <c r="C2232" s="35">
        <v>1994</v>
      </c>
      <c r="D2232" s="35">
        <v>1994</v>
      </c>
      <c r="E2232" s="36">
        <v>4493</v>
      </c>
      <c r="F2232" s="36">
        <v>2296</v>
      </c>
      <c r="G2232" s="36">
        <v>2197</v>
      </c>
      <c r="H2232" s="1" t="s">
        <v>2</v>
      </c>
      <c r="I2232" s="1"/>
      <c r="J2232" s="1"/>
      <c r="K2232" s="1"/>
      <c r="AA2232" s="1"/>
    </row>
    <row r="2233" spans="1:27" x14ac:dyDescent="0.25">
      <c r="A2233" t="s">
        <v>92</v>
      </c>
      <c r="B2233" t="str">
        <f t="shared" si="36"/>
        <v>70</v>
      </c>
      <c r="C2233" s="35">
        <v>1995</v>
      </c>
      <c r="D2233" s="1" t="s">
        <v>4</v>
      </c>
      <c r="E2233" s="36">
        <v>4459</v>
      </c>
      <c r="F2233" s="36">
        <v>2235</v>
      </c>
      <c r="G2233" s="36">
        <v>2224</v>
      </c>
      <c r="H2233" s="1" t="s">
        <v>2</v>
      </c>
      <c r="I2233" s="1"/>
      <c r="J2233" s="1"/>
      <c r="K2233" s="1"/>
      <c r="AA2233" s="1"/>
    </row>
    <row r="2234" spans="1:27" x14ac:dyDescent="0.25">
      <c r="A2234" t="s">
        <v>92</v>
      </c>
      <c r="B2234" t="str">
        <f t="shared" si="36"/>
        <v>70</v>
      </c>
      <c r="C2234" s="35">
        <v>1995</v>
      </c>
      <c r="D2234" s="35">
        <v>1945</v>
      </c>
      <c r="E2234" s="35">
        <v>1</v>
      </c>
      <c r="F2234" s="1" t="s">
        <v>2</v>
      </c>
      <c r="G2234" s="35">
        <v>1</v>
      </c>
      <c r="H2234" s="1" t="s">
        <v>2</v>
      </c>
      <c r="I2234" s="1"/>
      <c r="J2234" s="1"/>
      <c r="K2234" s="1"/>
      <c r="AA2234" s="1"/>
    </row>
    <row r="2235" spans="1:27" x14ac:dyDescent="0.25">
      <c r="A2235" t="s">
        <v>92</v>
      </c>
      <c r="B2235" t="str">
        <f t="shared" si="36"/>
        <v>70</v>
      </c>
      <c r="C2235" s="35">
        <v>1995</v>
      </c>
      <c r="D2235" s="35">
        <v>1990</v>
      </c>
      <c r="E2235" s="35">
        <v>1</v>
      </c>
      <c r="F2235" s="1" t="s">
        <v>2</v>
      </c>
      <c r="G2235" s="35">
        <v>1</v>
      </c>
      <c r="H2235" s="1" t="s">
        <v>2</v>
      </c>
      <c r="I2235" s="1"/>
      <c r="J2235" s="1"/>
      <c r="K2235" s="1"/>
      <c r="AA2235" s="1"/>
    </row>
    <row r="2236" spans="1:27" x14ac:dyDescent="0.25">
      <c r="A2236" t="s">
        <v>92</v>
      </c>
      <c r="B2236" t="str">
        <f t="shared" si="36"/>
        <v>70</v>
      </c>
      <c r="C2236" s="35">
        <v>1995</v>
      </c>
      <c r="D2236" s="35">
        <v>1991</v>
      </c>
      <c r="E2236" s="35">
        <v>1</v>
      </c>
      <c r="F2236" s="1" t="s">
        <v>2</v>
      </c>
      <c r="G2236" s="35">
        <v>1</v>
      </c>
      <c r="H2236" s="1" t="s">
        <v>2</v>
      </c>
      <c r="I2236" s="1"/>
      <c r="J2236" s="1"/>
      <c r="K2236" s="1"/>
      <c r="AA2236" s="1"/>
    </row>
    <row r="2237" spans="1:27" x14ac:dyDescent="0.25">
      <c r="A2237" t="s">
        <v>92</v>
      </c>
      <c r="B2237" t="str">
        <f t="shared" si="36"/>
        <v>70</v>
      </c>
      <c r="C2237" s="35">
        <v>1995</v>
      </c>
      <c r="D2237" s="35">
        <v>1992</v>
      </c>
      <c r="E2237" s="35">
        <v>1</v>
      </c>
      <c r="F2237" s="1" t="s">
        <v>2</v>
      </c>
      <c r="G2237" s="35">
        <v>1</v>
      </c>
      <c r="H2237" s="1" t="s">
        <v>2</v>
      </c>
      <c r="I2237" s="1"/>
      <c r="J2237" s="1"/>
      <c r="K2237" s="1"/>
      <c r="AA2237" s="1"/>
    </row>
    <row r="2238" spans="1:27" x14ac:dyDescent="0.25">
      <c r="A2238" t="s">
        <v>92</v>
      </c>
      <c r="B2238" t="str">
        <f t="shared" si="36"/>
        <v>70</v>
      </c>
      <c r="C2238" s="35">
        <v>1995</v>
      </c>
      <c r="D2238" s="35">
        <v>1994</v>
      </c>
      <c r="E2238" s="35">
        <v>18</v>
      </c>
      <c r="F2238" s="35">
        <v>8</v>
      </c>
      <c r="G2238" s="35">
        <v>10</v>
      </c>
      <c r="H2238" s="1" t="s">
        <v>2</v>
      </c>
      <c r="I2238" s="1"/>
      <c r="J2238" s="1"/>
      <c r="K2238" s="1"/>
      <c r="AA2238" s="1"/>
    </row>
    <row r="2239" spans="1:27" x14ac:dyDescent="0.25">
      <c r="A2239" t="s">
        <v>92</v>
      </c>
      <c r="B2239" t="str">
        <f t="shared" si="36"/>
        <v>70</v>
      </c>
      <c r="C2239" s="35">
        <v>1995</v>
      </c>
      <c r="D2239" s="35">
        <v>1995</v>
      </c>
      <c r="E2239" s="36">
        <v>4437</v>
      </c>
      <c r="F2239" s="36">
        <v>2227</v>
      </c>
      <c r="G2239" s="36">
        <v>2210</v>
      </c>
      <c r="H2239" s="1" t="s">
        <v>2</v>
      </c>
      <c r="I2239" s="1"/>
      <c r="J2239" s="1"/>
      <c r="K2239" s="1"/>
      <c r="AA2239" s="1"/>
    </row>
    <row r="2240" spans="1:27" x14ac:dyDescent="0.25">
      <c r="A2240" t="s">
        <v>92</v>
      </c>
      <c r="B2240" t="str">
        <f t="shared" si="36"/>
        <v>70</v>
      </c>
      <c r="C2240" s="35">
        <v>1996</v>
      </c>
      <c r="D2240" s="1" t="s">
        <v>4</v>
      </c>
      <c r="E2240" s="36">
        <v>4479</v>
      </c>
      <c r="F2240" s="36">
        <v>2226</v>
      </c>
      <c r="G2240" s="36">
        <v>2253</v>
      </c>
      <c r="H2240" s="1" t="s">
        <v>2</v>
      </c>
      <c r="I2240" s="1"/>
      <c r="J2240" s="1"/>
      <c r="K2240" s="1"/>
      <c r="AA2240" s="1"/>
    </row>
    <row r="2241" spans="1:27" x14ac:dyDescent="0.25">
      <c r="A2241" t="s">
        <v>92</v>
      </c>
      <c r="B2241" t="str">
        <f t="shared" si="36"/>
        <v>70</v>
      </c>
      <c r="C2241" s="35">
        <v>1996</v>
      </c>
      <c r="D2241" s="35">
        <v>1990</v>
      </c>
      <c r="E2241" s="35">
        <v>1</v>
      </c>
      <c r="F2241" s="35">
        <v>1</v>
      </c>
      <c r="G2241" s="1" t="s">
        <v>2</v>
      </c>
      <c r="H2241" s="1" t="s">
        <v>2</v>
      </c>
      <c r="I2241" s="1"/>
      <c r="J2241" s="1"/>
      <c r="K2241" s="1"/>
      <c r="AA2241" s="1"/>
    </row>
    <row r="2242" spans="1:27" x14ac:dyDescent="0.25">
      <c r="A2242" t="s">
        <v>92</v>
      </c>
      <c r="B2242" t="str">
        <f t="shared" si="36"/>
        <v>70</v>
      </c>
      <c r="C2242" s="35">
        <v>1996</v>
      </c>
      <c r="D2242" s="35">
        <v>1995</v>
      </c>
      <c r="E2242" s="35">
        <v>26</v>
      </c>
      <c r="F2242" s="35">
        <v>12</v>
      </c>
      <c r="G2242" s="35">
        <v>14</v>
      </c>
      <c r="H2242" s="1" t="s">
        <v>2</v>
      </c>
      <c r="I2242" s="1"/>
      <c r="J2242" s="1"/>
      <c r="K2242" s="1"/>
      <c r="AA2242" s="1"/>
    </row>
    <row r="2243" spans="1:27" x14ac:dyDescent="0.25">
      <c r="A2243" t="s">
        <v>92</v>
      </c>
      <c r="B2243" t="str">
        <f t="shared" si="36"/>
        <v>70</v>
      </c>
      <c r="C2243" s="35">
        <v>1996</v>
      </c>
      <c r="D2243" s="35">
        <v>1996</v>
      </c>
      <c r="E2243" s="36">
        <v>4452</v>
      </c>
      <c r="F2243" s="36">
        <v>2213</v>
      </c>
      <c r="G2243" s="36">
        <v>2239</v>
      </c>
      <c r="H2243" s="1" t="s">
        <v>2</v>
      </c>
      <c r="I2243" s="1"/>
      <c r="J2243" s="1"/>
      <c r="K2243" s="1"/>
      <c r="AA2243" s="1"/>
    </row>
    <row r="2244" spans="1:27" x14ac:dyDescent="0.25">
      <c r="A2244" t="s">
        <v>92</v>
      </c>
      <c r="B2244" t="str">
        <f t="shared" si="36"/>
        <v>70</v>
      </c>
      <c r="C2244" s="35">
        <v>1997</v>
      </c>
      <c r="D2244" s="1" t="s">
        <v>4</v>
      </c>
      <c r="E2244" s="36">
        <v>4550</v>
      </c>
      <c r="F2244" s="36">
        <v>2295</v>
      </c>
      <c r="G2244" s="36">
        <v>2255</v>
      </c>
      <c r="H2244" s="1" t="s">
        <v>2</v>
      </c>
      <c r="I2244" s="1"/>
      <c r="J2244" s="1"/>
      <c r="K2244" s="1"/>
      <c r="AA2244" s="1"/>
    </row>
    <row r="2245" spans="1:27" x14ac:dyDescent="0.25">
      <c r="A2245" t="s">
        <v>92</v>
      </c>
      <c r="B2245" t="str">
        <f t="shared" si="36"/>
        <v>70</v>
      </c>
      <c r="C2245" s="35">
        <v>1997</v>
      </c>
      <c r="D2245" s="35">
        <v>1907</v>
      </c>
      <c r="E2245" s="35">
        <v>1</v>
      </c>
      <c r="F2245" s="1" t="s">
        <v>2</v>
      </c>
      <c r="G2245" s="35">
        <v>1</v>
      </c>
      <c r="H2245" s="1" t="s">
        <v>2</v>
      </c>
      <c r="I2245" s="1"/>
      <c r="J2245" s="1"/>
      <c r="K2245" s="1"/>
      <c r="AA2245" s="1"/>
    </row>
    <row r="2246" spans="1:27" x14ac:dyDescent="0.25">
      <c r="A2246" t="s">
        <v>92</v>
      </c>
      <c r="B2246" t="str">
        <f t="shared" si="36"/>
        <v>70</v>
      </c>
      <c r="C2246" s="35">
        <v>1997</v>
      </c>
      <c r="D2246" s="35">
        <v>1917</v>
      </c>
      <c r="E2246" s="35">
        <v>1</v>
      </c>
      <c r="F2246" s="1" t="s">
        <v>2</v>
      </c>
      <c r="G2246" s="35">
        <v>1</v>
      </c>
      <c r="H2246" s="1" t="s">
        <v>2</v>
      </c>
      <c r="I2246" s="1"/>
      <c r="J2246" s="1"/>
      <c r="K2246" s="1"/>
      <c r="AA2246" s="1"/>
    </row>
    <row r="2247" spans="1:27" x14ac:dyDescent="0.25">
      <c r="A2247" t="s">
        <v>92</v>
      </c>
      <c r="B2247" t="str">
        <f t="shared" ref="B2247:B2310" si="37">IF(A2247="Menores de 1 año",0,LEFT(A2247,2))</f>
        <v>70</v>
      </c>
      <c r="C2247" s="35">
        <v>1997</v>
      </c>
      <c r="D2247" s="35">
        <v>1971</v>
      </c>
      <c r="E2247" s="35">
        <v>1</v>
      </c>
      <c r="F2247" s="35">
        <v>1</v>
      </c>
      <c r="G2247" s="1" t="s">
        <v>2</v>
      </c>
      <c r="H2247" s="1" t="s">
        <v>2</v>
      </c>
      <c r="I2247" s="1"/>
      <c r="J2247" s="1"/>
      <c r="K2247" s="1"/>
      <c r="AA2247" s="1"/>
    </row>
    <row r="2248" spans="1:27" x14ac:dyDescent="0.25">
      <c r="A2248" t="s">
        <v>92</v>
      </c>
      <c r="B2248" t="str">
        <f t="shared" si="37"/>
        <v>70</v>
      </c>
      <c r="C2248" s="35">
        <v>1997</v>
      </c>
      <c r="D2248" s="35">
        <v>1984</v>
      </c>
      <c r="E2248" s="35">
        <v>1</v>
      </c>
      <c r="F2248" s="1" t="s">
        <v>2</v>
      </c>
      <c r="G2248" s="35">
        <v>1</v>
      </c>
      <c r="H2248" s="1" t="s">
        <v>2</v>
      </c>
      <c r="I2248" s="1"/>
      <c r="J2248" s="1"/>
      <c r="K2248" s="1"/>
      <c r="AA2248" s="1"/>
    </row>
    <row r="2249" spans="1:27" x14ac:dyDescent="0.25">
      <c r="A2249" t="s">
        <v>92</v>
      </c>
      <c r="B2249" t="str">
        <f t="shared" si="37"/>
        <v>70</v>
      </c>
      <c r="C2249" s="35">
        <v>1997</v>
      </c>
      <c r="D2249" s="35">
        <v>1987</v>
      </c>
      <c r="E2249" s="35">
        <v>1</v>
      </c>
      <c r="F2249" s="1" t="s">
        <v>2</v>
      </c>
      <c r="G2249" s="35">
        <v>1</v>
      </c>
      <c r="H2249" s="1" t="s">
        <v>2</v>
      </c>
      <c r="I2249" s="1"/>
      <c r="J2249" s="1"/>
      <c r="K2249" s="1"/>
      <c r="AA2249" s="1"/>
    </row>
    <row r="2250" spans="1:27" x14ac:dyDescent="0.25">
      <c r="A2250" t="s">
        <v>92</v>
      </c>
      <c r="B2250" t="str">
        <f t="shared" si="37"/>
        <v>70</v>
      </c>
      <c r="C2250" s="35">
        <v>1997</v>
      </c>
      <c r="D2250" s="35">
        <v>1991</v>
      </c>
      <c r="E2250" s="35">
        <v>1</v>
      </c>
      <c r="F2250" s="35">
        <v>1</v>
      </c>
      <c r="G2250" s="1" t="s">
        <v>2</v>
      </c>
      <c r="H2250" s="1" t="s">
        <v>2</v>
      </c>
      <c r="I2250" s="1"/>
      <c r="J2250" s="1"/>
      <c r="K2250" s="1"/>
      <c r="AA2250" s="1"/>
    </row>
    <row r="2251" spans="1:27" x14ac:dyDescent="0.25">
      <c r="A2251" t="s">
        <v>92</v>
      </c>
      <c r="B2251" t="str">
        <f t="shared" si="37"/>
        <v>70</v>
      </c>
      <c r="C2251" s="35">
        <v>1997</v>
      </c>
      <c r="D2251" s="35">
        <v>1993</v>
      </c>
      <c r="E2251" s="35">
        <v>1</v>
      </c>
      <c r="F2251" s="1" t="s">
        <v>2</v>
      </c>
      <c r="G2251" s="35">
        <v>1</v>
      </c>
      <c r="H2251" s="1" t="s">
        <v>2</v>
      </c>
      <c r="I2251" s="1"/>
      <c r="J2251" s="1"/>
      <c r="K2251" s="1"/>
      <c r="AA2251" s="1"/>
    </row>
    <row r="2252" spans="1:27" x14ac:dyDescent="0.25">
      <c r="A2252" t="s">
        <v>92</v>
      </c>
      <c r="B2252" t="str">
        <f t="shared" si="37"/>
        <v>70</v>
      </c>
      <c r="C2252" s="35">
        <v>1997</v>
      </c>
      <c r="D2252" s="35">
        <v>1996</v>
      </c>
      <c r="E2252" s="35">
        <v>11</v>
      </c>
      <c r="F2252" s="35">
        <v>6</v>
      </c>
      <c r="G2252" s="35">
        <v>5</v>
      </c>
      <c r="H2252" s="1" t="s">
        <v>2</v>
      </c>
      <c r="I2252" s="1"/>
      <c r="J2252" s="1"/>
      <c r="K2252" s="1"/>
      <c r="AA2252" s="1"/>
    </row>
    <row r="2253" spans="1:27" x14ac:dyDescent="0.25">
      <c r="A2253" t="s">
        <v>92</v>
      </c>
      <c r="B2253" t="str">
        <f t="shared" si="37"/>
        <v>70</v>
      </c>
      <c r="C2253" s="35">
        <v>1997</v>
      </c>
      <c r="D2253" s="35">
        <v>1997</v>
      </c>
      <c r="E2253" s="36">
        <v>4532</v>
      </c>
      <c r="F2253" s="36">
        <v>2287</v>
      </c>
      <c r="G2253" s="36">
        <v>2245</v>
      </c>
      <c r="H2253" s="1" t="s">
        <v>2</v>
      </c>
      <c r="I2253" s="1"/>
      <c r="J2253" s="1"/>
      <c r="K2253" s="1"/>
      <c r="AA2253" s="1"/>
    </row>
    <row r="2254" spans="1:27" x14ac:dyDescent="0.25">
      <c r="A2254" t="s">
        <v>92</v>
      </c>
      <c r="B2254" t="str">
        <f t="shared" si="37"/>
        <v>70</v>
      </c>
      <c r="C2254" s="35">
        <v>1998</v>
      </c>
      <c r="D2254" s="1" t="s">
        <v>4</v>
      </c>
      <c r="E2254" s="36">
        <v>4580</v>
      </c>
      <c r="F2254" s="36">
        <v>2233</v>
      </c>
      <c r="G2254" s="36">
        <v>2347</v>
      </c>
      <c r="H2254" s="1" t="s">
        <v>2</v>
      </c>
      <c r="I2254" s="1"/>
      <c r="J2254" s="1"/>
      <c r="K2254" s="1"/>
      <c r="AA2254" s="1"/>
    </row>
    <row r="2255" spans="1:27" x14ac:dyDescent="0.25">
      <c r="A2255" t="s">
        <v>92</v>
      </c>
      <c r="B2255" t="str">
        <f t="shared" si="37"/>
        <v>70</v>
      </c>
      <c r="C2255" s="35">
        <v>1998</v>
      </c>
      <c r="D2255" s="35">
        <v>1900</v>
      </c>
      <c r="E2255" s="35">
        <v>1</v>
      </c>
      <c r="F2255" s="35">
        <v>1</v>
      </c>
      <c r="G2255" s="1" t="s">
        <v>2</v>
      </c>
      <c r="H2255" s="1" t="s">
        <v>2</v>
      </c>
      <c r="I2255" s="1"/>
      <c r="J2255" s="1"/>
      <c r="K2255" s="1"/>
      <c r="AA2255" s="1"/>
    </row>
    <row r="2256" spans="1:27" x14ac:dyDescent="0.25">
      <c r="A2256" t="s">
        <v>92</v>
      </c>
      <c r="B2256" t="str">
        <f t="shared" si="37"/>
        <v>70</v>
      </c>
      <c r="C2256" s="35">
        <v>1998</v>
      </c>
      <c r="D2256" s="35">
        <v>1958</v>
      </c>
      <c r="E2256" s="35">
        <v>1</v>
      </c>
      <c r="F2256" s="35">
        <v>1</v>
      </c>
      <c r="G2256" s="1" t="s">
        <v>2</v>
      </c>
      <c r="H2256" s="1" t="s">
        <v>2</v>
      </c>
      <c r="I2256" s="1"/>
      <c r="J2256" s="1"/>
      <c r="K2256" s="1"/>
      <c r="AA2256" s="1"/>
    </row>
    <row r="2257" spans="1:27" x14ac:dyDescent="0.25">
      <c r="A2257" t="s">
        <v>92</v>
      </c>
      <c r="B2257" t="str">
        <f t="shared" si="37"/>
        <v>70</v>
      </c>
      <c r="C2257" s="35">
        <v>1998</v>
      </c>
      <c r="D2257" s="35">
        <v>1980</v>
      </c>
      <c r="E2257" s="35">
        <v>1</v>
      </c>
      <c r="F2257" s="1" t="s">
        <v>2</v>
      </c>
      <c r="G2257" s="35">
        <v>1</v>
      </c>
      <c r="H2257" s="1" t="s">
        <v>2</v>
      </c>
      <c r="I2257" s="1"/>
      <c r="J2257" s="1"/>
      <c r="K2257" s="1"/>
      <c r="AA2257" s="1"/>
    </row>
    <row r="2258" spans="1:27" x14ac:dyDescent="0.25">
      <c r="A2258" t="s">
        <v>92</v>
      </c>
      <c r="B2258" t="str">
        <f t="shared" si="37"/>
        <v>70</v>
      </c>
      <c r="C2258" s="35">
        <v>1998</v>
      </c>
      <c r="D2258" s="35">
        <v>1993</v>
      </c>
      <c r="E2258" s="35">
        <v>1</v>
      </c>
      <c r="F2258" s="35">
        <v>1</v>
      </c>
      <c r="G2258" s="1" t="s">
        <v>2</v>
      </c>
      <c r="H2258" s="1" t="s">
        <v>2</v>
      </c>
      <c r="I2258" s="1"/>
      <c r="J2258" s="1"/>
      <c r="K2258" s="1"/>
      <c r="AA2258" s="1"/>
    </row>
    <row r="2259" spans="1:27" x14ac:dyDescent="0.25">
      <c r="A2259" t="s">
        <v>92</v>
      </c>
      <c r="B2259" t="str">
        <f t="shared" si="37"/>
        <v>70</v>
      </c>
      <c r="C2259" s="35">
        <v>1998</v>
      </c>
      <c r="D2259" s="35">
        <v>1997</v>
      </c>
      <c r="E2259" s="35">
        <v>23</v>
      </c>
      <c r="F2259" s="35">
        <v>9</v>
      </c>
      <c r="G2259" s="35">
        <v>14</v>
      </c>
      <c r="H2259" s="1" t="s">
        <v>2</v>
      </c>
      <c r="I2259" s="1"/>
      <c r="J2259" s="1"/>
      <c r="K2259" s="1"/>
      <c r="AA2259" s="1"/>
    </row>
    <row r="2260" spans="1:27" x14ac:dyDescent="0.25">
      <c r="A2260" t="s">
        <v>92</v>
      </c>
      <c r="B2260" t="str">
        <f t="shared" si="37"/>
        <v>70</v>
      </c>
      <c r="C2260" s="35">
        <v>1998</v>
      </c>
      <c r="D2260" s="35">
        <v>1998</v>
      </c>
      <c r="E2260" s="36">
        <v>4553</v>
      </c>
      <c r="F2260" s="36">
        <v>2221</v>
      </c>
      <c r="G2260" s="36">
        <v>2332</v>
      </c>
      <c r="H2260" s="1" t="s">
        <v>2</v>
      </c>
      <c r="I2260" s="1"/>
      <c r="J2260" s="1"/>
      <c r="K2260" s="1"/>
      <c r="AA2260" s="1"/>
    </row>
    <row r="2261" spans="1:27" x14ac:dyDescent="0.25">
      <c r="A2261" t="s">
        <v>92</v>
      </c>
      <c r="B2261" t="str">
        <f t="shared" si="37"/>
        <v>70</v>
      </c>
      <c r="C2261" s="35">
        <v>1999</v>
      </c>
      <c r="D2261" s="1" t="s">
        <v>4</v>
      </c>
      <c r="E2261" s="36">
        <v>4733</v>
      </c>
      <c r="F2261" s="36">
        <v>2321</v>
      </c>
      <c r="G2261" s="36">
        <v>2411</v>
      </c>
      <c r="H2261" s="35">
        <v>1</v>
      </c>
      <c r="I2261" s="1"/>
      <c r="J2261" s="1"/>
      <c r="K2261" s="1"/>
      <c r="AA2261" s="1"/>
    </row>
    <row r="2262" spans="1:27" x14ac:dyDescent="0.25">
      <c r="A2262" t="s">
        <v>92</v>
      </c>
      <c r="B2262" t="str">
        <f t="shared" si="37"/>
        <v>70</v>
      </c>
      <c r="C2262" s="35">
        <v>1999</v>
      </c>
      <c r="D2262" s="35">
        <v>1959</v>
      </c>
      <c r="E2262" s="35">
        <v>1</v>
      </c>
      <c r="F2262" s="35">
        <v>1</v>
      </c>
      <c r="G2262" s="1" t="s">
        <v>2</v>
      </c>
      <c r="H2262" s="1" t="s">
        <v>2</v>
      </c>
      <c r="I2262" s="1"/>
      <c r="J2262" s="1"/>
      <c r="K2262" s="1"/>
      <c r="AA2262" s="1"/>
    </row>
    <row r="2263" spans="1:27" x14ac:dyDescent="0.25">
      <c r="A2263" t="s">
        <v>92</v>
      </c>
      <c r="B2263" t="str">
        <f t="shared" si="37"/>
        <v>70</v>
      </c>
      <c r="C2263" s="35">
        <v>1999</v>
      </c>
      <c r="D2263" s="35">
        <v>1989</v>
      </c>
      <c r="E2263" s="35">
        <v>1</v>
      </c>
      <c r="F2263" s="35">
        <v>1</v>
      </c>
      <c r="G2263" s="1" t="s">
        <v>2</v>
      </c>
      <c r="H2263" s="1" t="s">
        <v>2</v>
      </c>
      <c r="I2263" s="1"/>
      <c r="J2263" s="1"/>
      <c r="K2263" s="1"/>
      <c r="AA2263" s="1"/>
    </row>
    <row r="2264" spans="1:27" x14ac:dyDescent="0.25">
      <c r="A2264" t="s">
        <v>92</v>
      </c>
      <c r="B2264" t="str">
        <f t="shared" si="37"/>
        <v>70</v>
      </c>
      <c r="C2264" s="35">
        <v>1999</v>
      </c>
      <c r="D2264" s="35">
        <v>1998</v>
      </c>
      <c r="E2264" s="35">
        <v>13</v>
      </c>
      <c r="F2264" s="35">
        <v>6</v>
      </c>
      <c r="G2264" s="35">
        <v>7</v>
      </c>
      <c r="H2264" s="1" t="s">
        <v>2</v>
      </c>
      <c r="I2264" s="1"/>
      <c r="J2264" s="1"/>
      <c r="K2264" s="1"/>
      <c r="AA2264" s="1"/>
    </row>
    <row r="2265" spans="1:27" x14ac:dyDescent="0.25">
      <c r="A2265" t="s">
        <v>92</v>
      </c>
      <c r="B2265" t="str">
        <f t="shared" si="37"/>
        <v>70</v>
      </c>
      <c r="C2265" s="35">
        <v>1999</v>
      </c>
      <c r="D2265" s="35">
        <v>1999</v>
      </c>
      <c r="E2265" s="36">
        <v>4718</v>
      </c>
      <c r="F2265" s="36">
        <v>2313</v>
      </c>
      <c r="G2265" s="36">
        <v>2404</v>
      </c>
      <c r="H2265" s="35">
        <v>1</v>
      </c>
      <c r="I2265" s="1"/>
      <c r="J2265" s="1"/>
      <c r="K2265" s="1"/>
      <c r="AA2265" s="1"/>
    </row>
    <row r="2266" spans="1:27" x14ac:dyDescent="0.25">
      <c r="A2266" t="s">
        <v>92</v>
      </c>
      <c r="B2266" t="str">
        <f t="shared" si="37"/>
        <v>70</v>
      </c>
      <c r="C2266" s="35">
        <v>2000</v>
      </c>
      <c r="D2266" s="1" t="s">
        <v>4</v>
      </c>
      <c r="E2266" s="36">
        <v>4702</v>
      </c>
      <c r="F2266" s="36">
        <v>2231</v>
      </c>
      <c r="G2266" s="36">
        <v>2471</v>
      </c>
      <c r="H2266" s="1" t="s">
        <v>2</v>
      </c>
      <c r="I2266" s="1"/>
      <c r="J2266" s="1"/>
      <c r="K2266" s="1"/>
      <c r="AA2266" s="1"/>
    </row>
    <row r="2267" spans="1:27" x14ac:dyDescent="0.25">
      <c r="A2267" t="s">
        <v>92</v>
      </c>
      <c r="B2267" t="str">
        <f t="shared" si="37"/>
        <v>70</v>
      </c>
      <c r="C2267" s="35">
        <v>2000</v>
      </c>
      <c r="D2267" s="35">
        <v>1999</v>
      </c>
      <c r="E2267" s="35">
        <v>18</v>
      </c>
      <c r="F2267" s="35">
        <v>10</v>
      </c>
      <c r="G2267" s="35">
        <v>8</v>
      </c>
      <c r="H2267" s="1" t="s">
        <v>2</v>
      </c>
      <c r="I2267" s="1"/>
      <c r="J2267" s="1"/>
      <c r="K2267" s="1"/>
      <c r="AA2267" s="1"/>
    </row>
    <row r="2268" spans="1:27" x14ac:dyDescent="0.25">
      <c r="A2268" t="s">
        <v>92</v>
      </c>
      <c r="B2268" t="str">
        <f t="shared" si="37"/>
        <v>70</v>
      </c>
      <c r="C2268" s="35">
        <v>2000</v>
      </c>
      <c r="D2268" s="35">
        <v>2000</v>
      </c>
      <c r="E2268" s="36">
        <v>4684</v>
      </c>
      <c r="F2268" s="36">
        <v>2221</v>
      </c>
      <c r="G2268" s="36">
        <v>2463</v>
      </c>
      <c r="H2268" s="1" t="s">
        <v>2</v>
      </c>
      <c r="I2268" s="1"/>
      <c r="J2268" s="1"/>
      <c r="K2268" s="1"/>
      <c r="AA2268" s="1"/>
    </row>
    <row r="2269" spans="1:27" x14ac:dyDescent="0.25">
      <c r="A2269" t="s">
        <v>92</v>
      </c>
      <c r="B2269" t="str">
        <f t="shared" si="37"/>
        <v>70</v>
      </c>
      <c r="C2269" s="35">
        <v>2001</v>
      </c>
      <c r="D2269" s="1" t="s">
        <v>4</v>
      </c>
      <c r="E2269" s="36">
        <v>4777</v>
      </c>
      <c r="F2269" s="36">
        <v>2312</v>
      </c>
      <c r="G2269" s="36">
        <v>2465</v>
      </c>
      <c r="H2269" s="1" t="s">
        <v>2</v>
      </c>
      <c r="I2269" s="1"/>
      <c r="J2269" s="1"/>
      <c r="K2269" s="1"/>
      <c r="AA2269" s="1"/>
    </row>
    <row r="2270" spans="1:27" x14ac:dyDescent="0.25">
      <c r="A2270" t="s">
        <v>92</v>
      </c>
      <c r="B2270" t="str">
        <f t="shared" si="37"/>
        <v>70</v>
      </c>
      <c r="C2270" s="35">
        <v>2001</v>
      </c>
      <c r="D2270" s="35">
        <v>1985</v>
      </c>
      <c r="E2270" s="35">
        <v>1</v>
      </c>
      <c r="F2270" s="35">
        <v>1</v>
      </c>
      <c r="G2270" s="1" t="s">
        <v>2</v>
      </c>
      <c r="H2270" s="1" t="s">
        <v>2</v>
      </c>
      <c r="I2270" s="1"/>
      <c r="J2270" s="1"/>
      <c r="K2270" s="1"/>
      <c r="AA2270" s="1"/>
    </row>
    <row r="2271" spans="1:27" x14ac:dyDescent="0.25">
      <c r="A2271" t="s">
        <v>92</v>
      </c>
      <c r="B2271" t="str">
        <f t="shared" si="37"/>
        <v>70</v>
      </c>
      <c r="C2271" s="35">
        <v>2001</v>
      </c>
      <c r="D2271" s="35">
        <v>2000</v>
      </c>
      <c r="E2271" s="35">
        <v>16</v>
      </c>
      <c r="F2271" s="35">
        <v>4</v>
      </c>
      <c r="G2271" s="35">
        <v>12</v>
      </c>
      <c r="H2271" s="1" t="s">
        <v>2</v>
      </c>
      <c r="I2271" s="1"/>
      <c r="J2271" s="1"/>
      <c r="K2271" s="1"/>
      <c r="AA2271" s="1"/>
    </row>
    <row r="2272" spans="1:27" x14ac:dyDescent="0.25">
      <c r="A2272" t="s">
        <v>92</v>
      </c>
      <c r="B2272" t="str">
        <f t="shared" si="37"/>
        <v>70</v>
      </c>
      <c r="C2272" s="35">
        <v>2001</v>
      </c>
      <c r="D2272" s="35">
        <v>2001</v>
      </c>
      <c r="E2272" s="36">
        <v>4760</v>
      </c>
      <c r="F2272" s="36">
        <v>2307</v>
      </c>
      <c r="G2272" s="36">
        <v>2453</v>
      </c>
      <c r="H2272" s="1" t="s">
        <v>2</v>
      </c>
      <c r="I2272" s="1"/>
      <c r="J2272" s="1"/>
      <c r="K2272" s="1"/>
      <c r="AA2272" s="1"/>
    </row>
    <row r="2273" spans="1:27" x14ac:dyDescent="0.25">
      <c r="A2273" t="s">
        <v>92</v>
      </c>
      <c r="B2273" t="str">
        <f t="shared" si="37"/>
        <v>70</v>
      </c>
      <c r="C2273" s="35">
        <v>2002</v>
      </c>
      <c r="D2273" s="1" t="s">
        <v>4</v>
      </c>
      <c r="E2273" s="36">
        <v>4790</v>
      </c>
      <c r="F2273" s="36">
        <v>2304</v>
      </c>
      <c r="G2273" s="36">
        <v>2486</v>
      </c>
      <c r="H2273" s="1" t="s">
        <v>2</v>
      </c>
      <c r="I2273" s="1"/>
      <c r="J2273" s="1"/>
      <c r="K2273" s="1"/>
      <c r="AA2273" s="1"/>
    </row>
    <row r="2274" spans="1:27" x14ac:dyDescent="0.25">
      <c r="A2274" t="s">
        <v>92</v>
      </c>
      <c r="B2274" t="str">
        <f t="shared" si="37"/>
        <v>70</v>
      </c>
      <c r="C2274" s="35">
        <v>2002</v>
      </c>
      <c r="D2274" s="35">
        <v>1995</v>
      </c>
      <c r="E2274" s="35">
        <v>1</v>
      </c>
      <c r="F2274" s="35">
        <v>1</v>
      </c>
      <c r="G2274" s="1" t="s">
        <v>2</v>
      </c>
      <c r="H2274" s="1" t="s">
        <v>2</v>
      </c>
      <c r="I2274" s="1"/>
      <c r="J2274" s="1"/>
      <c r="K2274" s="1"/>
      <c r="AA2274" s="1"/>
    </row>
    <row r="2275" spans="1:27" x14ac:dyDescent="0.25">
      <c r="A2275" t="s">
        <v>92</v>
      </c>
      <c r="B2275" t="str">
        <f t="shared" si="37"/>
        <v>70</v>
      </c>
      <c r="C2275" s="35">
        <v>2002</v>
      </c>
      <c r="D2275" s="35">
        <v>1999</v>
      </c>
      <c r="E2275" s="35">
        <v>1</v>
      </c>
      <c r="F2275" s="35">
        <v>1</v>
      </c>
      <c r="G2275" s="1" t="s">
        <v>2</v>
      </c>
      <c r="H2275" s="1" t="s">
        <v>2</v>
      </c>
      <c r="I2275" s="1"/>
      <c r="J2275" s="1"/>
      <c r="K2275" s="1"/>
      <c r="AA2275" s="1"/>
    </row>
    <row r="2276" spans="1:27" x14ac:dyDescent="0.25">
      <c r="A2276" t="s">
        <v>92</v>
      </c>
      <c r="B2276" t="str">
        <f t="shared" si="37"/>
        <v>70</v>
      </c>
      <c r="C2276" s="35">
        <v>2002</v>
      </c>
      <c r="D2276" s="35">
        <v>2000</v>
      </c>
      <c r="E2276" s="35">
        <v>2</v>
      </c>
      <c r="F2276" s="1" t="s">
        <v>2</v>
      </c>
      <c r="G2276" s="35">
        <v>2</v>
      </c>
      <c r="H2276" s="1" t="s">
        <v>2</v>
      </c>
      <c r="I2276" s="1"/>
      <c r="J2276" s="1"/>
      <c r="K2276" s="1"/>
      <c r="AA2276" s="1"/>
    </row>
    <row r="2277" spans="1:27" x14ac:dyDescent="0.25">
      <c r="A2277" t="s">
        <v>92</v>
      </c>
      <c r="B2277" t="str">
        <f t="shared" si="37"/>
        <v>70</v>
      </c>
      <c r="C2277" s="35">
        <v>2002</v>
      </c>
      <c r="D2277" s="35">
        <v>2001</v>
      </c>
      <c r="E2277" s="35">
        <v>26</v>
      </c>
      <c r="F2277" s="35">
        <v>14</v>
      </c>
      <c r="G2277" s="35">
        <v>12</v>
      </c>
      <c r="H2277" s="1" t="s">
        <v>2</v>
      </c>
      <c r="I2277" s="1"/>
      <c r="J2277" s="1"/>
      <c r="K2277" s="1"/>
      <c r="AA2277" s="1"/>
    </row>
    <row r="2278" spans="1:27" x14ac:dyDescent="0.25">
      <c r="A2278" t="s">
        <v>92</v>
      </c>
      <c r="B2278" t="str">
        <f t="shared" si="37"/>
        <v>70</v>
      </c>
      <c r="C2278" s="35">
        <v>2002</v>
      </c>
      <c r="D2278" s="35">
        <v>2002</v>
      </c>
      <c r="E2278" s="36">
        <v>4760</v>
      </c>
      <c r="F2278" s="36">
        <v>2288</v>
      </c>
      <c r="G2278" s="36">
        <v>2472</v>
      </c>
      <c r="H2278" s="1" t="s">
        <v>2</v>
      </c>
      <c r="I2278" s="1"/>
      <c r="J2278" s="1"/>
      <c r="K2278" s="1"/>
      <c r="AA2278" s="1"/>
    </row>
    <row r="2279" spans="1:27" x14ac:dyDescent="0.25">
      <c r="A2279" t="s">
        <v>92</v>
      </c>
      <c r="B2279" t="str">
        <f t="shared" si="37"/>
        <v>70</v>
      </c>
      <c r="C2279" s="35">
        <v>2003</v>
      </c>
      <c r="D2279" s="1" t="s">
        <v>4</v>
      </c>
      <c r="E2279" s="36">
        <v>5084</v>
      </c>
      <c r="F2279" s="36">
        <v>2547</v>
      </c>
      <c r="G2279" s="36">
        <v>2537</v>
      </c>
      <c r="H2279" s="1" t="s">
        <v>2</v>
      </c>
      <c r="I2279" s="1"/>
      <c r="J2279" s="1"/>
      <c r="K2279" s="1"/>
      <c r="AA2279" s="1"/>
    </row>
    <row r="2280" spans="1:27" x14ac:dyDescent="0.25">
      <c r="A2280" t="s">
        <v>92</v>
      </c>
      <c r="B2280" t="str">
        <f t="shared" si="37"/>
        <v>70</v>
      </c>
      <c r="C2280" s="35">
        <v>2003</v>
      </c>
      <c r="D2280" s="35">
        <v>2000</v>
      </c>
      <c r="E2280" s="35">
        <v>1</v>
      </c>
      <c r="F2280" s="1" t="s">
        <v>2</v>
      </c>
      <c r="G2280" s="35">
        <v>1</v>
      </c>
      <c r="H2280" s="1" t="s">
        <v>2</v>
      </c>
      <c r="I2280" s="1"/>
      <c r="J2280" s="1"/>
      <c r="K2280" s="1"/>
      <c r="AA2280" s="1"/>
    </row>
    <row r="2281" spans="1:27" x14ac:dyDescent="0.25">
      <c r="A2281" t="s">
        <v>92</v>
      </c>
      <c r="B2281" t="str">
        <f t="shared" si="37"/>
        <v>70</v>
      </c>
      <c r="C2281" s="35">
        <v>2003</v>
      </c>
      <c r="D2281" s="35">
        <v>2001</v>
      </c>
      <c r="E2281" s="35">
        <v>1</v>
      </c>
      <c r="F2281" s="35">
        <v>1</v>
      </c>
      <c r="G2281" s="1" t="s">
        <v>2</v>
      </c>
      <c r="H2281" s="1" t="s">
        <v>2</v>
      </c>
      <c r="I2281" s="1"/>
      <c r="J2281" s="1"/>
      <c r="K2281" s="1"/>
      <c r="AA2281" s="1"/>
    </row>
    <row r="2282" spans="1:27" x14ac:dyDescent="0.25">
      <c r="A2282" t="s">
        <v>92</v>
      </c>
      <c r="B2282" t="str">
        <f t="shared" si="37"/>
        <v>70</v>
      </c>
      <c r="C2282" s="35">
        <v>2003</v>
      </c>
      <c r="D2282" s="35">
        <v>2002</v>
      </c>
      <c r="E2282" s="35">
        <v>12</v>
      </c>
      <c r="F2282" s="35">
        <v>8</v>
      </c>
      <c r="G2282" s="35">
        <v>4</v>
      </c>
      <c r="H2282" s="1" t="s">
        <v>2</v>
      </c>
      <c r="I2282" s="1"/>
      <c r="J2282" s="1"/>
      <c r="K2282" s="1"/>
      <c r="AA2282" s="1"/>
    </row>
    <row r="2283" spans="1:27" x14ac:dyDescent="0.25">
      <c r="A2283" t="s">
        <v>92</v>
      </c>
      <c r="B2283" t="str">
        <f t="shared" si="37"/>
        <v>70</v>
      </c>
      <c r="C2283" s="35">
        <v>2003</v>
      </c>
      <c r="D2283" s="35">
        <v>2003</v>
      </c>
      <c r="E2283" s="36">
        <v>5070</v>
      </c>
      <c r="F2283" s="36">
        <v>2538</v>
      </c>
      <c r="G2283" s="36">
        <v>2532</v>
      </c>
      <c r="H2283" s="1" t="s">
        <v>2</v>
      </c>
      <c r="I2283" s="1"/>
      <c r="J2283" s="1"/>
      <c r="K2283" s="1"/>
      <c r="AA2283" s="1"/>
    </row>
    <row r="2284" spans="1:27" x14ac:dyDescent="0.25">
      <c r="A2284" t="s">
        <v>92</v>
      </c>
      <c r="B2284" t="str">
        <f t="shared" si="37"/>
        <v>70</v>
      </c>
      <c r="C2284" s="35">
        <v>2004</v>
      </c>
      <c r="D2284" s="1" t="s">
        <v>4</v>
      </c>
      <c r="E2284" s="36">
        <v>5032</v>
      </c>
      <c r="F2284" s="36">
        <v>2441</v>
      </c>
      <c r="G2284" s="36">
        <v>2591</v>
      </c>
      <c r="H2284" s="1" t="s">
        <v>2</v>
      </c>
      <c r="I2284" s="1"/>
      <c r="J2284" s="1"/>
      <c r="K2284" s="1"/>
      <c r="AA2284" s="1"/>
    </row>
    <row r="2285" spans="1:27" x14ac:dyDescent="0.25">
      <c r="A2285" t="s">
        <v>92</v>
      </c>
      <c r="B2285" t="str">
        <f t="shared" si="37"/>
        <v>70</v>
      </c>
      <c r="C2285" s="35">
        <v>2004</v>
      </c>
      <c r="D2285" s="35">
        <v>1931</v>
      </c>
      <c r="E2285" s="35">
        <v>1</v>
      </c>
      <c r="F2285" s="1" t="s">
        <v>2</v>
      </c>
      <c r="G2285" s="35">
        <v>1</v>
      </c>
      <c r="H2285" s="1" t="s">
        <v>2</v>
      </c>
      <c r="I2285" s="1"/>
      <c r="J2285" s="1"/>
      <c r="K2285" s="1"/>
      <c r="AA2285" s="1"/>
    </row>
    <row r="2286" spans="1:27" x14ac:dyDescent="0.25">
      <c r="A2286" t="s">
        <v>92</v>
      </c>
      <c r="B2286" t="str">
        <f t="shared" si="37"/>
        <v>70</v>
      </c>
      <c r="C2286" s="35">
        <v>2004</v>
      </c>
      <c r="D2286" s="35">
        <v>2001</v>
      </c>
      <c r="E2286" s="35">
        <v>1</v>
      </c>
      <c r="F2286" s="1" t="s">
        <v>2</v>
      </c>
      <c r="G2286" s="35">
        <v>1</v>
      </c>
      <c r="H2286" s="1" t="s">
        <v>2</v>
      </c>
      <c r="I2286" s="1"/>
      <c r="J2286" s="1"/>
      <c r="K2286" s="1"/>
      <c r="AA2286" s="1"/>
    </row>
    <row r="2287" spans="1:27" x14ac:dyDescent="0.25">
      <c r="A2287" t="s">
        <v>92</v>
      </c>
      <c r="B2287" t="str">
        <f t="shared" si="37"/>
        <v>70</v>
      </c>
      <c r="C2287" s="35">
        <v>2004</v>
      </c>
      <c r="D2287" s="35">
        <v>2003</v>
      </c>
      <c r="E2287" s="35">
        <v>20</v>
      </c>
      <c r="F2287" s="35">
        <v>12</v>
      </c>
      <c r="G2287" s="35">
        <v>8</v>
      </c>
      <c r="H2287" s="1" t="s">
        <v>2</v>
      </c>
      <c r="I2287" s="1"/>
      <c r="J2287" s="1"/>
      <c r="K2287" s="1"/>
      <c r="AA2287" s="1"/>
    </row>
    <row r="2288" spans="1:27" x14ac:dyDescent="0.25">
      <c r="A2288" t="s">
        <v>92</v>
      </c>
      <c r="B2288" t="str">
        <f t="shared" si="37"/>
        <v>70</v>
      </c>
      <c r="C2288" s="35">
        <v>2004</v>
      </c>
      <c r="D2288" s="35">
        <v>2004</v>
      </c>
      <c r="E2288" s="36">
        <v>5010</v>
      </c>
      <c r="F2288" s="36">
        <v>2429</v>
      </c>
      <c r="G2288" s="36">
        <v>2581</v>
      </c>
      <c r="H2288" s="1" t="s">
        <v>2</v>
      </c>
      <c r="I2288" s="1"/>
      <c r="J2288" s="1"/>
      <c r="K2288" s="1"/>
      <c r="AA2288" s="1"/>
    </row>
    <row r="2289" spans="1:27" x14ac:dyDescent="0.25">
      <c r="A2289" t="s">
        <v>92</v>
      </c>
      <c r="B2289" t="str">
        <f t="shared" si="37"/>
        <v>70</v>
      </c>
      <c r="C2289" s="35">
        <v>2005</v>
      </c>
      <c r="D2289" s="1" t="s">
        <v>4</v>
      </c>
      <c r="E2289" s="36">
        <v>5186</v>
      </c>
      <c r="F2289" s="36">
        <v>2535</v>
      </c>
      <c r="G2289" s="36">
        <v>2651</v>
      </c>
      <c r="H2289" s="1" t="s">
        <v>2</v>
      </c>
      <c r="I2289" s="1"/>
      <c r="J2289" s="1"/>
      <c r="K2289" s="1"/>
      <c r="AA2289" s="1"/>
    </row>
    <row r="2290" spans="1:27" x14ac:dyDescent="0.25">
      <c r="A2290" t="s">
        <v>92</v>
      </c>
      <c r="B2290" t="str">
        <f t="shared" si="37"/>
        <v>70</v>
      </c>
      <c r="C2290" s="35">
        <v>2005</v>
      </c>
      <c r="D2290" s="35">
        <v>2004</v>
      </c>
      <c r="E2290" s="35">
        <v>30</v>
      </c>
      <c r="F2290" s="35">
        <v>15</v>
      </c>
      <c r="G2290" s="35">
        <v>15</v>
      </c>
      <c r="H2290" s="1" t="s">
        <v>2</v>
      </c>
      <c r="I2290" s="1"/>
      <c r="J2290" s="1"/>
      <c r="K2290" s="1"/>
      <c r="AA2290" s="1"/>
    </row>
    <row r="2291" spans="1:27" x14ac:dyDescent="0.25">
      <c r="A2291" t="s">
        <v>92</v>
      </c>
      <c r="B2291" t="str">
        <f t="shared" si="37"/>
        <v>70</v>
      </c>
      <c r="C2291" s="35">
        <v>2005</v>
      </c>
      <c r="D2291" s="35">
        <v>2005</v>
      </c>
      <c r="E2291" s="36">
        <v>5156</v>
      </c>
      <c r="F2291" s="36">
        <v>2520</v>
      </c>
      <c r="G2291" s="36">
        <v>2636</v>
      </c>
      <c r="H2291" s="1" t="s">
        <v>2</v>
      </c>
      <c r="I2291" s="1"/>
      <c r="J2291" s="1"/>
      <c r="K2291" s="1"/>
      <c r="AA2291" s="1"/>
    </row>
    <row r="2292" spans="1:27" x14ac:dyDescent="0.25">
      <c r="A2292" t="s">
        <v>92</v>
      </c>
      <c r="B2292" t="str">
        <f t="shared" si="37"/>
        <v>70</v>
      </c>
      <c r="C2292" s="35">
        <v>2006</v>
      </c>
      <c r="D2292" s="1" t="s">
        <v>4</v>
      </c>
      <c r="E2292" s="36">
        <v>5096</v>
      </c>
      <c r="F2292" s="36">
        <v>2577</v>
      </c>
      <c r="G2292" s="36">
        <v>2519</v>
      </c>
      <c r="H2292" s="1" t="s">
        <v>2</v>
      </c>
      <c r="I2292" s="1"/>
      <c r="J2292" s="1"/>
      <c r="K2292" s="1"/>
      <c r="AA2292" s="1"/>
    </row>
    <row r="2293" spans="1:27" x14ac:dyDescent="0.25">
      <c r="A2293" t="s">
        <v>92</v>
      </c>
      <c r="B2293" t="str">
        <f t="shared" si="37"/>
        <v>70</v>
      </c>
      <c r="C2293" s="35">
        <v>2006</v>
      </c>
      <c r="D2293" s="35">
        <v>2005</v>
      </c>
      <c r="E2293" s="35">
        <v>34</v>
      </c>
      <c r="F2293" s="35">
        <v>20</v>
      </c>
      <c r="G2293" s="35">
        <v>14</v>
      </c>
      <c r="H2293" s="1" t="s">
        <v>2</v>
      </c>
      <c r="I2293" s="1"/>
      <c r="J2293" s="1"/>
      <c r="K2293" s="1"/>
      <c r="AA2293" s="1"/>
    </row>
    <row r="2294" spans="1:27" x14ac:dyDescent="0.25">
      <c r="A2294" t="s">
        <v>92</v>
      </c>
      <c r="B2294" t="str">
        <f t="shared" si="37"/>
        <v>70</v>
      </c>
      <c r="C2294" s="35">
        <v>2006</v>
      </c>
      <c r="D2294" s="35">
        <v>2006</v>
      </c>
      <c r="E2294" s="36">
        <v>5062</v>
      </c>
      <c r="F2294" s="36">
        <v>2557</v>
      </c>
      <c r="G2294" s="36">
        <v>2505</v>
      </c>
      <c r="H2294" s="1" t="s">
        <v>2</v>
      </c>
      <c r="I2294" s="1"/>
      <c r="J2294" s="1"/>
      <c r="K2294" s="1"/>
      <c r="AA2294" s="1"/>
    </row>
    <row r="2295" spans="1:27" x14ac:dyDescent="0.25">
      <c r="A2295" t="s">
        <v>92</v>
      </c>
      <c r="B2295" t="str">
        <f t="shared" si="37"/>
        <v>70</v>
      </c>
      <c r="C2295" s="35">
        <v>2007</v>
      </c>
      <c r="D2295" s="1" t="s">
        <v>4</v>
      </c>
      <c r="E2295" s="36">
        <v>5336</v>
      </c>
      <c r="F2295" s="36">
        <v>2620</v>
      </c>
      <c r="G2295" s="36">
        <v>2716</v>
      </c>
      <c r="H2295" s="1" t="s">
        <v>2</v>
      </c>
      <c r="I2295" s="1"/>
      <c r="J2295" s="1"/>
      <c r="K2295" s="1"/>
      <c r="AA2295" s="1"/>
    </row>
    <row r="2296" spans="1:27" x14ac:dyDescent="0.25">
      <c r="A2296" t="s">
        <v>92</v>
      </c>
      <c r="B2296" t="str">
        <f t="shared" si="37"/>
        <v>70</v>
      </c>
      <c r="C2296" s="35">
        <v>2007</v>
      </c>
      <c r="D2296" s="35">
        <v>2006</v>
      </c>
      <c r="E2296" s="35">
        <v>39</v>
      </c>
      <c r="F2296" s="35">
        <v>24</v>
      </c>
      <c r="G2296" s="35">
        <v>15</v>
      </c>
      <c r="H2296" s="1" t="s">
        <v>2</v>
      </c>
      <c r="I2296" s="1"/>
      <c r="J2296" s="1"/>
      <c r="K2296" s="1"/>
      <c r="AA2296" s="1"/>
    </row>
    <row r="2297" spans="1:27" x14ac:dyDescent="0.25">
      <c r="A2297" t="s">
        <v>92</v>
      </c>
      <c r="B2297" t="str">
        <f t="shared" si="37"/>
        <v>70</v>
      </c>
      <c r="C2297" s="35">
        <v>2007</v>
      </c>
      <c r="D2297" s="35">
        <v>2007</v>
      </c>
      <c r="E2297" s="36">
        <v>5297</v>
      </c>
      <c r="F2297" s="36">
        <v>2596</v>
      </c>
      <c r="G2297" s="36">
        <v>2701</v>
      </c>
      <c r="H2297" s="1" t="s">
        <v>2</v>
      </c>
      <c r="I2297" s="1"/>
      <c r="J2297" s="1"/>
      <c r="K2297" s="1"/>
      <c r="AA2297" s="1"/>
    </row>
    <row r="2298" spans="1:27" x14ac:dyDescent="0.25">
      <c r="A2298" t="s">
        <v>92</v>
      </c>
      <c r="B2298" t="str">
        <f t="shared" si="37"/>
        <v>70</v>
      </c>
      <c r="C2298" s="35">
        <v>2008</v>
      </c>
      <c r="D2298" s="1" t="s">
        <v>4</v>
      </c>
      <c r="E2298" s="36">
        <v>5270</v>
      </c>
      <c r="F2298" s="36">
        <v>2686</v>
      </c>
      <c r="G2298" s="36">
        <v>2584</v>
      </c>
      <c r="H2298" s="1" t="s">
        <v>2</v>
      </c>
      <c r="I2298" s="1"/>
      <c r="J2298" s="1"/>
      <c r="K2298" s="1"/>
      <c r="AA2298" s="1"/>
    </row>
    <row r="2299" spans="1:27" x14ac:dyDescent="0.25">
      <c r="A2299" t="s">
        <v>92</v>
      </c>
      <c r="B2299" t="str">
        <f t="shared" si="37"/>
        <v>70</v>
      </c>
      <c r="C2299" s="35">
        <v>2008</v>
      </c>
      <c r="D2299" s="35">
        <v>2004</v>
      </c>
      <c r="E2299" s="35">
        <v>9</v>
      </c>
      <c r="F2299" s="35">
        <v>5</v>
      </c>
      <c r="G2299" s="35">
        <v>4</v>
      </c>
      <c r="H2299" s="1" t="s">
        <v>2</v>
      </c>
      <c r="I2299" s="1"/>
      <c r="J2299" s="1"/>
      <c r="K2299" s="1"/>
      <c r="AA2299" s="1"/>
    </row>
    <row r="2300" spans="1:27" x14ac:dyDescent="0.25">
      <c r="A2300" t="s">
        <v>92</v>
      </c>
      <c r="B2300" t="str">
        <f t="shared" si="37"/>
        <v>70</v>
      </c>
      <c r="C2300" s="35">
        <v>2008</v>
      </c>
      <c r="D2300" s="35">
        <v>2005</v>
      </c>
      <c r="E2300" s="35">
        <v>8</v>
      </c>
      <c r="F2300" s="35">
        <v>7</v>
      </c>
      <c r="G2300" s="35">
        <v>1</v>
      </c>
      <c r="H2300" s="1" t="s">
        <v>2</v>
      </c>
      <c r="I2300" s="1"/>
      <c r="J2300" s="1"/>
      <c r="K2300" s="1"/>
      <c r="AA2300" s="1"/>
    </row>
    <row r="2301" spans="1:27" x14ac:dyDescent="0.25">
      <c r="A2301" t="s">
        <v>92</v>
      </c>
      <c r="B2301" t="str">
        <f t="shared" si="37"/>
        <v>70</v>
      </c>
      <c r="C2301" s="35">
        <v>2008</v>
      </c>
      <c r="D2301" s="35">
        <v>2006</v>
      </c>
      <c r="E2301" s="35">
        <v>1</v>
      </c>
      <c r="F2301" s="35">
        <v>1</v>
      </c>
      <c r="G2301" s="1" t="s">
        <v>2</v>
      </c>
      <c r="H2301" s="1" t="s">
        <v>2</v>
      </c>
      <c r="I2301" s="1"/>
      <c r="J2301" s="1"/>
      <c r="K2301" s="1"/>
      <c r="AA2301" s="1"/>
    </row>
    <row r="2302" spans="1:27" x14ac:dyDescent="0.25">
      <c r="A2302" t="s">
        <v>92</v>
      </c>
      <c r="B2302" t="str">
        <f t="shared" si="37"/>
        <v>70</v>
      </c>
      <c r="C2302" s="35">
        <v>2008</v>
      </c>
      <c r="D2302" s="35">
        <v>2007</v>
      </c>
      <c r="E2302" s="35">
        <v>34</v>
      </c>
      <c r="F2302" s="35">
        <v>26</v>
      </c>
      <c r="G2302" s="35">
        <v>8</v>
      </c>
      <c r="H2302" s="1" t="s">
        <v>2</v>
      </c>
      <c r="I2302" s="1"/>
      <c r="J2302" s="1"/>
      <c r="K2302" s="1"/>
      <c r="AA2302" s="1"/>
    </row>
    <row r="2303" spans="1:27" x14ac:dyDescent="0.25">
      <c r="A2303" t="s">
        <v>92</v>
      </c>
      <c r="B2303" t="str">
        <f t="shared" si="37"/>
        <v>70</v>
      </c>
      <c r="C2303" s="35">
        <v>2008</v>
      </c>
      <c r="D2303" s="35">
        <v>2008</v>
      </c>
      <c r="E2303" s="36">
        <v>5218</v>
      </c>
      <c r="F2303" s="36">
        <v>2647</v>
      </c>
      <c r="G2303" s="36">
        <v>2571</v>
      </c>
      <c r="H2303" s="1" t="s">
        <v>2</v>
      </c>
      <c r="I2303" s="1"/>
      <c r="J2303" s="1"/>
      <c r="K2303" s="1"/>
      <c r="AA2303" s="1"/>
    </row>
    <row r="2304" spans="1:27" x14ac:dyDescent="0.25">
      <c r="A2304" t="s">
        <v>92</v>
      </c>
      <c r="B2304" t="str">
        <f t="shared" si="37"/>
        <v>70</v>
      </c>
      <c r="C2304" s="35">
        <v>2009</v>
      </c>
      <c r="D2304" s="1" t="s">
        <v>4</v>
      </c>
      <c r="E2304" s="36">
        <v>5197</v>
      </c>
      <c r="F2304" s="36">
        <v>2601</v>
      </c>
      <c r="G2304" s="36">
        <v>2596</v>
      </c>
      <c r="H2304" s="1" t="s">
        <v>2</v>
      </c>
      <c r="I2304" s="1"/>
      <c r="J2304" s="1"/>
      <c r="K2304" s="1"/>
      <c r="AA2304" s="1"/>
    </row>
    <row r="2305" spans="1:27" x14ac:dyDescent="0.25">
      <c r="A2305" t="s">
        <v>92</v>
      </c>
      <c r="B2305" t="str">
        <f t="shared" si="37"/>
        <v>70</v>
      </c>
      <c r="C2305" s="35">
        <v>2009</v>
      </c>
      <c r="D2305" s="35">
        <v>2004</v>
      </c>
      <c r="E2305" s="35">
        <v>2</v>
      </c>
      <c r="F2305" s="35">
        <v>1</v>
      </c>
      <c r="G2305" s="35">
        <v>1</v>
      </c>
      <c r="H2305" s="1" t="s">
        <v>2</v>
      </c>
      <c r="I2305" s="1"/>
      <c r="J2305" s="1"/>
      <c r="K2305" s="1"/>
      <c r="AA2305" s="1"/>
    </row>
    <row r="2306" spans="1:27" x14ac:dyDescent="0.25">
      <c r="A2306" t="s">
        <v>92</v>
      </c>
      <c r="B2306" t="str">
        <f t="shared" si="37"/>
        <v>70</v>
      </c>
      <c r="C2306" s="35">
        <v>2009</v>
      </c>
      <c r="D2306" s="35">
        <v>2005</v>
      </c>
      <c r="E2306" s="35">
        <v>3</v>
      </c>
      <c r="F2306" s="35">
        <v>2</v>
      </c>
      <c r="G2306" s="35">
        <v>1</v>
      </c>
      <c r="H2306" s="1" t="s">
        <v>2</v>
      </c>
      <c r="I2306" s="1"/>
      <c r="J2306" s="1"/>
      <c r="K2306" s="1"/>
      <c r="AA2306" s="1"/>
    </row>
    <row r="2307" spans="1:27" x14ac:dyDescent="0.25">
      <c r="A2307" t="s">
        <v>92</v>
      </c>
      <c r="B2307" t="str">
        <f t="shared" si="37"/>
        <v>70</v>
      </c>
      <c r="C2307" s="35">
        <v>2009</v>
      </c>
      <c r="D2307" s="35">
        <v>2008</v>
      </c>
      <c r="E2307" s="35">
        <v>27</v>
      </c>
      <c r="F2307" s="35">
        <v>24</v>
      </c>
      <c r="G2307" s="35">
        <v>3</v>
      </c>
      <c r="H2307" s="1" t="s">
        <v>2</v>
      </c>
      <c r="I2307" s="1"/>
      <c r="J2307" s="1"/>
      <c r="K2307" s="1"/>
      <c r="AA2307" s="1"/>
    </row>
    <row r="2308" spans="1:27" x14ac:dyDescent="0.25">
      <c r="A2308" t="s">
        <v>92</v>
      </c>
      <c r="B2308" t="str">
        <f t="shared" si="37"/>
        <v>70</v>
      </c>
      <c r="C2308" s="35">
        <v>2009</v>
      </c>
      <c r="D2308" s="35">
        <v>2009</v>
      </c>
      <c r="E2308" s="36">
        <v>5165</v>
      </c>
      <c r="F2308" s="36">
        <v>2574</v>
      </c>
      <c r="G2308" s="36">
        <v>2591</v>
      </c>
      <c r="H2308" s="1" t="s">
        <v>2</v>
      </c>
      <c r="I2308" s="1"/>
      <c r="J2308" s="1"/>
      <c r="K2308" s="1"/>
      <c r="AA2308" s="1"/>
    </row>
    <row r="2309" spans="1:27" x14ac:dyDescent="0.25">
      <c r="A2309" t="s">
        <v>92</v>
      </c>
      <c r="B2309" t="str">
        <f t="shared" si="37"/>
        <v>70</v>
      </c>
      <c r="C2309" s="35">
        <v>2010</v>
      </c>
      <c r="D2309" s="1" t="s">
        <v>4</v>
      </c>
      <c r="E2309" s="36">
        <v>5392</v>
      </c>
      <c r="F2309" s="36">
        <v>2731</v>
      </c>
      <c r="G2309" s="36">
        <v>2660</v>
      </c>
      <c r="H2309" s="35">
        <v>1</v>
      </c>
      <c r="I2309" s="1"/>
      <c r="J2309" s="1"/>
      <c r="K2309" s="1"/>
      <c r="AA2309" s="1"/>
    </row>
    <row r="2310" spans="1:27" x14ac:dyDescent="0.25">
      <c r="A2310" t="s">
        <v>92</v>
      </c>
      <c r="B2310" t="str">
        <f t="shared" si="37"/>
        <v>70</v>
      </c>
      <c r="C2310" s="35">
        <v>2010</v>
      </c>
      <c r="D2310" s="35">
        <v>2009</v>
      </c>
      <c r="E2310" s="35">
        <v>43</v>
      </c>
      <c r="F2310" s="35">
        <v>29</v>
      </c>
      <c r="G2310" s="35">
        <v>14</v>
      </c>
      <c r="H2310" s="1" t="s">
        <v>2</v>
      </c>
      <c r="I2310" s="1"/>
      <c r="J2310" s="1"/>
      <c r="K2310" s="1"/>
      <c r="AA2310" s="1"/>
    </row>
    <row r="2311" spans="1:27" x14ac:dyDescent="0.25">
      <c r="A2311" t="s">
        <v>92</v>
      </c>
      <c r="B2311" t="str">
        <f t="shared" ref="B2311:B2374" si="38">IF(A2311="Menores de 1 año",0,LEFT(A2311,2))</f>
        <v>70</v>
      </c>
      <c r="C2311" s="35">
        <v>2010</v>
      </c>
      <c r="D2311" s="35">
        <v>2010</v>
      </c>
      <c r="E2311" s="36">
        <v>5349</v>
      </c>
      <c r="F2311" s="36">
        <v>2702</v>
      </c>
      <c r="G2311" s="36">
        <v>2646</v>
      </c>
      <c r="H2311" s="35">
        <v>1</v>
      </c>
      <c r="I2311" s="1"/>
      <c r="J2311" s="1"/>
      <c r="K2311" s="1"/>
      <c r="AA2311" s="1"/>
    </row>
    <row r="2312" spans="1:27" x14ac:dyDescent="0.25">
      <c r="A2312" t="s">
        <v>92</v>
      </c>
      <c r="B2312" t="str">
        <f t="shared" si="38"/>
        <v>70</v>
      </c>
      <c r="C2312" s="35">
        <v>2011</v>
      </c>
      <c r="D2312" s="1" t="s">
        <v>4</v>
      </c>
      <c r="E2312" s="36">
        <v>5344</v>
      </c>
      <c r="F2312" s="36">
        <v>2775</v>
      </c>
      <c r="G2312" s="36">
        <v>2568</v>
      </c>
      <c r="H2312" s="35">
        <v>1</v>
      </c>
      <c r="I2312" s="1"/>
      <c r="J2312" s="1"/>
      <c r="K2312" s="1"/>
      <c r="AA2312" s="1"/>
    </row>
    <row r="2313" spans="1:27" x14ac:dyDescent="0.25">
      <c r="A2313" t="s">
        <v>92</v>
      </c>
      <c r="B2313" t="str">
        <f t="shared" si="38"/>
        <v>70</v>
      </c>
      <c r="C2313" s="35">
        <v>2011</v>
      </c>
      <c r="D2313" s="35">
        <v>2010</v>
      </c>
      <c r="E2313" s="35">
        <v>48</v>
      </c>
      <c r="F2313" s="35">
        <v>28</v>
      </c>
      <c r="G2313" s="35">
        <v>20</v>
      </c>
      <c r="H2313" s="1" t="s">
        <v>2</v>
      </c>
      <c r="I2313" s="1"/>
      <c r="J2313" s="1"/>
      <c r="K2313" s="1"/>
      <c r="AA2313" s="1"/>
    </row>
    <row r="2314" spans="1:27" x14ac:dyDescent="0.25">
      <c r="A2314" t="s">
        <v>92</v>
      </c>
      <c r="B2314" t="str">
        <f t="shared" si="38"/>
        <v>70</v>
      </c>
      <c r="C2314" s="35">
        <v>2011</v>
      </c>
      <c r="D2314" s="35">
        <v>2011</v>
      </c>
      <c r="E2314" s="36">
        <v>5296</v>
      </c>
      <c r="F2314" s="36">
        <v>2747</v>
      </c>
      <c r="G2314" s="36">
        <v>2548</v>
      </c>
      <c r="H2314" s="35">
        <v>1</v>
      </c>
      <c r="I2314" s="1"/>
      <c r="J2314" s="1"/>
      <c r="K2314" s="1"/>
      <c r="AA2314" s="1"/>
    </row>
    <row r="2315" spans="1:27" x14ac:dyDescent="0.25">
      <c r="A2315" t="s">
        <v>92</v>
      </c>
      <c r="B2315" t="str">
        <f t="shared" si="38"/>
        <v>70</v>
      </c>
      <c r="C2315" s="35">
        <v>2012</v>
      </c>
      <c r="D2315" s="1" t="s">
        <v>4</v>
      </c>
      <c r="E2315" s="36">
        <v>5373</v>
      </c>
      <c r="F2315" s="36">
        <v>2790</v>
      </c>
      <c r="G2315" s="36">
        <v>2583</v>
      </c>
      <c r="H2315" s="1" t="s">
        <v>2</v>
      </c>
      <c r="I2315" s="1"/>
      <c r="J2315" s="1"/>
      <c r="K2315" s="1"/>
      <c r="AA2315" s="1"/>
    </row>
    <row r="2316" spans="1:27" x14ac:dyDescent="0.25">
      <c r="A2316" t="s">
        <v>92</v>
      </c>
      <c r="B2316" t="str">
        <f t="shared" si="38"/>
        <v>70</v>
      </c>
      <c r="C2316" s="35">
        <v>2012</v>
      </c>
      <c r="D2316" s="35">
        <v>2011</v>
      </c>
      <c r="E2316" s="35">
        <v>35</v>
      </c>
      <c r="F2316" s="35">
        <v>25</v>
      </c>
      <c r="G2316" s="35">
        <v>10</v>
      </c>
      <c r="H2316" s="1" t="s">
        <v>2</v>
      </c>
      <c r="I2316" s="1"/>
      <c r="J2316" s="1"/>
      <c r="K2316" s="1"/>
      <c r="AA2316" s="1"/>
    </row>
    <row r="2317" spans="1:27" x14ac:dyDescent="0.25">
      <c r="A2317" t="s">
        <v>92</v>
      </c>
      <c r="B2317" t="str">
        <f t="shared" si="38"/>
        <v>70</v>
      </c>
      <c r="C2317" s="35">
        <v>2012</v>
      </c>
      <c r="D2317" s="35">
        <v>2012</v>
      </c>
      <c r="E2317" s="36">
        <v>5338</v>
      </c>
      <c r="F2317" s="36">
        <v>2765</v>
      </c>
      <c r="G2317" s="36">
        <v>2573</v>
      </c>
      <c r="H2317" s="1" t="s">
        <v>2</v>
      </c>
      <c r="I2317" s="1"/>
      <c r="J2317" s="1"/>
      <c r="K2317" s="1"/>
      <c r="AA2317" s="1"/>
    </row>
    <row r="2318" spans="1:27" x14ac:dyDescent="0.25">
      <c r="A2318" t="s">
        <v>92</v>
      </c>
      <c r="B2318" t="str">
        <f t="shared" si="38"/>
        <v>70</v>
      </c>
      <c r="C2318" s="35">
        <v>2013</v>
      </c>
      <c r="D2318" s="1" t="s">
        <v>4</v>
      </c>
      <c r="E2318" s="36">
        <v>5590</v>
      </c>
      <c r="F2318" s="36">
        <v>2956</v>
      </c>
      <c r="G2318" s="36">
        <v>2634</v>
      </c>
      <c r="H2318" s="1" t="s">
        <v>2</v>
      </c>
      <c r="I2318" s="1"/>
      <c r="J2318" s="1"/>
      <c r="K2318" s="1"/>
      <c r="AA2318" s="1"/>
    </row>
    <row r="2319" spans="1:27" x14ac:dyDescent="0.25">
      <c r="A2319" t="s">
        <v>92</v>
      </c>
      <c r="B2319" t="str">
        <f t="shared" si="38"/>
        <v>70</v>
      </c>
      <c r="C2319" s="35">
        <v>2013</v>
      </c>
      <c r="D2319" s="35">
        <v>2012</v>
      </c>
      <c r="E2319" s="35">
        <v>48</v>
      </c>
      <c r="F2319" s="35">
        <v>33</v>
      </c>
      <c r="G2319" s="35">
        <v>15</v>
      </c>
      <c r="H2319" s="1" t="s">
        <v>2</v>
      </c>
      <c r="I2319" s="1"/>
      <c r="J2319" s="1"/>
      <c r="K2319" s="1"/>
      <c r="AA2319" s="1"/>
    </row>
    <row r="2320" spans="1:27" x14ac:dyDescent="0.25">
      <c r="A2320" t="s">
        <v>92</v>
      </c>
      <c r="B2320" t="str">
        <f t="shared" si="38"/>
        <v>70</v>
      </c>
      <c r="C2320" s="35">
        <v>2013</v>
      </c>
      <c r="D2320" s="35">
        <v>2013</v>
      </c>
      <c r="E2320" s="36">
        <v>5542</v>
      </c>
      <c r="F2320" s="36">
        <v>2923</v>
      </c>
      <c r="G2320" s="36">
        <v>2619</v>
      </c>
      <c r="H2320" s="1" t="s">
        <v>2</v>
      </c>
      <c r="I2320" s="1"/>
      <c r="J2320" s="1"/>
      <c r="K2320" s="1"/>
      <c r="AA2320" s="1"/>
    </row>
    <row r="2321" spans="1:27" x14ac:dyDescent="0.25">
      <c r="A2321" t="s">
        <v>92</v>
      </c>
      <c r="B2321" t="str">
        <f t="shared" si="38"/>
        <v>70</v>
      </c>
      <c r="C2321" s="35">
        <v>2014</v>
      </c>
      <c r="D2321" s="1" t="s">
        <v>4</v>
      </c>
      <c r="E2321" s="36">
        <v>5830</v>
      </c>
      <c r="F2321" s="36">
        <v>2979</v>
      </c>
      <c r="G2321" s="36">
        <v>2851</v>
      </c>
      <c r="H2321" s="1" t="s">
        <v>2</v>
      </c>
      <c r="I2321" s="1"/>
      <c r="J2321" s="1"/>
      <c r="K2321" s="1"/>
      <c r="AA2321" s="1"/>
    </row>
    <row r="2322" spans="1:27" x14ac:dyDescent="0.25">
      <c r="A2322" t="s">
        <v>92</v>
      </c>
      <c r="B2322" t="str">
        <f t="shared" si="38"/>
        <v>70</v>
      </c>
      <c r="C2322" s="35">
        <v>2014</v>
      </c>
      <c r="D2322" s="35">
        <v>2013</v>
      </c>
      <c r="E2322" s="35">
        <v>48</v>
      </c>
      <c r="F2322" s="35">
        <v>33</v>
      </c>
      <c r="G2322" s="35">
        <v>15</v>
      </c>
      <c r="H2322" s="1" t="s">
        <v>2</v>
      </c>
      <c r="I2322" s="1"/>
      <c r="J2322" s="1"/>
      <c r="K2322" s="1"/>
      <c r="AA2322" s="1"/>
    </row>
    <row r="2323" spans="1:27" x14ac:dyDescent="0.25">
      <c r="A2323" t="s">
        <v>92</v>
      </c>
      <c r="B2323" t="str">
        <f t="shared" si="38"/>
        <v>70</v>
      </c>
      <c r="C2323" s="35">
        <v>2014</v>
      </c>
      <c r="D2323" s="35">
        <v>2014</v>
      </c>
      <c r="E2323" s="36">
        <v>5782</v>
      </c>
      <c r="F2323" s="36">
        <v>2946</v>
      </c>
      <c r="G2323" s="36">
        <v>2836</v>
      </c>
      <c r="H2323" s="1" t="s">
        <v>2</v>
      </c>
      <c r="I2323" s="1"/>
      <c r="J2323" s="1"/>
      <c r="K2323" s="1"/>
      <c r="AA2323" s="1"/>
    </row>
    <row r="2324" spans="1:27" x14ac:dyDescent="0.25">
      <c r="A2324" t="s">
        <v>92</v>
      </c>
      <c r="B2324" t="str">
        <f t="shared" si="38"/>
        <v>70</v>
      </c>
      <c r="C2324" s="35">
        <v>2015</v>
      </c>
      <c r="D2324" s="1" t="s">
        <v>4</v>
      </c>
      <c r="E2324" s="36">
        <v>5757</v>
      </c>
      <c r="F2324" s="36">
        <v>3006</v>
      </c>
      <c r="G2324" s="36">
        <v>2751</v>
      </c>
      <c r="H2324" s="1" t="s">
        <v>2</v>
      </c>
      <c r="I2324" s="1"/>
      <c r="J2324" s="1"/>
      <c r="K2324" s="1"/>
      <c r="AA2324" s="1"/>
    </row>
    <row r="2325" spans="1:27" x14ac:dyDescent="0.25">
      <c r="A2325" t="s">
        <v>92</v>
      </c>
      <c r="B2325" t="str">
        <f t="shared" si="38"/>
        <v>70</v>
      </c>
      <c r="C2325" s="35">
        <v>2015</v>
      </c>
      <c r="D2325" s="35">
        <v>2014</v>
      </c>
      <c r="E2325" s="35">
        <v>36</v>
      </c>
      <c r="F2325" s="35">
        <v>20</v>
      </c>
      <c r="G2325" s="35">
        <v>16</v>
      </c>
      <c r="H2325" s="1" t="s">
        <v>2</v>
      </c>
      <c r="I2325" s="1"/>
      <c r="J2325" s="1"/>
      <c r="K2325" s="1"/>
      <c r="AA2325" s="1"/>
    </row>
    <row r="2326" spans="1:27" x14ac:dyDescent="0.25">
      <c r="A2326" t="s">
        <v>92</v>
      </c>
      <c r="B2326" t="str">
        <f t="shared" si="38"/>
        <v>70</v>
      </c>
      <c r="C2326" s="35">
        <v>2015</v>
      </c>
      <c r="D2326" s="35">
        <v>2015</v>
      </c>
      <c r="E2326" s="36">
        <v>5721</v>
      </c>
      <c r="F2326" s="36">
        <v>2986</v>
      </c>
      <c r="G2326" s="36">
        <v>2735</v>
      </c>
      <c r="H2326" s="1" t="s">
        <v>2</v>
      </c>
      <c r="I2326" s="1"/>
      <c r="J2326" s="1"/>
      <c r="K2326" s="1"/>
      <c r="AA2326" s="1"/>
    </row>
    <row r="2327" spans="1:27" x14ac:dyDescent="0.25">
      <c r="A2327" t="s">
        <v>92</v>
      </c>
      <c r="B2327" t="str">
        <f t="shared" si="38"/>
        <v>70</v>
      </c>
      <c r="C2327" s="35">
        <v>2016</v>
      </c>
      <c r="D2327" s="1" t="s">
        <v>4</v>
      </c>
      <c r="E2327" s="36">
        <v>6099</v>
      </c>
      <c r="F2327" s="36">
        <v>3175</v>
      </c>
      <c r="G2327" s="36">
        <v>2924</v>
      </c>
      <c r="H2327" s="1" t="s">
        <v>2</v>
      </c>
      <c r="I2327" s="1"/>
      <c r="J2327" s="1"/>
      <c r="K2327" s="1"/>
      <c r="AA2327" s="1"/>
    </row>
    <row r="2328" spans="1:27" x14ac:dyDescent="0.25">
      <c r="A2328" t="s">
        <v>92</v>
      </c>
      <c r="B2328" t="str">
        <f t="shared" si="38"/>
        <v>70</v>
      </c>
      <c r="C2328" s="35">
        <v>2016</v>
      </c>
      <c r="D2328" s="35">
        <v>1943</v>
      </c>
      <c r="E2328" s="35">
        <v>1</v>
      </c>
      <c r="F2328" s="1" t="s">
        <v>2</v>
      </c>
      <c r="G2328" s="35">
        <v>1</v>
      </c>
      <c r="H2328" s="1" t="s">
        <v>2</v>
      </c>
      <c r="I2328" s="1"/>
      <c r="J2328" s="1"/>
      <c r="K2328" s="1"/>
      <c r="AA2328" s="1"/>
    </row>
    <row r="2329" spans="1:27" x14ac:dyDescent="0.25">
      <c r="A2329" t="s">
        <v>92</v>
      </c>
      <c r="B2329" t="str">
        <f t="shared" si="38"/>
        <v>70</v>
      </c>
      <c r="C2329" s="35">
        <v>2016</v>
      </c>
      <c r="D2329" s="35">
        <v>1944</v>
      </c>
      <c r="E2329" s="35">
        <v>1</v>
      </c>
      <c r="F2329" s="1" t="s">
        <v>2</v>
      </c>
      <c r="G2329" s="35">
        <v>1</v>
      </c>
      <c r="H2329" s="1" t="s">
        <v>2</v>
      </c>
      <c r="I2329" s="1"/>
      <c r="J2329" s="1"/>
      <c r="K2329" s="1"/>
      <c r="AA2329" s="1"/>
    </row>
    <row r="2330" spans="1:27" x14ac:dyDescent="0.25">
      <c r="A2330" t="s">
        <v>92</v>
      </c>
      <c r="B2330" t="str">
        <f t="shared" si="38"/>
        <v>70</v>
      </c>
      <c r="C2330" s="35">
        <v>2016</v>
      </c>
      <c r="D2330" s="35">
        <v>2013</v>
      </c>
      <c r="E2330" s="35">
        <v>1</v>
      </c>
      <c r="F2330" s="35">
        <v>1</v>
      </c>
      <c r="G2330" s="1" t="s">
        <v>2</v>
      </c>
      <c r="H2330" s="1" t="s">
        <v>2</v>
      </c>
      <c r="I2330" s="1"/>
      <c r="J2330" s="1"/>
      <c r="K2330" s="1"/>
      <c r="AA2330" s="1"/>
    </row>
    <row r="2331" spans="1:27" x14ac:dyDescent="0.25">
      <c r="A2331" t="s">
        <v>92</v>
      </c>
      <c r="B2331" t="str">
        <f t="shared" si="38"/>
        <v>70</v>
      </c>
      <c r="C2331" s="35">
        <v>2016</v>
      </c>
      <c r="D2331" s="35">
        <v>2015</v>
      </c>
      <c r="E2331" s="35">
        <v>41</v>
      </c>
      <c r="F2331" s="35">
        <v>28</v>
      </c>
      <c r="G2331" s="35">
        <v>13</v>
      </c>
      <c r="H2331" s="1" t="s">
        <v>2</v>
      </c>
      <c r="I2331" s="1"/>
      <c r="J2331" s="1"/>
      <c r="K2331" s="1"/>
      <c r="AA2331" s="1"/>
    </row>
    <row r="2332" spans="1:27" x14ac:dyDescent="0.25">
      <c r="A2332" t="s">
        <v>92</v>
      </c>
      <c r="B2332" t="str">
        <f t="shared" si="38"/>
        <v>70</v>
      </c>
      <c r="C2332" s="35">
        <v>2016</v>
      </c>
      <c r="D2332" s="35">
        <v>2016</v>
      </c>
      <c r="E2332" s="36">
        <v>6055</v>
      </c>
      <c r="F2332" s="36">
        <v>3146</v>
      </c>
      <c r="G2332" s="36">
        <v>2909</v>
      </c>
      <c r="H2332" s="1" t="s">
        <v>2</v>
      </c>
      <c r="I2332" s="1"/>
      <c r="J2332" s="1"/>
      <c r="K2332" s="1"/>
      <c r="AA2332" s="1"/>
    </row>
    <row r="2333" spans="1:27" x14ac:dyDescent="0.25">
      <c r="A2333" t="s">
        <v>92</v>
      </c>
      <c r="B2333" t="str">
        <f t="shared" si="38"/>
        <v>70</v>
      </c>
      <c r="C2333" s="35">
        <v>2017</v>
      </c>
      <c r="D2333" s="1" t="s">
        <v>4</v>
      </c>
      <c r="E2333" s="36">
        <v>6185</v>
      </c>
      <c r="F2333" s="36">
        <v>3210</v>
      </c>
      <c r="G2333" s="36">
        <v>2975</v>
      </c>
      <c r="H2333" s="1" t="s">
        <v>2</v>
      </c>
      <c r="I2333" s="1"/>
      <c r="J2333" s="1"/>
      <c r="K2333" s="1"/>
      <c r="AA2333" s="1"/>
    </row>
    <row r="2334" spans="1:27" x14ac:dyDescent="0.25">
      <c r="A2334" t="s">
        <v>92</v>
      </c>
      <c r="B2334" t="str">
        <f t="shared" si="38"/>
        <v>70</v>
      </c>
      <c r="C2334" s="35">
        <v>2017</v>
      </c>
      <c r="D2334" s="35">
        <v>2016</v>
      </c>
      <c r="E2334" s="35">
        <v>22</v>
      </c>
      <c r="F2334" s="35">
        <v>16</v>
      </c>
      <c r="G2334" s="35">
        <v>6</v>
      </c>
      <c r="H2334" s="1" t="s">
        <v>2</v>
      </c>
      <c r="I2334" s="1"/>
      <c r="J2334" s="1"/>
      <c r="K2334" s="1"/>
      <c r="AA2334" s="1"/>
    </row>
    <row r="2335" spans="1:27" x14ac:dyDescent="0.25">
      <c r="A2335" t="s">
        <v>92</v>
      </c>
      <c r="B2335" t="str">
        <f t="shared" si="38"/>
        <v>70</v>
      </c>
      <c r="C2335" s="35">
        <v>2017</v>
      </c>
      <c r="D2335" s="35">
        <v>2017</v>
      </c>
      <c r="E2335" s="36">
        <v>6163</v>
      </c>
      <c r="F2335" s="36">
        <v>3194</v>
      </c>
      <c r="G2335" s="36">
        <v>2969</v>
      </c>
      <c r="H2335" s="1" t="s">
        <v>2</v>
      </c>
      <c r="I2335" s="1"/>
      <c r="J2335" s="1"/>
      <c r="K2335" s="1"/>
      <c r="AA2335" s="1"/>
    </row>
    <row r="2336" spans="1:27" x14ac:dyDescent="0.25">
      <c r="A2336" t="s">
        <v>92</v>
      </c>
      <c r="B2336" t="str">
        <f t="shared" si="38"/>
        <v>70</v>
      </c>
      <c r="C2336" s="35">
        <v>2018</v>
      </c>
      <c r="D2336" s="1" t="s">
        <v>4</v>
      </c>
      <c r="E2336" s="36">
        <v>6238</v>
      </c>
      <c r="F2336" s="36">
        <v>3218</v>
      </c>
      <c r="G2336" s="36">
        <v>3020</v>
      </c>
      <c r="H2336" s="1" t="s">
        <v>2</v>
      </c>
      <c r="I2336" s="1"/>
      <c r="J2336" s="1"/>
      <c r="K2336" s="1"/>
      <c r="AA2336" s="1"/>
    </row>
    <row r="2337" spans="1:27" x14ac:dyDescent="0.25">
      <c r="A2337" t="s">
        <v>92</v>
      </c>
      <c r="B2337" t="str">
        <f t="shared" si="38"/>
        <v>70</v>
      </c>
      <c r="C2337" s="35">
        <v>2018</v>
      </c>
      <c r="D2337" s="35">
        <v>2017</v>
      </c>
      <c r="E2337" s="35">
        <v>31</v>
      </c>
      <c r="F2337" s="35">
        <v>19</v>
      </c>
      <c r="G2337" s="35">
        <v>12</v>
      </c>
      <c r="H2337" s="1" t="s">
        <v>2</v>
      </c>
      <c r="I2337" s="1"/>
      <c r="J2337" s="1"/>
      <c r="K2337" s="1"/>
      <c r="AA2337" s="1"/>
    </row>
    <row r="2338" spans="1:27" x14ac:dyDescent="0.25">
      <c r="A2338" t="s">
        <v>92</v>
      </c>
      <c r="B2338" t="str">
        <f t="shared" si="38"/>
        <v>70</v>
      </c>
      <c r="C2338" s="35">
        <v>2018</v>
      </c>
      <c r="D2338" s="35">
        <v>2018</v>
      </c>
      <c r="E2338" s="36">
        <v>6207</v>
      </c>
      <c r="F2338" s="36">
        <v>3199</v>
      </c>
      <c r="G2338" s="36">
        <v>3008</v>
      </c>
      <c r="H2338" s="1" t="s">
        <v>2</v>
      </c>
      <c r="I2338" s="1"/>
      <c r="J2338" s="1"/>
      <c r="K2338" s="1"/>
      <c r="AA2338" s="1"/>
    </row>
    <row r="2339" spans="1:27" x14ac:dyDescent="0.25">
      <c r="A2339" t="s">
        <v>92</v>
      </c>
      <c r="B2339" t="str">
        <f t="shared" si="38"/>
        <v>70</v>
      </c>
      <c r="C2339" s="35">
        <v>2019</v>
      </c>
      <c r="D2339" s="1" t="s">
        <v>4</v>
      </c>
      <c r="E2339" s="36">
        <v>6432</v>
      </c>
      <c r="F2339" s="36">
        <v>3350</v>
      </c>
      <c r="G2339" s="36">
        <v>3082</v>
      </c>
      <c r="H2339" s="1" t="s">
        <v>2</v>
      </c>
      <c r="I2339" s="1"/>
      <c r="J2339" s="1"/>
      <c r="K2339" s="1"/>
      <c r="AA2339" s="1"/>
    </row>
    <row r="2340" spans="1:27" x14ac:dyDescent="0.25">
      <c r="A2340" t="s">
        <v>92</v>
      </c>
      <c r="B2340" t="str">
        <f t="shared" si="38"/>
        <v>70</v>
      </c>
      <c r="C2340" s="35">
        <v>2019</v>
      </c>
      <c r="D2340" s="35">
        <v>2013</v>
      </c>
      <c r="E2340" s="35">
        <v>1</v>
      </c>
      <c r="F2340" s="35">
        <v>1</v>
      </c>
      <c r="G2340" s="1" t="s">
        <v>2</v>
      </c>
      <c r="H2340" s="1" t="s">
        <v>2</v>
      </c>
      <c r="I2340" s="1"/>
      <c r="J2340" s="1"/>
      <c r="K2340" s="1"/>
      <c r="AA2340" s="1"/>
    </row>
    <row r="2341" spans="1:27" x14ac:dyDescent="0.25">
      <c r="A2341" t="s">
        <v>92</v>
      </c>
      <c r="B2341" t="str">
        <f t="shared" si="38"/>
        <v>70</v>
      </c>
      <c r="C2341" s="35">
        <v>2019</v>
      </c>
      <c r="D2341" s="35">
        <v>2018</v>
      </c>
      <c r="E2341" s="35">
        <v>40</v>
      </c>
      <c r="F2341" s="35">
        <v>26</v>
      </c>
      <c r="G2341" s="35">
        <v>14</v>
      </c>
      <c r="H2341" s="1" t="s">
        <v>2</v>
      </c>
      <c r="I2341" s="1"/>
      <c r="J2341" s="1"/>
      <c r="K2341" s="1"/>
      <c r="AA2341" s="1"/>
    </row>
    <row r="2342" spans="1:27" x14ac:dyDescent="0.25">
      <c r="A2342" t="s">
        <v>92</v>
      </c>
      <c r="B2342" t="str">
        <f t="shared" si="38"/>
        <v>70</v>
      </c>
      <c r="C2342" s="35">
        <v>2019</v>
      </c>
      <c r="D2342" s="35">
        <v>2019</v>
      </c>
      <c r="E2342" s="36">
        <v>6391</v>
      </c>
      <c r="F2342" s="36">
        <v>3323</v>
      </c>
      <c r="G2342" s="36">
        <v>3068</v>
      </c>
      <c r="H2342" s="1" t="s">
        <v>2</v>
      </c>
      <c r="I2342" s="1"/>
      <c r="J2342" s="1"/>
      <c r="K2342" s="1"/>
      <c r="AA2342" s="1"/>
    </row>
    <row r="2343" spans="1:27" x14ac:dyDescent="0.25">
      <c r="A2343" t="s">
        <v>92</v>
      </c>
      <c r="B2343" t="str">
        <f t="shared" si="38"/>
        <v>70</v>
      </c>
      <c r="C2343" s="35">
        <v>2020</v>
      </c>
      <c r="D2343" s="1" t="s">
        <v>4</v>
      </c>
      <c r="E2343" s="36">
        <v>11930</v>
      </c>
      <c r="F2343" s="36">
        <v>6926</v>
      </c>
      <c r="G2343" s="36">
        <v>5004</v>
      </c>
      <c r="H2343" s="1" t="s">
        <v>2</v>
      </c>
      <c r="I2343" s="1"/>
      <c r="J2343" s="1"/>
      <c r="K2343" s="1"/>
      <c r="AA2343" s="1"/>
    </row>
    <row r="2344" spans="1:27" x14ac:dyDescent="0.25">
      <c r="A2344" t="s">
        <v>92</v>
      </c>
      <c r="B2344" t="str">
        <f t="shared" si="38"/>
        <v>70</v>
      </c>
      <c r="C2344" s="35">
        <v>2020</v>
      </c>
      <c r="D2344" s="35">
        <v>2019</v>
      </c>
      <c r="E2344" s="35">
        <v>35</v>
      </c>
      <c r="F2344" s="35">
        <v>23</v>
      </c>
      <c r="G2344" s="35">
        <v>12</v>
      </c>
      <c r="H2344" s="1" t="s">
        <v>2</v>
      </c>
      <c r="I2344" s="1"/>
      <c r="J2344" s="1"/>
      <c r="K2344" s="1"/>
      <c r="AA2344" s="1"/>
    </row>
    <row r="2345" spans="1:27" x14ac:dyDescent="0.25">
      <c r="A2345" t="s">
        <v>92</v>
      </c>
      <c r="B2345" t="str">
        <f t="shared" si="38"/>
        <v>70</v>
      </c>
      <c r="C2345" s="35">
        <v>2020</v>
      </c>
      <c r="D2345" s="35">
        <v>2020</v>
      </c>
      <c r="E2345" s="36">
        <v>11894</v>
      </c>
      <c r="F2345" s="36">
        <v>6903</v>
      </c>
      <c r="G2345" s="36">
        <v>4991</v>
      </c>
      <c r="H2345" s="1" t="s">
        <v>2</v>
      </c>
      <c r="I2345" s="1"/>
      <c r="J2345" s="1"/>
      <c r="K2345" s="1"/>
      <c r="AA2345" s="1"/>
    </row>
    <row r="2346" spans="1:27" x14ac:dyDescent="0.25">
      <c r="A2346" t="s">
        <v>92</v>
      </c>
      <c r="B2346" t="str">
        <f t="shared" si="38"/>
        <v>70</v>
      </c>
      <c r="C2346" s="35">
        <v>2020</v>
      </c>
      <c r="D2346" s="1" t="s">
        <v>24</v>
      </c>
      <c r="E2346" s="35">
        <v>1</v>
      </c>
      <c r="F2346" s="1" t="s">
        <v>2</v>
      </c>
      <c r="G2346" s="35">
        <v>1</v>
      </c>
      <c r="H2346" s="1" t="s">
        <v>2</v>
      </c>
      <c r="I2346" s="1"/>
      <c r="J2346" s="1"/>
      <c r="K2346" s="1"/>
      <c r="AA2346" s="1"/>
    </row>
    <row r="2347" spans="1:27" x14ac:dyDescent="0.25">
      <c r="A2347" t="s">
        <v>92</v>
      </c>
      <c r="B2347" t="str">
        <f t="shared" si="38"/>
        <v>70</v>
      </c>
      <c r="C2347" s="35">
        <v>2021</v>
      </c>
      <c r="D2347" s="1" t="s">
        <v>4</v>
      </c>
      <c r="E2347" s="36">
        <v>11215</v>
      </c>
      <c r="F2347" s="36">
        <v>6183</v>
      </c>
      <c r="G2347" s="36">
        <v>5032</v>
      </c>
      <c r="H2347" s="1" t="s">
        <v>2</v>
      </c>
      <c r="I2347" s="1"/>
      <c r="J2347" s="1"/>
      <c r="K2347" s="1"/>
      <c r="AA2347" s="1"/>
    </row>
    <row r="2348" spans="1:27" x14ac:dyDescent="0.25">
      <c r="A2348" t="s">
        <v>92</v>
      </c>
      <c r="B2348" t="str">
        <f t="shared" si="38"/>
        <v>70</v>
      </c>
      <c r="C2348" s="35">
        <v>2021</v>
      </c>
      <c r="D2348" s="35">
        <v>2020</v>
      </c>
      <c r="E2348" s="35">
        <v>73</v>
      </c>
      <c r="F2348" s="35">
        <v>56</v>
      </c>
      <c r="G2348" s="35">
        <v>17</v>
      </c>
      <c r="H2348" s="1" t="s">
        <v>2</v>
      </c>
      <c r="I2348" s="1"/>
      <c r="J2348" s="1"/>
      <c r="K2348" s="1"/>
      <c r="AA2348" s="1"/>
    </row>
    <row r="2349" spans="1:27" x14ac:dyDescent="0.25">
      <c r="A2349" t="s">
        <v>92</v>
      </c>
      <c r="B2349" t="str">
        <f t="shared" si="38"/>
        <v>70</v>
      </c>
      <c r="C2349" s="35">
        <v>2021</v>
      </c>
      <c r="D2349" s="35">
        <v>2021</v>
      </c>
      <c r="E2349" s="36">
        <v>11142</v>
      </c>
      <c r="F2349" s="36">
        <v>6127</v>
      </c>
      <c r="G2349" s="36">
        <v>5015</v>
      </c>
      <c r="H2349" s="1" t="s">
        <v>2</v>
      </c>
      <c r="I2349" s="1"/>
      <c r="J2349" s="1"/>
      <c r="K2349" s="1"/>
      <c r="AA2349" s="1"/>
    </row>
    <row r="2350" spans="1:27" x14ac:dyDescent="0.25">
      <c r="A2350" t="s">
        <v>92</v>
      </c>
      <c r="B2350" t="str">
        <f t="shared" si="38"/>
        <v>70</v>
      </c>
      <c r="C2350" s="35">
        <v>2022</v>
      </c>
      <c r="D2350" s="1" t="s">
        <v>4</v>
      </c>
      <c r="E2350" s="36">
        <v>7229</v>
      </c>
      <c r="F2350" s="36">
        <v>3864</v>
      </c>
      <c r="G2350" s="36">
        <v>3365</v>
      </c>
      <c r="H2350" s="1" t="s">
        <v>2</v>
      </c>
      <c r="I2350" s="1"/>
      <c r="J2350" s="1"/>
      <c r="K2350" s="1"/>
      <c r="AA2350" s="1"/>
    </row>
    <row r="2351" spans="1:27" x14ac:dyDescent="0.25">
      <c r="A2351" t="s">
        <v>92</v>
      </c>
      <c r="B2351" t="str">
        <f t="shared" si="38"/>
        <v>70</v>
      </c>
      <c r="C2351" s="35">
        <v>2022</v>
      </c>
      <c r="D2351" s="35">
        <v>2006</v>
      </c>
      <c r="E2351" s="35">
        <v>4</v>
      </c>
      <c r="F2351" s="35">
        <v>4</v>
      </c>
      <c r="G2351" s="1" t="s">
        <v>2</v>
      </c>
      <c r="H2351" s="1" t="s">
        <v>2</v>
      </c>
      <c r="I2351" s="1"/>
      <c r="J2351" s="1"/>
      <c r="K2351" s="1"/>
      <c r="AA2351" s="1"/>
    </row>
    <row r="2352" spans="1:27" x14ac:dyDescent="0.25">
      <c r="A2352" t="s">
        <v>92</v>
      </c>
      <c r="B2352" t="str">
        <f t="shared" si="38"/>
        <v>70</v>
      </c>
      <c r="C2352" s="35">
        <v>2022</v>
      </c>
      <c r="D2352" s="35">
        <v>2008</v>
      </c>
      <c r="E2352" s="35">
        <v>1</v>
      </c>
      <c r="F2352" s="35">
        <v>1</v>
      </c>
      <c r="G2352" s="1" t="s">
        <v>2</v>
      </c>
      <c r="H2352" s="1" t="s">
        <v>2</v>
      </c>
      <c r="I2352" s="1"/>
      <c r="J2352" s="1"/>
      <c r="K2352" s="1"/>
      <c r="AA2352" s="1"/>
    </row>
    <row r="2353" spans="1:27" x14ac:dyDescent="0.25">
      <c r="A2353" t="s">
        <v>92</v>
      </c>
      <c r="B2353" t="str">
        <f t="shared" si="38"/>
        <v>70</v>
      </c>
      <c r="C2353" s="35">
        <v>2022</v>
      </c>
      <c r="D2353" s="35">
        <v>2009</v>
      </c>
      <c r="E2353" s="35">
        <v>2</v>
      </c>
      <c r="F2353" s="35">
        <v>2</v>
      </c>
      <c r="G2353" s="1" t="s">
        <v>2</v>
      </c>
      <c r="H2353" s="1" t="s">
        <v>2</v>
      </c>
      <c r="I2353" s="1"/>
      <c r="J2353" s="1"/>
      <c r="K2353" s="1"/>
      <c r="AA2353" s="1"/>
    </row>
    <row r="2354" spans="1:27" x14ac:dyDescent="0.25">
      <c r="A2354" t="s">
        <v>92</v>
      </c>
      <c r="B2354" t="str">
        <f t="shared" si="38"/>
        <v>70</v>
      </c>
      <c r="C2354" s="35">
        <v>2022</v>
      </c>
      <c r="D2354" s="35">
        <v>2010</v>
      </c>
      <c r="E2354" s="35">
        <v>2</v>
      </c>
      <c r="F2354" s="35">
        <v>2</v>
      </c>
      <c r="G2354" s="1" t="s">
        <v>2</v>
      </c>
      <c r="H2354" s="1" t="s">
        <v>2</v>
      </c>
      <c r="I2354" s="1"/>
      <c r="J2354" s="1"/>
      <c r="K2354" s="1"/>
      <c r="AA2354" s="1"/>
    </row>
    <row r="2355" spans="1:27" x14ac:dyDescent="0.25">
      <c r="A2355" t="s">
        <v>92</v>
      </c>
      <c r="B2355" t="str">
        <f t="shared" si="38"/>
        <v>70</v>
      </c>
      <c r="C2355" s="35">
        <v>2022</v>
      </c>
      <c r="D2355" s="35">
        <v>2019</v>
      </c>
      <c r="E2355" s="35">
        <v>4</v>
      </c>
      <c r="F2355" s="35">
        <v>3</v>
      </c>
      <c r="G2355" s="35">
        <v>1</v>
      </c>
      <c r="H2355" s="1" t="s">
        <v>2</v>
      </c>
      <c r="I2355" s="1"/>
      <c r="J2355" s="1"/>
      <c r="K2355" s="1"/>
      <c r="AA2355" s="1"/>
    </row>
    <row r="2356" spans="1:27" x14ac:dyDescent="0.25">
      <c r="A2356" t="s">
        <v>92</v>
      </c>
      <c r="B2356" t="str">
        <f t="shared" si="38"/>
        <v>70</v>
      </c>
      <c r="C2356" s="35">
        <v>2022</v>
      </c>
      <c r="D2356" s="35">
        <v>2021</v>
      </c>
      <c r="E2356" s="35">
        <v>26</v>
      </c>
      <c r="F2356" s="35">
        <v>17</v>
      </c>
      <c r="G2356" s="35">
        <v>9</v>
      </c>
      <c r="H2356" s="1" t="s">
        <v>2</v>
      </c>
      <c r="I2356" s="1"/>
      <c r="J2356" s="1"/>
      <c r="K2356" s="1"/>
      <c r="AA2356" s="1"/>
    </row>
    <row r="2357" spans="1:27" x14ac:dyDescent="0.25">
      <c r="A2357" t="s">
        <v>92</v>
      </c>
      <c r="B2357" t="str">
        <f t="shared" si="38"/>
        <v>70</v>
      </c>
      <c r="C2357" s="35">
        <v>2022</v>
      </c>
      <c r="D2357" s="35">
        <v>2022</v>
      </c>
      <c r="E2357" s="36">
        <v>7190</v>
      </c>
      <c r="F2357" s="36">
        <v>3835</v>
      </c>
      <c r="G2357" s="36">
        <v>3355</v>
      </c>
      <c r="H2357" s="1" t="s">
        <v>2</v>
      </c>
      <c r="I2357" s="1"/>
      <c r="J2357" s="1"/>
      <c r="K2357" s="1"/>
      <c r="AA2357" s="1"/>
    </row>
    <row r="2358" spans="1:27" x14ac:dyDescent="0.25">
      <c r="A2358" t="s">
        <v>92</v>
      </c>
      <c r="B2358" t="str">
        <f t="shared" si="38"/>
        <v>70</v>
      </c>
      <c r="C2358" s="35">
        <v>2023</v>
      </c>
      <c r="D2358" s="1" t="s">
        <v>4</v>
      </c>
      <c r="E2358" s="36">
        <v>6849</v>
      </c>
      <c r="F2358" s="36">
        <v>3534</v>
      </c>
      <c r="G2358" s="36">
        <v>3315</v>
      </c>
      <c r="H2358" s="1" t="s">
        <v>2</v>
      </c>
      <c r="I2358" s="1"/>
      <c r="J2358" s="1"/>
      <c r="K2358" s="1"/>
      <c r="AA2358" s="1"/>
    </row>
    <row r="2359" spans="1:27" x14ac:dyDescent="0.25">
      <c r="A2359" t="s">
        <v>92</v>
      </c>
      <c r="B2359" t="str">
        <f t="shared" si="38"/>
        <v>70</v>
      </c>
      <c r="C2359" s="35">
        <v>2023</v>
      </c>
      <c r="D2359" s="35">
        <v>2016</v>
      </c>
      <c r="E2359" s="35">
        <v>1</v>
      </c>
      <c r="F2359" s="1" t="s">
        <v>2</v>
      </c>
      <c r="G2359" s="35">
        <v>1</v>
      </c>
      <c r="H2359" s="1" t="s">
        <v>2</v>
      </c>
      <c r="I2359" s="1"/>
      <c r="J2359" s="1"/>
      <c r="K2359" s="1"/>
      <c r="AA2359" s="1"/>
    </row>
    <row r="2360" spans="1:27" x14ac:dyDescent="0.25">
      <c r="A2360" t="s">
        <v>92</v>
      </c>
      <c r="B2360" t="str">
        <f t="shared" si="38"/>
        <v>70</v>
      </c>
      <c r="C2360" s="35">
        <v>2023</v>
      </c>
      <c r="D2360" s="35">
        <v>2021</v>
      </c>
      <c r="E2360" s="35">
        <v>1</v>
      </c>
      <c r="F2360" s="1" t="s">
        <v>2</v>
      </c>
      <c r="G2360" s="35">
        <v>1</v>
      </c>
      <c r="H2360" s="1" t="s">
        <v>2</v>
      </c>
      <c r="I2360" s="1"/>
      <c r="J2360" s="1"/>
      <c r="K2360" s="1"/>
      <c r="AA2360" s="1"/>
    </row>
    <row r="2361" spans="1:27" x14ac:dyDescent="0.25">
      <c r="A2361" t="s">
        <v>92</v>
      </c>
      <c r="B2361" t="str">
        <f t="shared" si="38"/>
        <v>70</v>
      </c>
      <c r="C2361" s="35">
        <v>2023</v>
      </c>
      <c r="D2361" s="35">
        <v>2022</v>
      </c>
      <c r="E2361" s="35">
        <v>25</v>
      </c>
      <c r="F2361" s="35">
        <v>14</v>
      </c>
      <c r="G2361" s="35">
        <v>11</v>
      </c>
      <c r="H2361" s="1" t="s">
        <v>2</v>
      </c>
      <c r="I2361" s="1"/>
      <c r="J2361" s="1"/>
      <c r="K2361" s="1"/>
      <c r="AA2361" s="1"/>
    </row>
    <row r="2362" spans="1:27" x14ac:dyDescent="0.25">
      <c r="A2362" t="s">
        <v>92</v>
      </c>
      <c r="B2362" t="str">
        <f t="shared" si="38"/>
        <v>70</v>
      </c>
      <c r="C2362" s="35">
        <v>2023</v>
      </c>
      <c r="D2362" s="35">
        <v>2023</v>
      </c>
      <c r="E2362" s="36">
        <v>6822</v>
      </c>
      <c r="F2362" s="36">
        <v>3520</v>
      </c>
      <c r="G2362" s="36">
        <v>3302</v>
      </c>
      <c r="H2362" s="1" t="s">
        <v>2</v>
      </c>
      <c r="I2362" s="1"/>
      <c r="J2362" s="1"/>
      <c r="K2362" s="1"/>
      <c r="AA2362" s="1"/>
    </row>
    <row r="2363" spans="1:27" x14ac:dyDescent="0.25">
      <c r="A2363" t="s">
        <v>92</v>
      </c>
      <c r="B2363" t="str">
        <f t="shared" si="38"/>
        <v>70</v>
      </c>
      <c r="C2363" s="35">
        <v>2024</v>
      </c>
      <c r="D2363" s="1" t="s">
        <v>4</v>
      </c>
      <c r="E2363" s="36">
        <v>7099</v>
      </c>
      <c r="F2363" s="36">
        <v>3754</v>
      </c>
      <c r="G2363" s="36">
        <v>3345</v>
      </c>
      <c r="H2363" s="1" t="s">
        <v>2</v>
      </c>
      <c r="I2363" s="1"/>
      <c r="J2363" s="1"/>
      <c r="K2363" s="1"/>
      <c r="AA2363" s="1"/>
    </row>
    <row r="2364" spans="1:27" x14ac:dyDescent="0.25">
      <c r="A2364" t="s">
        <v>92</v>
      </c>
      <c r="B2364" t="str">
        <f t="shared" si="38"/>
        <v>70</v>
      </c>
      <c r="C2364" s="35">
        <v>2024</v>
      </c>
      <c r="D2364" s="35">
        <v>2021</v>
      </c>
      <c r="E2364" s="35">
        <v>1</v>
      </c>
      <c r="F2364" s="1" t="s">
        <v>2</v>
      </c>
      <c r="G2364" s="35">
        <v>1</v>
      </c>
      <c r="H2364" s="1" t="s">
        <v>2</v>
      </c>
      <c r="I2364" s="1"/>
      <c r="J2364" s="1"/>
      <c r="K2364" s="1"/>
      <c r="AA2364" s="1"/>
    </row>
    <row r="2365" spans="1:27" x14ac:dyDescent="0.25">
      <c r="A2365" t="s">
        <v>92</v>
      </c>
      <c r="B2365" t="str">
        <f t="shared" si="38"/>
        <v>70</v>
      </c>
      <c r="C2365" s="35">
        <v>2024</v>
      </c>
      <c r="D2365" s="35">
        <v>2023</v>
      </c>
      <c r="E2365" s="35">
        <v>36</v>
      </c>
      <c r="F2365" s="35">
        <v>19</v>
      </c>
      <c r="G2365" s="35">
        <v>17</v>
      </c>
      <c r="H2365" s="1" t="s">
        <v>2</v>
      </c>
      <c r="I2365" s="1"/>
      <c r="J2365" s="1"/>
      <c r="K2365" s="1"/>
      <c r="AA2365" s="1"/>
    </row>
    <row r="2366" spans="1:27" x14ac:dyDescent="0.25">
      <c r="A2366" t="s">
        <v>92</v>
      </c>
      <c r="B2366" t="str">
        <f t="shared" si="38"/>
        <v>70</v>
      </c>
      <c r="C2366" s="35">
        <v>2024</v>
      </c>
      <c r="D2366" s="35">
        <v>2024</v>
      </c>
      <c r="E2366" s="36">
        <v>7062</v>
      </c>
      <c r="F2366" s="36">
        <v>3735</v>
      </c>
      <c r="G2366" s="36">
        <v>3327</v>
      </c>
      <c r="H2366" s="1" t="s">
        <v>2</v>
      </c>
      <c r="I2366" s="1"/>
      <c r="J2366" s="1"/>
      <c r="K2366" s="1"/>
      <c r="AA2366" s="1"/>
    </row>
    <row r="2367" spans="1:27" x14ac:dyDescent="0.25">
      <c r="A2367" t="s">
        <v>93</v>
      </c>
      <c r="B2367" t="str">
        <f t="shared" si="38"/>
        <v>75</v>
      </c>
      <c r="C2367" s="35">
        <v>1990</v>
      </c>
      <c r="D2367" s="1" t="s">
        <v>4</v>
      </c>
      <c r="E2367" s="36">
        <v>4119</v>
      </c>
      <c r="F2367" s="36">
        <v>1935</v>
      </c>
      <c r="G2367" s="36">
        <v>2184</v>
      </c>
      <c r="H2367" s="1" t="s">
        <v>2</v>
      </c>
      <c r="I2367" s="1"/>
      <c r="J2367" s="1"/>
      <c r="K2367" s="1"/>
      <c r="AA2367" s="1"/>
    </row>
    <row r="2368" spans="1:27" x14ac:dyDescent="0.25">
      <c r="A2368" t="s">
        <v>93</v>
      </c>
      <c r="B2368" t="str">
        <f t="shared" si="38"/>
        <v>75</v>
      </c>
      <c r="C2368" s="35">
        <v>1990</v>
      </c>
      <c r="D2368" s="35">
        <v>1990</v>
      </c>
      <c r="E2368" s="36">
        <v>4116</v>
      </c>
      <c r="F2368" s="36">
        <v>1933</v>
      </c>
      <c r="G2368" s="36">
        <v>2183</v>
      </c>
      <c r="H2368" s="1" t="s">
        <v>2</v>
      </c>
      <c r="I2368" s="1"/>
      <c r="J2368" s="1"/>
      <c r="K2368" s="1"/>
      <c r="AA2368" s="1"/>
    </row>
    <row r="2369" spans="1:27" x14ac:dyDescent="0.25">
      <c r="A2369" t="s">
        <v>93</v>
      </c>
      <c r="B2369" t="str">
        <f t="shared" si="38"/>
        <v>75</v>
      </c>
      <c r="C2369" s="35">
        <v>1990</v>
      </c>
      <c r="D2369" s="1" t="s">
        <v>24</v>
      </c>
      <c r="E2369" s="35">
        <v>3</v>
      </c>
      <c r="F2369" s="35">
        <v>2</v>
      </c>
      <c r="G2369" s="35">
        <v>1</v>
      </c>
      <c r="H2369" s="1" t="s">
        <v>2</v>
      </c>
      <c r="I2369" s="1"/>
      <c r="J2369" s="1"/>
      <c r="K2369" s="1"/>
      <c r="AA2369" s="1"/>
    </row>
    <row r="2370" spans="1:27" x14ac:dyDescent="0.25">
      <c r="A2370" t="s">
        <v>93</v>
      </c>
      <c r="B2370" t="str">
        <f t="shared" si="38"/>
        <v>75</v>
      </c>
      <c r="C2370" s="35">
        <v>1991</v>
      </c>
      <c r="D2370" s="1" t="s">
        <v>4</v>
      </c>
      <c r="E2370" s="36">
        <v>3861</v>
      </c>
      <c r="F2370" s="36">
        <v>1817</v>
      </c>
      <c r="G2370" s="36">
        <v>2044</v>
      </c>
      <c r="H2370" s="1" t="s">
        <v>2</v>
      </c>
      <c r="I2370" s="1"/>
      <c r="J2370" s="1"/>
      <c r="K2370" s="1"/>
      <c r="AA2370" s="1"/>
    </row>
    <row r="2371" spans="1:27" x14ac:dyDescent="0.25">
      <c r="A2371" t="s">
        <v>93</v>
      </c>
      <c r="B2371" t="str">
        <f t="shared" si="38"/>
        <v>75</v>
      </c>
      <c r="C2371" s="35">
        <v>1991</v>
      </c>
      <c r="D2371" s="35">
        <v>1991</v>
      </c>
      <c r="E2371" s="36">
        <v>3860</v>
      </c>
      <c r="F2371" s="36">
        <v>1817</v>
      </c>
      <c r="G2371" s="36">
        <v>2043</v>
      </c>
      <c r="H2371" s="1" t="s">
        <v>2</v>
      </c>
      <c r="I2371" s="1"/>
      <c r="J2371" s="1"/>
      <c r="K2371" s="1"/>
      <c r="AA2371" s="1"/>
    </row>
    <row r="2372" spans="1:27" x14ac:dyDescent="0.25">
      <c r="A2372" t="s">
        <v>93</v>
      </c>
      <c r="B2372" t="str">
        <f t="shared" si="38"/>
        <v>75</v>
      </c>
      <c r="C2372" s="35">
        <v>1991</v>
      </c>
      <c r="D2372" s="1" t="s">
        <v>24</v>
      </c>
      <c r="E2372" s="35">
        <v>1</v>
      </c>
      <c r="F2372" s="1" t="s">
        <v>2</v>
      </c>
      <c r="G2372" s="35">
        <v>1</v>
      </c>
      <c r="H2372" s="1" t="s">
        <v>2</v>
      </c>
      <c r="I2372" s="1"/>
      <c r="J2372" s="1"/>
      <c r="K2372" s="1"/>
      <c r="AA2372" s="1"/>
    </row>
    <row r="2373" spans="1:27" x14ac:dyDescent="0.25">
      <c r="A2373" t="s">
        <v>93</v>
      </c>
      <c r="B2373" t="str">
        <f t="shared" si="38"/>
        <v>75</v>
      </c>
      <c r="C2373" s="35">
        <v>1992</v>
      </c>
      <c r="D2373" s="1" t="s">
        <v>4</v>
      </c>
      <c r="E2373" s="36">
        <v>3895</v>
      </c>
      <c r="F2373" s="36">
        <v>1817</v>
      </c>
      <c r="G2373" s="36">
        <v>2078</v>
      </c>
      <c r="H2373" s="1" t="s">
        <v>2</v>
      </c>
      <c r="I2373" s="1"/>
      <c r="J2373" s="1"/>
      <c r="K2373" s="1"/>
      <c r="AA2373" s="1"/>
    </row>
    <row r="2374" spans="1:27" x14ac:dyDescent="0.25">
      <c r="A2374" t="s">
        <v>93</v>
      </c>
      <c r="B2374" t="str">
        <f t="shared" si="38"/>
        <v>75</v>
      </c>
      <c r="C2374" s="35">
        <v>1992</v>
      </c>
      <c r="D2374" s="35">
        <v>1992</v>
      </c>
      <c r="E2374" s="36">
        <v>3894</v>
      </c>
      <c r="F2374" s="36">
        <v>1816</v>
      </c>
      <c r="G2374" s="36">
        <v>2078</v>
      </c>
      <c r="H2374" s="1" t="s">
        <v>2</v>
      </c>
      <c r="I2374" s="1"/>
      <c r="J2374" s="1"/>
      <c r="K2374" s="1"/>
      <c r="AA2374" s="1"/>
    </row>
    <row r="2375" spans="1:27" x14ac:dyDescent="0.25">
      <c r="A2375" t="s">
        <v>93</v>
      </c>
      <c r="B2375" t="str">
        <f t="shared" ref="B2375:B2438" si="39">IF(A2375="Menores de 1 año",0,LEFT(A2375,2))</f>
        <v>75</v>
      </c>
      <c r="C2375" s="35">
        <v>1992</v>
      </c>
      <c r="D2375" s="1" t="s">
        <v>24</v>
      </c>
      <c r="E2375" s="35">
        <v>1</v>
      </c>
      <c r="F2375" s="35">
        <v>1</v>
      </c>
      <c r="G2375" s="1" t="s">
        <v>2</v>
      </c>
      <c r="H2375" s="1" t="s">
        <v>2</v>
      </c>
      <c r="I2375" s="1"/>
      <c r="J2375" s="1"/>
      <c r="K2375" s="1"/>
      <c r="AA2375" s="1"/>
    </row>
    <row r="2376" spans="1:27" x14ac:dyDescent="0.25">
      <c r="A2376" t="s">
        <v>93</v>
      </c>
      <c r="B2376" t="str">
        <f t="shared" si="39"/>
        <v>75</v>
      </c>
      <c r="C2376" s="35">
        <v>1993</v>
      </c>
      <c r="D2376" s="1" t="s">
        <v>4</v>
      </c>
      <c r="E2376" s="36">
        <v>3851</v>
      </c>
      <c r="F2376" s="36">
        <v>1778</v>
      </c>
      <c r="G2376" s="36">
        <v>2071</v>
      </c>
      <c r="H2376" s="35">
        <v>2</v>
      </c>
      <c r="I2376" s="1"/>
      <c r="J2376" s="1"/>
      <c r="K2376" s="1"/>
      <c r="AA2376" s="1"/>
    </row>
    <row r="2377" spans="1:27" x14ac:dyDescent="0.25">
      <c r="A2377" t="s">
        <v>93</v>
      </c>
      <c r="B2377" t="str">
        <f t="shared" si="39"/>
        <v>75</v>
      </c>
      <c r="C2377" s="35">
        <v>1993</v>
      </c>
      <c r="D2377" s="35">
        <v>1913</v>
      </c>
      <c r="E2377" s="35">
        <v>1</v>
      </c>
      <c r="F2377" s="1" t="s">
        <v>2</v>
      </c>
      <c r="G2377" s="35">
        <v>1</v>
      </c>
      <c r="H2377" s="1" t="s">
        <v>2</v>
      </c>
      <c r="I2377" s="1"/>
      <c r="J2377" s="1"/>
      <c r="K2377" s="1"/>
      <c r="AA2377" s="1"/>
    </row>
    <row r="2378" spans="1:27" x14ac:dyDescent="0.25">
      <c r="A2378" t="s">
        <v>93</v>
      </c>
      <c r="B2378" t="str">
        <f t="shared" si="39"/>
        <v>75</v>
      </c>
      <c r="C2378" s="35">
        <v>1993</v>
      </c>
      <c r="D2378" s="35">
        <v>1933</v>
      </c>
      <c r="E2378" s="35">
        <v>1</v>
      </c>
      <c r="F2378" s="1" t="s">
        <v>2</v>
      </c>
      <c r="G2378" s="35">
        <v>1</v>
      </c>
      <c r="H2378" s="1" t="s">
        <v>2</v>
      </c>
      <c r="I2378" s="1"/>
      <c r="J2378" s="1"/>
      <c r="K2378" s="1"/>
      <c r="AA2378" s="1"/>
    </row>
    <row r="2379" spans="1:27" x14ac:dyDescent="0.25">
      <c r="A2379" t="s">
        <v>93</v>
      </c>
      <c r="B2379" t="str">
        <f t="shared" si="39"/>
        <v>75</v>
      </c>
      <c r="C2379" s="35">
        <v>1993</v>
      </c>
      <c r="D2379" s="35">
        <v>1992</v>
      </c>
      <c r="E2379" s="35">
        <v>18</v>
      </c>
      <c r="F2379" s="35">
        <v>9</v>
      </c>
      <c r="G2379" s="35">
        <v>9</v>
      </c>
      <c r="H2379" s="1" t="s">
        <v>2</v>
      </c>
      <c r="I2379" s="1"/>
      <c r="J2379" s="1"/>
      <c r="K2379" s="1"/>
      <c r="AA2379" s="1"/>
    </row>
    <row r="2380" spans="1:27" x14ac:dyDescent="0.25">
      <c r="A2380" t="s">
        <v>93</v>
      </c>
      <c r="B2380" t="str">
        <f t="shared" si="39"/>
        <v>75</v>
      </c>
      <c r="C2380" s="35">
        <v>1993</v>
      </c>
      <c r="D2380" s="35">
        <v>1993</v>
      </c>
      <c r="E2380" s="36">
        <v>3828</v>
      </c>
      <c r="F2380" s="36">
        <v>1766</v>
      </c>
      <c r="G2380" s="36">
        <v>2060</v>
      </c>
      <c r="H2380" s="35">
        <v>2</v>
      </c>
      <c r="I2380" s="1"/>
      <c r="J2380" s="1"/>
      <c r="K2380" s="1"/>
      <c r="AA2380" s="1"/>
    </row>
    <row r="2381" spans="1:27" x14ac:dyDescent="0.25">
      <c r="A2381" t="s">
        <v>93</v>
      </c>
      <c r="B2381" t="str">
        <f t="shared" si="39"/>
        <v>75</v>
      </c>
      <c r="C2381" s="35">
        <v>1993</v>
      </c>
      <c r="D2381" s="1" t="s">
        <v>24</v>
      </c>
      <c r="E2381" s="35">
        <v>3</v>
      </c>
      <c r="F2381" s="35">
        <v>3</v>
      </c>
      <c r="G2381" s="1" t="s">
        <v>2</v>
      </c>
      <c r="H2381" s="1" t="s">
        <v>2</v>
      </c>
      <c r="I2381" s="1"/>
      <c r="J2381" s="1"/>
      <c r="K2381" s="1"/>
      <c r="AA2381" s="1"/>
    </row>
    <row r="2382" spans="1:27" x14ac:dyDescent="0.25">
      <c r="A2382" t="s">
        <v>93</v>
      </c>
      <c r="B2382" t="str">
        <f t="shared" si="39"/>
        <v>75</v>
      </c>
      <c r="C2382" s="35">
        <v>1994</v>
      </c>
      <c r="D2382" s="1" t="s">
        <v>4</v>
      </c>
      <c r="E2382" s="36">
        <v>3792</v>
      </c>
      <c r="F2382" s="36">
        <v>1703</v>
      </c>
      <c r="G2382" s="36">
        <v>2088</v>
      </c>
      <c r="H2382" s="35">
        <v>1</v>
      </c>
      <c r="I2382" s="1"/>
      <c r="J2382" s="1"/>
      <c r="K2382" s="1"/>
      <c r="AA2382" s="1"/>
    </row>
    <row r="2383" spans="1:27" x14ac:dyDescent="0.25">
      <c r="A2383" t="s">
        <v>93</v>
      </c>
      <c r="B2383" t="str">
        <f t="shared" si="39"/>
        <v>75</v>
      </c>
      <c r="C2383" s="35">
        <v>1994</v>
      </c>
      <c r="D2383" s="35">
        <v>1904</v>
      </c>
      <c r="E2383" s="35">
        <v>1</v>
      </c>
      <c r="F2383" s="35">
        <v>1</v>
      </c>
      <c r="G2383" s="1" t="s">
        <v>2</v>
      </c>
      <c r="H2383" s="1" t="s">
        <v>2</v>
      </c>
      <c r="I2383" s="1"/>
      <c r="J2383" s="1"/>
      <c r="K2383" s="1"/>
      <c r="AA2383" s="1"/>
    </row>
    <row r="2384" spans="1:27" x14ac:dyDescent="0.25">
      <c r="A2384" t="s">
        <v>93</v>
      </c>
      <c r="B2384" t="str">
        <f t="shared" si="39"/>
        <v>75</v>
      </c>
      <c r="C2384" s="35">
        <v>1994</v>
      </c>
      <c r="D2384" s="35">
        <v>1993</v>
      </c>
      <c r="E2384" s="35">
        <v>13</v>
      </c>
      <c r="F2384" s="35">
        <v>6</v>
      </c>
      <c r="G2384" s="35">
        <v>7</v>
      </c>
      <c r="H2384" s="1" t="s">
        <v>2</v>
      </c>
      <c r="I2384" s="1"/>
      <c r="J2384" s="1"/>
      <c r="K2384" s="1"/>
      <c r="AA2384" s="1"/>
    </row>
    <row r="2385" spans="1:27" x14ac:dyDescent="0.25">
      <c r="A2385" t="s">
        <v>93</v>
      </c>
      <c r="B2385" t="str">
        <f t="shared" si="39"/>
        <v>75</v>
      </c>
      <c r="C2385" s="35">
        <v>1994</v>
      </c>
      <c r="D2385" s="35">
        <v>1994</v>
      </c>
      <c r="E2385" s="36">
        <v>3778</v>
      </c>
      <c r="F2385" s="36">
        <v>1696</v>
      </c>
      <c r="G2385" s="36">
        <v>2081</v>
      </c>
      <c r="H2385" s="35">
        <v>1</v>
      </c>
      <c r="I2385" s="1"/>
      <c r="J2385" s="1"/>
      <c r="K2385" s="1"/>
      <c r="AA2385" s="1"/>
    </row>
    <row r="2386" spans="1:27" x14ac:dyDescent="0.25">
      <c r="A2386" t="s">
        <v>93</v>
      </c>
      <c r="B2386" t="str">
        <f t="shared" si="39"/>
        <v>75</v>
      </c>
      <c r="C2386" s="35">
        <v>1995</v>
      </c>
      <c r="D2386" s="1" t="s">
        <v>4</v>
      </c>
      <c r="E2386" s="36">
        <v>4049</v>
      </c>
      <c r="F2386" s="36">
        <v>1910</v>
      </c>
      <c r="G2386" s="36">
        <v>2139</v>
      </c>
      <c r="H2386" s="1" t="s">
        <v>2</v>
      </c>
      <c r="I2386" s="1"/>
      <c r="J2386" s="1"/>
      <c r="K2386" s="1"/>
      <c r="AA2386" s="1"/>
    </row>
    <row r="2387" spans="1:27" x14ac:dyDescent="0.25">
      <c r="A2387" t="s">
        <v>93</v>
      </c>
      <c r="B2387" t="str">
        <f t="shared" si="39"/>
        <v>75</v>
      </c>
      <c r="C2387" s="35">
        <v>1995</v>
      </c>
      <c r="D2387" s="35">
        <v>1925</v>
      </c>
      <c r="E2387" s="35">
        <v>1</v>
      </c>
      <c r="F2387" s="1" t="s">
        <v>2</v>
      </c>
      <c r="G2387" s="35">
        <v>1</v>
      </c>
      <c r="H2387" s="1" t="s">
        <v>2</v>
      </c>
      <c r="I2387" s="1"/>
      <c r="J2387" s="1"/>
      <c r="K2387" s="1"/>
      <c r="AA2387" s="1"/>
    </row>
    <row r="2388" spans="1:27" x14ac:dyDescent="0.25">
      <c r="A2388" t="s">
        <v>93</v>
      </c>
      <c r="B2388" t="str">
        <f t="shared" si="39"/>
        <v>75</v>
      </c>
      <c r="C2388" s="35">
        <v>1995</v>
      </c>
      <c r="D2388" s="35">
        <v>1945</v>
      </c>
      <c r="E2388" s="35">
        <v>1</v>
      </c>
      <c r="F2388" s="35">
        <v>1</v>
      </c>
      <c r="G2388" s="1" t="s">
        <v>2</v>
      </c>
      <c r="H2388" s="1" t="s">
        <v>2</v>
      </c>
      <c r="I2388" s="1"/>
      <c r="J2388" s="1"/>
      <c r="K2388" s="1"/>
      <c r="AA2388" s="1"/>
    </row>
    <row r="2389" spans="1:27" x14ac:dyDescent="0.25">
      <c r="A2389" t="s">
        <v>93</v>
      </c>
      <c r="B2389" t="str">
        <f t="shared" si="39"/>
        <v>75</v>
      </c>
      <c r="C2389" s="35">
        <v>1995</v>
      </c>
      <c r="D2389" s="35">
        <v>1955</v>
      </c>
      <c r="E2389" s="35">
        <v>1</v>
      </c>
      <c r="F2389" s="1" t="s">
        <v>2</v>
      </c>
      <c r="G2389" s="35">
        <v>1</v>
      </c>
      <c r="H2389" s="1" t="s">
        <v>2</v>
      </c>
      <c r="I2389" s="1"/>
      <c r="J2389" s="1"/>
      <c r="K2389" s="1"/>
      <c r="AA2389" s="1"/>
    </row>
    <row r="2390" spans="1:27" x14ac:dyDescent="0.25">
      <c r="A2390" t="s">
        <v>93</v>
      </c>
      <c r="B2390" t="str">
        <f t="shared" si="39"/>
        <v>75</v>
      </c>
      <c r="C2390" s="35">
        <v>1995</v>
      </c>
      <c r="D2390" s="35">
        <v>1994</v>
      </c>
      <c r="E2390" s="35">
        <v>18</v>
      </c>
      <c r="F2390" s="35">
        <v>9</v>
      </c>
      <c r="G2390" s="35">
        <v>9</v>
      </c>
      <c r="H2390" s="1" t="s">
        <v>2</v>
      </c>
      <c r="I2390" s="1"/>
      <c r="J2390" s="1"/>
      <c r="K2390" s="1"/>
      <c r="AA2390" s="1"/>
    </row>
    <row r="2391" spans="1:27" x14ac:dyDescent="0.25">
      <c r="A2391" t="s">
        <v>93</v>
      </c>
      <c r="B2391" t="str">
        <f t="shared" si="39"/>
        <v>75</v>
      </c>
      <c r="C2391" s="35">
        <v>1995</v>
      </c>
      <c r="D2391" s="35">
        <v>1995</v>
      </c>
      <c r="E2391" s="36">
        <v>4028</v>
      </c>
      <c r="F2391" s="36">
        <v>1900</v>
      </c>
      <c r="G2391" s="36">
        <v>2128</v>
      </c>
      <c r="H2391" s="1" t="s">
        <v>2</v>
      </c>
      <c r="I2391" s="1"/>
      <c r="J2391" s="1"/>
      <c r="K2391" s="1"/>
      <c r="AA2391" s="1"/>
    </row>
    <row r="2392" spans="1:27" x14ac:dyDescent="0.25">
      <c r="A2392" t="s">
        <v>93</v>
      </c>
      <c r="B2392" t="str">
        <f t="shared" si="39"/>
        <v>75</v>
      </c>
      <c r="C2392" s="35">
        <v>1996</v>
      </c>
      <c r="D2392" s="1" t="s">
        <v>4</v>
      </c>
      <c r="E2392" s="36">
        <v>4381</v>
      </c>
      <c r="F2392" s="36">
        <v>2095</v>
      </c>
      <c r="G2392" s="36">
        <v>2286</v>
      </c>
      <c r="H2392" s="1" t="s">
        <v>2</v>
      </c>
      <c r="I2392" s="1"/>
      <c r="J2392" s="1"/>
      <c r="K2392" s="1"/>
      <c r="AA2392" s="1"/>
    </row>
    <row r="2393" spans="1:27" x14ac:dyDescent="0.25">
      <c r="A2393" t="s">
        <v>93</v>
      </c>
      <c r="B2393" t="str">
        <f t="shared" si="39"/>
        <v>75</v>
      </c>
      <c r="C2393" s="35">
        <v>1996</v>
      </c>
      <c r="D2393" s="35">
        <v>1916</v>
      </c>
      <c r="E2393" s="35">
        <v>1</v>
      </c>
      <c r="F2393" s="1" t="s">
        <v>2</v>
      </c>
      <c r="G2393" s="35">
        <v>1</v>
      </c>
      <c r="H2393" s="1" t="s">
        <v>2</v>
      </c>
      <c r="I2393" s="1"/>
      <c r="J2393" s="1"/>
      <c r="K2393" s="1"/>
      <c r="AA2393" s="1"/>
    </row>
    <row r="2394" spans="1:27" x14ac:dyDescent="0.25">
      <c r="A2394" t="s">
        <v>93</v>
      </c>
      <c r="B2394" t="str">
        <f t="shared" si="39"/>
        <v>75</v>
      </c>
      <c r="C2394" s="35">
        <v>1996</v>
      </c>
      <c r="D2394" s="35">
        <v>1990</v>
      </c>
      <c r="E2394" s="35">
        <v>1</v>
      </c>
      <c r="F2394" s="35">
        <v>1</v>
      </c>
      <c r="G2394" s="1" t="s">
        <v>2</v>
      </c>
      <c r="H2394" s="1" t="s">
        <v>2</v>
      </c>
      <c r="I2394" s="1"/>
      <c r="J2394" s="1"/>
      <c r="K2394" s="1"/>
      <c r="AA2394" s="1"/>
    </row>
    <row r="2395" spans="1:27" x14ac:dyDescent="0.25">
      <c r="A2395" t="s">
        <v>93</v>
      </c>
      <c r="B2395" t="str">
        <f t="shared" si="39"/>
        <v>75</v>
      </c>
      <c r="C2395" s="35">
        <v>1996</v>
      </c>
      <c r="D2395" s="35">
        <v>1995</v>
      </c>
      <c r="E2395" s="35">
        <v>22</v>
      </c>
      <c r="F2395" s="35">
        <v>16</v>
      </c>
      <c r="G2395" s="35">
        <v>6</v>
      </c>
      <c r="H2395" s="1" t="s">
        <v>2</v>
      </c>
      <c r="I2395" s="1"/>
      <c r="J2395" s="1"/>
      <c r="K2395" s="1"/>
      <c r="AA2395" s="1"/>
    </row>
    <row r="2396" spans="1:27" x14ac:dyDescent="0.25">
      <c r="A2396" t="s">
        <v>93</v>
      </c>
      <c r="B2396" t="str">
        <f t="shared" si="39"/>
        <v>75</v>
      </c>
      <c r="C2396" s="35">
        <v>1996</v>
      </c>
      <c r="D2396" s="35">
        <v>1996</v>
      </c>
      <c r="E2396" s="36">
        <v>4357</v>
      </c>
      <c r="F2396" s="36">
        <v>2078</v>
      </c>
      <c r="G2396" s="36">
        <v>2279</v>
      </c>
      <c r="H2396" s="1" t="s">
        <v>2</v>
      </c>
      <c r="I2396" s="1"/>
      <c r="J2396" s="1"/>
      <c r="K2396" s="1"/>
      <c r="AA2396" s="1"/>
    </row>
    <row r="2397" spans="1:27" x14ac:dyDescent="0.25">
      <c r="A2397" t="s">
        <v>93</v>
      </c>
      <c r="B2397" t="str">
        <f t="shared" si="39"/>
        <v>75</v>
      </c>
      <c r="C2397" s="35">
        <v>1997</v>
      </c>
      <c r="D2397" s="1" t="s">
        <v>4</v>
      </c>
      <c r="E2397" s="36">
        <v>4583</v>
      </c>
      <c r="F2397" s="36">
        <v>2150</v>
      </c>
      <c r="G2397" s="36">
        <v>2433</v>
      </c>
      <c r="H2397" s="1" t="s">
        <v>2</v>
      </c>
      <c r="I2397" s="1"/>
      <c r="J2397" s="1"/>
      <c r="K2397" s="1"/>
      <c r="AA2397" s="1"/>
    </row>
    <row r="2398" spans="1:27" x14ac:dyDescent="0.25">
      <c r="A2398" t="s">
        <v>93</v>
      </c>
      <c r="B2398" t="str">
        <f t="shared" si="39"/>
        <v>75</v>
      </c>
      <c r="C2398" s="35">
        <v>1997</v>
      </c>
      <c r="D2398" s="35">
        <v>1991</v>
      </c>
      <c r="E2398" s="35">
        <v>1</v>
      </c>
      <c r="F2398" s="1" t="s">
        <v>2</v>
      </c>
      <c r="G2398" s="35">
        <v>1</v>
      </c>
      <c r="H2398" s="1" t="s">
        <v>2</v>
      </c>
      <c r="I2398" s="1"/>
      <c r="J2398" s="1"/>
      <c r="K2398" s="1"/>
      <c r="AA2398" s="1"/>
    </row>
    <row r="2399" spans="1:27" x14ac:dyDescent="0.25">
      <c r="A2399" t="s">
        <v>93</v>
      </c>
      <c r="B2399" t="str">
        <f t="shared" si="39"/>
        <v>75</v>
      </c>
      <c r="C2399" s="35">
        <v>1997</v>
      </c>
      <c r="D2399" s="35">
        <v>1993</v>
      </c>
      <c r="E2399" s="35">
        <v>2</v>
      </c>
      <c r="F2399" s="35">
        <v>1</v>
      </c>
      <c r="G2399" s="35">
        <v>1</v>
      </c>
      <c r="H2399" s="1" t="s">
        <v>2</v>
      </c>
      <c r="I2399" s="1"/>
      <c r="J2399" s="1"/>
      <c r="K2399" s="1"/>
      <c r="AA2399" s="1"/>
    </row>
    <row r="2400" spans="1:27" x14ac:dyDescent="0.25">
      <c r="A2400" t="s">
        <v>93</v>
      </c>
      <c r="B2400" t="str">
        <f t="shared" si="39"/>
        <v>75</v>
      </c>
      <c r="C2400" s="35">
        <v>1997</v>
      </c>
      <c r="D2400" s="35">
        <v>1996</v>
      </c>
      <c r="E2400" s="35">
        <v>10</v>
      </c>
      <c r="F2400" s="35">
        <v>5</v>
      </c>
      <c r="G2400" s="35">
        <v>5</v>
      </c>
      <c r="H2400" s="1" t="s">
        <v>2</v>
      </c>
      <c r="I2400" s="1"/>
      <c r="J2400" s="1"/>
      <c r="K2400" s="1"/>
      <c r="AA2400" s="1"/>
    </row>
    <row r="2401" spans="1:27" x14ac:dyDescent="0.25">
      <c r="A2401" t="s">
        <v>93</v>
      </c>
      <c r="B2401" t="str">
        <f t="shared" si="39"/>
        <v>75</v>
      </c>
      <c r="C2401" s="35">
        <v>1997</v>
      </c>
      <c r="D2401" s="35">
        <v>1997</v>
      </c>
      <c r="E2401" s="36">
        <v>4570</v>
      </c>
      <c r="F2401" s="36">
        <v>2144</v>
      </c>
      <c r="G2401" s="36">
        <v>2426</v>
      </c>
      <c r="H2401" s="1" t="s">
        <v>2</v>
      </c>
      <c r="I2401" s="1"/>
      <c r="J2401" s="1"/>
      <c r="K2401" s="1"/>
      <c r="AA2401" s="1"/>
    </row>
    <row r="2402" spans="1:27" x14ac:dyDescent="0.25">
      <c r="A2402" t="s">
        <v>93</v>
      </c>
      <c r="B2402" t="str">
        <f t="shared" si="39"/>
        <v>75</v>
      </c>
      <c r="C2402" s="35">
        <v>1998</v>
      </c>
      <c r="D2402" s="1" t="s">
        <v>4</v>
      </c>
      <c r="E2402" s="36">
        <v>4766</v>
      </c>
      <c r="F2402" s="36">
        <v>2308</v>
      </c>
      <c r="G2402" s="36">
        <v>2458</v>
      </c>
      <c r="H2402" s="1" t="s">
        <v>2</v>
      </c>
      <c r="I2402" s="1"/>
      <c r="J2402" s="1"/>
      <c r="K2402" s="1"/>
      <c r="AA2402" s="1"/>
    </row>
    <row r="2403" spans="1:27" x14ac:dyDescent="0.25">
      <c r="A2403" t="s">
        <v>93</v>
      </c>
      <c r="B2403" t="str">
        <f t="shared" si="39"/>
        <v>75</v>
      </c>
      <c r="C2403" s="35">
        <v>1998</v>
      </c>
      <c r="D2403" s="35">
        <v>1900</v>
      </c>
      <c r="E2403" s="35">
        <v>1</v>
      </c>
      <c r="F2403" s="35">
        <v>1</v>
      </c>
      <c r="G2403" s="1" t="s">
        <v>2</v>
      </c>
      <c r="H2403" s="1" t="s">
        <v>2</v>
      </c>
      <c r="I2403" s="1"/>
      <c r="J2403" s="1"/>
      <c r="K2403" s="1"/>
      <c r="AA2403" s="1"/>
    </row>
    <row r="2404" spans="1:27" x14ac:dyDescent="0.25">
      <c r="A2404" t="s">
        <v>93</v>
      </c>
      <c r="B2404" t="str">
        <f t="shared" si="39"/>
        <v>75</v>
      </c>
      <c r="C2404" s="35">
        <v>1998</v>
      </c>
      <c r="D2404" s="35">
        <v>1918</v>
      </c>
      <c r="E2404" s="35">
        <v>1</v>
      </c>
      <c r="F2404" s="35">
        <v>1</v>
      </c>
      <c r="G2404" s="1" t="s">
        <v>2</v>
      </c>
      <c r="H2404" s="1" t="s">
        <v>2</v>
      </c>
      <c r="I2404" s="1"/>
      <c r="J2404" s="1"/>
      <c r="K2404" s="1"/>
      <c r="AA2404" s="1"/>
    </row>
    <row r="2405" spans="1:27" x14ac:dyDescent="0.25">
      <c r="A2405" t="s">
        <v>93</v>
      </c>
      <c r="B2405" t="str">
        <f t="shared" si="39"/>
        <v>75</v>
      </c>
      <c r="C2405" s="35">
        <v>1998</v>
      </c>
      <c r="D2405" s="35">
        <v>1948</v>
      </c>
      <c r="E2405" s="35">
        <v>1</v>
      </c>
      <c r="F2405" s="1" t="s">
        <v>2</v>
      </c>
      <c r="G2405" s="35">
        <v>1</v>
      </c>
      <c r="H2405" s="1" t="s">
        <v>2</v>
      </c>
      <c r="I2405" s="1"/>
      <c r="J2405" s="1"/>
      <c r="K2405" s="1"/>
      <c r="AA2405" s="1"/>
    </row>
    <row r="2406" spans="1:27" x14ac:dyDescent="0.25">
      <c r="A2406" t="s">
        <v>93</v>
      </c>
      <c r="B2406" t="str">
        <f t="shared" si="39"/>
        <v>75</v>
      </c>
      <c r="C2406" s="35">
        <v>1998</v>
      </c>
      <c r="D2406" s="35">
        <v>1980</v>
      </c>
      <c r="E2406" s="35">
        <v>1</v>
      </c>
      <c r="F2406" s="35">
        <v>1</v>
      </c>
      <c r="G2406" s="1" t="s">
        <v>2</v>
      </c>
      <c r="H2406" s="1" t="s">
        <v>2</v>
      </c>
      <c r="I2406" s="1"/>
      <c r="J2406" s="1"/>
      <c r="K2406" s="1"/>
      <c r="AA2406" s="1"/>
    </row>
    <row r="2407" spans="1:27" x14ac:dyDescent="0.25">
      <c r="A2407" t="s">
        <v>93</v>
      </c>
      <c r="B2407" t="str">
        <f t="shared" si="39"/>
        <v>75</v>
      </c>
      <c r="C2407" s="35">
        <v>1998</v>
      </c>
      <c r="D2407" s="35">
        <v>1991</v>
      </c>
      <c r="E2407" s="35">
        <v>1</v>
      </c>
      <c r="F2407" s="35">
        <v>1</v>
      </c>
      <c r="G2407" s="1" t="s">
        <v>2</v>
      </c>
      <c r="H2407" s="1" t="s">
        <v>2</v>
      </c>
      <c r="I2407" s="1"/>
      <c r="J2407" s="1"/>
      <c r="K2407" s="1"/>
      <c r="AA2407" s="1"/>
    </row>
    <row r="2408" spans="1:27" x14ac:dyDescent="0.25">
      <c r="A2408" t="s">
        <v>93</v>
      </c>
      <c r="B2408" t="str">
        <f t="shared" si="39"/>
        <v>75</v>
      </c>
      <c r="C2408" s="35">
        <v>1998</v>
      </c>
      <c r="D2408" s="35">
        <v>1995</v>
      </c>
      <c r="E2408" s="35">
        <v>1</v>
      </c>
      <c r="F2408" s="1" t="s">
        <v>2</v>
      </c>
      <c r="G2408" s="35">
        <v>1</v>
      </c>
      <c r="H2408" s="1" t="s">
        <v>2</v>
      </c>
      <c r="I2408" s="1"/>
      <c r="J2408" s="1"/>
      <c r="K2408" s="1"/>
      <c r="AA2408" s="1"/>
    </row>
    <row r="2409" spans="1:27" x14ac:dyDescent="0.25">
      <c r="A2409" t="s">
        <v>93</v>
      </c>
      <c r="B2409" t="str">
        <f t="shared" si="39"/>
        <v>75</v>
      </c>
      <c r="C2409" s="35">
        <v>1998</v>
      </c>
      <c r="D2409" s="35">
        <v>1996</v>
      </c>
      <c r="E2409" s="35">
        <v>1</v>
      </c>
      <c r="F2409" s="35">
        <v>1</v>
      </c>
      <c r="G2409" s="1" t="s">
        <v>2</v>
      </c>
      <c r="H2409" s="1" t="s">
        <v>2</v>
      </c>
      <c r="I2409" s="1"/>
      <c r="J2409" s="1"/>
      <c r="K2409" s="1"/>
      <c r="AA2409" s="1"/>
    </row>
    <row r="2410" spans="1:27" x14ac:dyDescent="0.25">
      <c r="A2410" t="s">
        <v>93</v>
      </c>
      <c r="B2410" t="str">
        <f t="shared" si="39"/>
        <v>75</v>
      </c>
      <c r="C2410" s="35">
        <v>1998</v>
      </c>
      <c r="D2410" s="35">
        <v>1997</v>
      </c>
      <c r="E2410" s="35">
        <v>27</v>
      </c>
      <c r="F2410" s="35">
        <v>14</v>
      </c>
      <c r="G2410" s="35">
        <v>13</v>
      </c>
      <c r="H2410" s="1" t="s">
        <v>2</v>
      </c>
      <c r="I2410" s="1"/>
      <c r="J2410" s="1"/>
      <c r="K2410" s="1"/>
      <c r="AA2410" s="1"/>
    </row>
    <row r="2411" spans="1:27" x14ac:dyDescent="0.25">
      <c r="A2411" t="s">
        <v>93</v>
      </c>
      <c r="B2411" t="str">
        <f t="shared" si="39"/>
        <v>75</v>
      </c>
      <c r="C2411" s="35">
        <v>1998</v>
      </c>
      <c r="D2411" s="35">
        <v>1998</v>
      </c>
      <c r="E2411" s="36">
        <v>4732</v>
      </c>
      <c r="F2411" s="36">
        <v>2289</v>
      </c>
      <c r="G2411" s="36">
        <v>2443</v>
      </c>
      <c r="H2411" s="1" t="s">
        <v>2</v>
      </c>
      <c r="I2411" s="1"/>
      <c r="J2411" s="1"/>
      <c r="K2411" s="1"/>
      <c r="AA2411" s="1"/>
    </row>
    <row r="2412" spans="1:27" x14ac:dyDescent="0.25">
      <c r="A2412" t="s">
        <v>93</v>
      </c>
      <c r="B2412" t="str">
        <f t="shared" si="39"/>
        <v>75</v>
      </c>
      <c r="C2412" s="35">
        <v>1999</v>
      </c>
      <c r="D2412" s="1" t="s">
        <v>4</v>
      </c>
      <c r="E2412" s="36">
        <v>5056</v>
      </c>
      <c r="F2412" s="36">
        <v>2452</v>
      </c>
      <c r="G2412" s="36">
        <v>2604</v>
      </c>
      <c r="H2412" s="1" t="s">
        <v>2</v>
      </c>
      <c r="I2412" s="1"/>
      <c r="J2412" s="1"/>
      <c r="K2412" s="1"/>
      <c r="AA2412" s="1"/>
    </row>
    <row r="2413" spans="1:27" x14ac:dyDescent="0.25">
      <c r="A2413" t="s">
        <v>93</v>
      </c>
      <c r="B2413" t="str">
        <f t="shared" si="39"/>
        <v>75</v>
      </c>
      <c r="C2413" s="35">
        <v>1999</v>
      </c>
      <c r="D2413" s="35">
        <v>1994</v>
      </c>
      <c r="E2413" s="35">
        <v>1</v>
      </c>
      <c r="F2413" s="35">
        <v>1</v>
      </c>
      <c r="G2413" s="1" t="s">
        <v>2</v>
      </c>
      <c r="H2413" s="1" t="s">
        <v>2</v>
      </c>
      <c r="I2413" s="1"/>
      <c r="J2413" s="1"/>
      <c r="K2413" s="1"/>
      <c r="AA2413" s="1"/>
    </row>
    <row r="2414" spans="1:27" x14ac:dyDescent="0.25">
      <c r="A2414" t="s">
        <v>93</v>
      </c>
      <c r="B2414" t="str">
        <f t="shared" si="39"/>
        <v>75</v>
      </c>
      <c r="C2414" s="35">
        <v>1999</v>
      </c>
      <c r="D2414" s="35">
        <v>1998</v>
      </c>
      <c r="E2414" s="35">
        <v>26</v>
      </c>
      <c r="F2414" s="35">
        <v>12</v>
      </c>
      <c r="G2414" s="35">
        <v>14</v>
      </c>
      <c r="H2414" s="1" t="s">
        <v>2</v>
      </c>
      <c r="I2414" s="1"/>
      <c r="J2414" s="1"/>
      <c r="K2414" s="1"/>
      <c r="AA2414" s="1"/>
    </row>
    <row r="2415" spans="1:27" x14ac:dyDescent="0.25">
      <c r="A2415" t="s">
        <v>93</v>
      </c>
      <c r="B2415" t="str">
        <f t="shared" si="39"/>
        <v>75</v>
      </c>
      <c r="C2415" s="35">
        <v>1999</v>
      </c>
      <c r="D2415" s="35">
        <v>1999</v>
      </c>
      <c r="E2415" s="36">
        <v>5029</v>
      </c>
      <c r="F2415" s="36">
        <v>2439</v>
      </c>
      <c r="G2415" s="36">
        <v>2590</v>
      </c>
      <c r="H2415" s="1" t="s">
        <v>2</v>
      </c>
      <c r="I2415" s="1"/>
      <c r="J2415" s="1"/>
      <c r="K2415" s="1"/>
      <c r="AA2415" s="1"/>
    </row>
    <row r="2416" spans="1:27" x14ac:dyDescent="0.25">
      <c r="A2416" t="s">
        <v>93</v>
      </c>
      <c r="B2416" t="str">
        <f t="shared" si="39"/>
        <v>75</v>
      </c>
      <c r="C2416" s="35">
        <v>2000</v>
      </c>
      <c r="D2416" s="1" t="s">
        <v>4</v>
      </c>
      <c r="E2416" s="36">
        <v>4991</v>
      </c>
      <c r="F2416" s="36">
        <v>2355</v>
      </c>
      <c r="G2416" s="36">
        <v>2636</v>
      </c>
      <c r="H2416" s="1" t="s">
        <v>2</v>
      </c>
      <c r="I2416" s="1"/>
      <c r="J2416" s="1"/>
      <c r="K2416" s="1"/>
      <c r="AA2416" s="1"/>
    </row>
    <row r="2417" spans="1:27" x14ac:dyDescent="0.25">
      <c r="A2417" t="s">
        <v>93</v>
      </c>
      <c r="B2417" t="str">
        <f t="shared" si="39"/>
        <v>75</v>
      </c>
      <c r="C2417" s="35">
        <v>2000</v>
      </c>
      <c r="D2417" s="35">
        <v>1998</v>
      </c>
      <c r="E2417" s="35">
        <v>1</v>
      </c>
      <c r="F2417" s="1" t="s">
        <v>2</v>
      </c>
      <c r="G2417" s="35">
        <v>1</v>
      </c>
      <c r="H2417" s="1" t="s">
        <v>2</v>
      </c>
      <c r="I2417" s="1"/>
      <c r="J2417" s="1"/>
      <c r="K2417" s="1"/>
      <c r="AA2417" s="1"/>
    </row>
    <row r="2418" spans="1:27" x14ac:dyDescent="0.25">
      <c r="A2418" t="s">
        <v>93</v>
      </c>
      <c r="B2418" t="str">
        <f t="shared" si="39"/>
        <v>75</v>
      </c>
      <c r="C2418" s="35">
        <v>2000</v>
      </c>
      <c r="D2418" s="35">
        <v>1999</v>
      </c>
      <c r="E2418" s="35">
        <v>21</v>
      </c>
      <c r="F2418" s="35">
        <v>13</v>
      </c>
      <c r="G2418" s="35">
        <v>8</v>
      </c>
      <c r="H2418" s="1" t="s">
        <v>2</v>
      </c>
      <c r="I2418" s="1"/>
      <c r="J2418" s="1"/>
      <c r="K2418" s="1"/>
      <c r="AA2418" s="1"/>
    </row>
    <row r="2419" spans="1:27" x14ac:dyDescent="0.25">
      <c r="A2419" t="s">
        <v>93</v>
      </c>
      <c r="B2419" t="str">
        <f t="shared" si="39"/>
        <v>75</v>
      </c>
      <c r="C2419" s="35">
        <v>2000</v>
      </c>
      <c r="D2419" s="35">
        <v>2000</v>
      </c>
      <c r="E2419" s="36">
        <v>4969</v>
      </c>
      <c r="F2419" s="36">
        <v>2342</v>
      </c>
      <c r="G2419" s="36">
        <v>2627</v>
      </c>
      <c r="H2419" s="1" t="s">
        <v>2</v>
      </c>
      <c r="I2419" s="1"/>
      <c r="J2419" s="1"/>
      <c r="K2419" s="1"/>
      <c r="AA2419" s="1"/>
    </row>
    <row r="2420" spans="1:27" x14ac:dyDescent="0.25">
      <c r="A2420" t="s">
        <v>93</v>
      </c>
      <c r="B2420" t="str">
        <f t="shared" si="39"/>
        <v>75</v>
      </c>
      <c r="C2420" s="35">
        <v>2001</v>
      </c>
      <c r="D2420" s="1" t="s">
        <v>4</v>
      </c>
      <c r="E2420" s="36">
        <v>5095</v>
      </c>
      <c r="F2420" s="36">
        <v>2441</v>
      </c>
      <c r="G2420" s="36">
        <v>2654</v>
      </c>
      <c r="H2420" s="1" t="s">
        <v>2</v>
      </c>
      <c r="I2420" s="1"/>
      <c r="J2420" s="1"/>
      <c r="K2420" s="1"/>
      <c r="AA2420" s="1"/>
    </row>
    <row r="2421" spans="1:27" x14ac:dyDescent="0.25">
      <c r="A2421" t="s">
        <v>93</v>
      </c>
      <c r="B2421" t="str">
        <f t="shared" si="39"/>
        <v>75</v>
      </c>
      <c r="C2421" s="35">
        <v>2001</v>
      </c>
      <c r="D2421" s="35">
        <v>2000</v>
      </c>
      <c r="E2421" s="35">
        <v>14</v>
      </c>
      <c r="F2421" s="35">
        <v>7</v>
      </c>
      <c r="G2421" s="35">
        <v>7</v>
      </c>
      <c r="H2421" s="1" t="s">
        <v>2</v>
      </c>
      <c r="I2421" s="1"/>
      <c r="J2421" s="1"/>
      <c r="K2421" s="1"/>
      <c r="AA2421" s="1"/>
    </row>
    <row r="2422" spans="1:27" x14ac:dyDescent="0.25">
      <c r="A2422" t="s">
        <v>93</v>
      </c>
      <c r="B2422" t="str">
        <f t="shared" si="39"/>
        <v>75</v>
      </c>
      <c r="C2422" s="35">
        <v>2001</v>
      </c>
      <c r="D2422" s="35">
        <v>2001</v>
      </c>
      <c r="E2422" s="36">
        <v>5081</v>
      </c>
      <c r="F2422" s="36">
        <v>2434</v>
      </c>
      <c r="G2422" s="36">
        <v>2647</v>
      </c>
      <c r="H2422" s="1" t="s">
        <v>2</v>
      </c>
      <c r="I2422" s="1"/>
      <c r="J2422" s="1"/>
      <c r="K2422" s="1"/>
      <c r="AA2422" s="1"/>
    </row>
    <row r="2423" spans="1:27" x14ac:dyDescent="0.25">
      <c r="A2423" t="s">
        <v>93</v>
      </c>
      <c r="B2423" t="str">
        <f t="shared" si="39"/>
        <v>75</v>
      </c>
      <c r="C2423" s="35">
        <v>2002</v>
      </c>
      <c r="D2423" s="1" t="s">
        <v>4</v>
      </c>
      <c r="E2423" s="36">
        <v>5155</v>
      </c>
      <c r="F2423" s="36">
        <v>2454</v>
      </c>
      <c r="G2423" s="36">
        <v>2701</v>
      </c>
      <c r="H2423" s="1" t="s">
        <v>2</v>
      </c>
      <c r="I2423" s="1"/>
      <c r="J2423" s="1"/>
      <c r="K2423" s="1"/>
      <c r="AA2423" s="1"/>
    </row>
    <row r="2424" spans="1:27" x14ac:dyDescent="0.25">
      <c r="A2424" t="s">
        <v>93</v>
      </c>
      <c r="B2424" t="str">
        <f t="shared" si="39"/>
        <v>75</v>
      </c>
      <c r="C2424" s="35">
        <v>2002</v>
      </c>
      <c r="D2424" s="35">
        <v>1927</v>
      </c>
      <c r="E2424" s="35">
        <v>1</v>
      </c>
      <c r="F2424" s="35">
        <v>1</v>
      </c>
      <c r="G2424" s="1" t="s">
        <v>2</v>
      </c>
      <c r="H2424" s="1" t="s">
        <v>2</v>
      </c>
      <c r="I2424" s="1"/>
      <c r="J2424" s="1"/>
      <c r="K2424" s="1"/>
      <c r="AA2424" s="1"/>
    </row>
    <row r="2425" spans="1:27" x14ac:dyDescent="0.25">
      <c r="A2425" t="s">
        <v>93</v>
      </c>
      <c r="B2425" t="str">
        <f t="shared" si="39"/>
        <v>75</v>
      </c>
      <c r="C2425" s="35">
        <v>2002</v>
      </c>
      <c r="D2425" s="35">
        <v>2001</v>
      </c>
      <c r="E2425" s="35">
        <v>23</v>
      </c>
      <c r="F2425" s="35">
        <v>12</v>
      </c>
      <c r="G2425" s="35">
        <v>11</v>
      </c>
      <c r="H2425" s="1" t="s">
        <v>2</v>
      </c>
      <c r="I2425" s="1"/>
      <c r="J2425" s="1"/>
      <c r="K2425" s="1"/>
      <c r="AA2425" s="1"/>
    </row>
    <row r="2426" spans="1:27" x14ac:dyDescent="0.25">
      <c r="A2426" t="s">
        <v>93</v>
      </c>
      <c r="B2426" t="str">
        <f t="shared" si="39"/>
        <v>75</v>
      </c>
      <c r="C2426" s="35">
        <v>2002</v>
      </c>
      <c r="D2426" s="35">
        <v>2002</v>
      </c>
      <c r="E2426" s="36">
        <v>5131</v>
      </c>
      <c r="F2426" s="36">
        <v>2441</v>
      </c>
      <c r="G2426" s="36">
        <v>2690</v>
      </c>
      <c r="H2426" s="1" t="s">
        <v>2</v>
      </c>
      <c r="I2426" s="1"/>
      <c r="J2426" s="1"/>
      <c r="K2426" s="1"/>
      <c r="AA2426" s="1"/>
    </row>
    <row r="2427" spans="1:27" x14ac:dyDescent="0.25">
      <c r="A2427" t="s">
        <v>93</v>
      </c>
      <c r="B2427" t="str">
        <f t="shared" si="39"/>
        <v>75</v>
      </c>
      <c r="C2427" s="35">
        <v>2003</v>
      </c>
      <c r="D2427" s="1" t="s">
        <v>4</v>
      </c>
      <c r="E2427" s="36">
        <v>5254</v>
      </c>
      <c r="F2427" s="36">
        <v>2442</v>
      </c>
      <c r="G2427" s="36">
        <v>2812</v>
      </c>
      <c r="H2427" s="1" t="s">
        <v>2</v>
      </c>
      <c r="I2427" s="1"/>
      <c r="J2427" s="1"/>
      <c r="K2427" s="1"/>
      <c r="AA2427" s="1"/>
    </row>
    <row r="2428" spans="1:27" x14ac:dyDescent="0.25">
      <c r="A2428" t="s">
        <v>93</v>
      </c>
      <c r="B2428" t="str">
        <f t="shared" si="39"/>
        <v>75</v>
      </c>
      <c r="C2428" s="35">
        <v>2003</v>
      </c>
      <c r="D2428" s="35">
        <v>2002</v>
      </c>
      <c r="E2428" s="35">
        <v>23</v>
      </c>
      <c r="F2428" s="35">
        <v>14</v>
      </c>
      <c r="G2428" s="35">
        <v>9</v>
      </c>
      <c r="H2428" s="1" t="s">
        <v>2</v>
      </c>
      <c r="I2428" s="1"/>
      <c r="J2428" s="1"/>
      <c r="K2428" s="1"/>
      <c r="AA2428" s="1"/>
    </row>
    <row r="2429" spans="1:27" x14ac:dyDescent="0.25">
      <c r="A2429" t="s">
        <v>93</v>
      </c>
      <c r="B2429" t="str">
        <f t="shared" si="39"/>
        <v>75</v>
      </c>
      <c r="C2429" s="35">
        <v>2003</v>
      </c>
      <c r="D2429" s="35">
        <v>2003</v>
      </c>
      <c r="E2429" s="36">
        <v>5231</v>
      </c>
      <c r="F2429" s="36">
        <v>2428</v>
      </c>
      <c r="G2429" s="36">
        <v>2803</v>
      </c>
      <c r="H2429" s="1" t="s">
        <v>2</v>
      </c>
      <c r="I2429" s="1"/>
      <c r="J2429" s="1"/>
      <c r="K2429" s="1"/>
      <c r="AA2429" s="1"/>
    </row>
    <row r="2430" spans="1:27" x14ac:dyDescent="0.25">
      <c r="A2430" t="s">
        <v>93</v>
      </c>
      <c r="B2430" t="str">
        <f t="shared" si="39"/>
        <v>75</v>
      </c>
      <c r="C2430" s="35">
        <v>2004</v>
      </c>
      <c r="D2430" s="1" t="s">
        <v>4</v>
      </c>
      <c r="E2430" s="36">
        <v>5525</v>
      </c>
      <c r="F2430" s="36">
        <v>2522</v>
      </c>
      <c r="G2430" s="36">
        <v>3003</v>
      </c>
      <c r="H2430" s="1" t="s">
        <v>2</v>
      </c>
      <c r="I2430" s="1"/>
      <c r="J2430" s="1"/>
      <c r="K2430" s="1"/>
      <c r="AA2430" s="1"/>
    </row>
    <row r="2431" spans="1:27" x14ac:dyDescent="0.25">
      <c r="A2431" t="s">
        <v>93</v>
      </c>
      <c r="B2431" t="str">
        <f t="shared" si="39"/>
        <v>75</v>
      </c>
      <c r="C2431" s="35">
        <v>2004</v>
      </c>
      <c r="D2431" s="35">
        <v>2002</v>
      </c>
      <c r="E2431" s="35">
        <v>1</v>
      </c>
      <c r="F2431" s="35">
        <v>1</v>
      </c>
      <c r="G2431" s="1" t="s">
        <v>2</v>
      </c>
      <c r="H2431" s="1" t="s">
        <v>2</v>
      </c>
      <c r="I2431" s="1"/>
      <c r="J2431" s="1"/>
      <c r="K2431" s="1"/>
      <c r="AA2431" s="1"/>
    </row>
    <row r="2432" spans="1:27" x14ac:dyDescent="0.25">
      <c r="A2432" t="s">
        <v>93</v>
      </c>
      <c r="B2432" t="str">
        <f t="shared" si="39"/>
        <v>75</v>
      </c>
      <c r="C2432" s="35">
        <v>2004</v>
      </c>
      <c r="D2432" s="35">
        <v>2003</v>
      </c>
      <c r="E2432" s="35">
        <v>23</v>
      </c>
      <c r="F2432" s="35">
        <v>13</v>
      </c>
      <c r="G2432" s="35">
        <v>10</v>
      </c>
      <c r="H2432" s="1" t="s">
        <v>2</v>
      </c>
      <c r="I2432" s="1"/>
      <c r="J2432" s="1"/>
      <c r="K2432" s="1"/>
      <c r="AA2432" s="1"/>
    </row>
    <row r="2433" spans="1:27" x14ac:dyDescent="0.25">
      <c r="A2433" t="s">
        <v>93</v>
      </c>
      <c r="B2433" t="str">
        <f t="shared" si="39"/>
        <v>75</v>
      </c>
      <c r="C2433" s="35">
        <v>2004</v>
      </c>
      <c r="D2433" s="35">
        <v>2004</v>
      </c>
      <c r="E2433" s="36">
        <v>5501</v>
      </c>
      <c r="F2433" s="36">
        <v>2508</v>
      </c>
      <c r="G2433" s="36">
        <v>2993</v>
      </c>
      <c r="H2433" s="1" t="s">
        <v>2</v>
      </c>
      <c r="I2433" s="1"/>
      <c r="J2433" s="1"/>
      <c r="K2433" s="1"/>
      <c r="AA2433" s="1"/>
    </row>
    <row r="2434" spans="1:27" x14ac:dyDescent="0.25">
      <c r="A2434" t="s">
        <v>93</v>
      </c>
      <c r="B2434" t="str">
        <f t="shared" si="39"/>
        <v>75</v>
      </c>
      <c r="C2434" s="35">
        <v>2005</v>
      </c>
      <c r="D2434" s="1" t="s">
        <v>4</v>
      </c>
      <c r="E2434" s="36">
        <v>5650</v>
      </c>
      <c r="F2434" s="36">
        <v>2641</v>
      </c>
      <c r="G2434" s="36">
        <v>3009</v>
      </c>
      <c r="H2434" s="1" t="s">
        <v>2</v>
      </c>
      <c r="I2434" s="1"/>
      <c r="J2434" s="1"/>
      <c r="K2434" s="1"/>
      <c r="AA2434" s="1"/>
    </row>
    <row r="2435" spans="1:27" x14ac:dyDescent="0.25">
      <c r="A2435" t="s">
        <v>93</v>
      </c>
      <c r="B2435" t="str">
        <f t="shared" si="39"/>
        <v>75</v>
      </c>
      <c r="C2435" s="35">
        <v>2005</v>
      </c>
      <c r="D2435" s="35">
        <v>2004</v>
      </c>
      <c r="E2435" s="35">
        <v>11</v>
      </c>
      <c r="F2435" s="35">
        <v>8</v>
      </c>
      <c r="G2435" s="35">
        <v>3</v>
      </c>
      <c r="H2435" s="1" t="s">
        <v>2</v>
      </c>
      <c r="I2435" s="1"/>
      <c r="J2435" s="1"/>
      <c r="K2435" s="1"/>
      <c r="AA2435" s="1"/>
    </row>
    <row r="2436" spans="1:27" x14ac:dyDescent="0.25">
      <c r="A2436" t="s">
        <v>93</v>
      </c>
      <c r="B2436" t="str">
        <f t="shared" si="39"/>
        <v>75</v>
      </c>
      <c r="C2436" s="35">
        <v>2005</v>
      </c>
      <c r="D2436" s="35">
        <v>2005</v>
      </c>
      <c r="E2436" s="36">
        <v>5639</v>
      </c>
      <c r="F2436" s="36">
        <v>2633</v>
      </c>
      <c r="G2436" s="36">
        <v>3006</v>
      </c>
      <c r="H2436" s="1" t="s">
        <v>2</v>
      </c>
      <c r="I2436" s="1"/>
      <c r="J2436" s="1"/>
      <c r="K2436" s="1"/>
      <c r="AA2436" s="1"/>
    </row>
    <row r="2437" spans="1:27" x14ac:dyDescent="0.25">
      <c r="A2437" t="s">
        <v>93</v>
      </c>
      <c r="B2437" t="str">
        <f t="shared" si="39"/>
        <v>75</v>
      </c>
      <c r="C2437" s="35">
        <v>2006</v>
      </c>
      <c r="D2437" s="1" t="s">
        <v>4</v>
      </c>
      <c r="E2437" s="36">
        <v>5686</v>
      </c>
      <c r="F2437" s="36">
        <v>2645</v>
      </c>
      <c r="G2437" s="36">
        <v>3041</v>
      </c>
      <c r="H2437" s="1" t="s">
        <v>2</v>
      </c>
      <c r="I2437" s="1"/>
      <c r="J2437" s="1"/>
      <c r="K2437" s="1"/>
      <c r="AA2437" s="1"/>
    </row>
    <row r="2438" spans="1:27" x14ac:dyDescent="0.25">
      <c r="A2438" t="s">
        <v>93</v>
      </c>
      <c r="B2438" t="str">
        <f t="shared" si="39"/>
        <v>75</v>
      </c>
      <c r="C2438" s="35">
        <v>2006</v>
      </c>
      <c r="D2438" s="35">
        <v>2001</v>
      </c>
      <c r="E2438" s="35">
        <v>1</v>
      </c>
      <c r="F2438" s="35">
        <v>1</v>
      </c>
      <c r="G2438" s="1" t="s">
        <v>2</v>
      </c>
      <c r="H2438" s="1" t="s">
        <v>2</v>
      </c>
      <c r="I2438" s="1"/>
      <c r="J2438" s="1"/>
      <c r="K2438" s="1"/>
      <c r="AA2438" s="1"/>
    </row>
    <row r="2439" spans="1:27" x14ac:dyDescent="0.25">
      <c r="A2439" t="s">
        <v>93</v>
      </c>
      <c r="B2439" t="str">
        <f t="shared" ref="B2439:B2502" si="40">IF(A2439="Menores de 1 año",0,LEFT(A2439,2))</f>
        <v>75</v>
      </c>
      <c r="C2439" s="35">
        <v>2006</v>
      </c>
      <c r="D2439" s="35">
        <v>2005</v>
      </c>
      <c r="E2439" s="35">
        <v>32</v>
      </c>
      <c r="F2439" s="35">
        <v>24</v>
      </c>
      <c r="G2439" s="35">
        <v>8</v>
      </c>
      <c r="H2439" s="1" t="s">
        <v>2</v>
      </c>
      <c r="I2439" s="1"/>
      <c r="J2439" s="1"/>
      <c r="K2439" s="1"/>
      <c r="AA2439" s="1"/>
    </row>
    <row r="2440" spans="1:27" x14ac:dyDescent="0.25">
      <c r="A2440" t="s">
        <v>93</v>
      </c>
      <c r="B2440" t="str">
        <f t="shared" si="40"/>
        <v>75</v>
      </c>
      <c r="C2440" s="35">
        <v>2006</v>
      </c>
      <c r="D2440" s="35">
        <v>2006</v>
      </c>
      <c r="E2440" s="36">
        <v>5653</v>
      </c>
      <c r="F2440" s="36">
        <v>2620</v>
      </c>
      <c r="G2440" s="36">
        <v>3033</v>
      </c>
      <c r="H2440" s="1" t="s">
        <v>2</v>
      </c>
      <c r="I2440" s="1"/>
      <c r="J2440" s="1"/>
      <c r="K2440" s="1"/>
      <c r="AA2440" s="1"/>
    </row>
    <row r="2441" spans="1:27" x14ac:dyDescent="0.25">
      <c r="A2441" t="s">
        <v>93</v>
      </c>
      <c r="B2441" t="str">
        <f t="shared" si="40"/>
        <v>75</v>
      </c>
      <c r="C2441" s="35">
        <v>2007</v>
      </c>
      <c r="D2441" s="1" t="s">
        <v>4</v>
      </c>
      <c r="E2441" s="36">
        <v>5811</v>
      </c>
      <c r="F2441" s="36">
        <v>2698</v>
      </c>
      <c r="G2441" s="36">
        <v>3113</v>
      </c>
      <c r="H2441" s="1" t="s">
        <v>2</v>
      </c>
      <c r="I2441" s="1"/>
      <c r="J2441" s="1"/>
      <c r="K2441" s="1"/>
      <c r="AA2441" s="1"/>
    </row>
    <row r="2442" spans="1:27" x14ac:dyDescent="0.25">
      <c r="A2442" t="s">
        <v>93</v>
      </c>
      <c r="B2442" t="str">
        <f t="shared" si="40"/>
        <v>75</v>
      </c>
      <c r="C2442" s="35">
        <v>2007</v>
      </c>
      <c r="D2442" s="35">
        <v>2006</v>
      </c>
      <c r="E2442" s="35">
        <v>30</v>
      </c>
      <c r="F2442" s="35">
        <v>18</v>
      </c>
      <c r="G2442" s="35">
        <v>12</v>
      </c>
      <c r="H2442" s="1" t="s">
        <v>2</v>
      </c>
      <c r="I2442" s="1"/>
      <c r="J2442" s="1"/>
      <c r="K2442" s="1"/>
      <c r="AA2442" s="1"/>
    </row>
    <row r="2443" spans="1:27" x14ac:dyDescent="0.25">
      <c r="A2443" t="s">
        <v>93</v>
      </c>
      <c r="B2443" t="str">
        <f t="shared" si="40"/>
        <v>75</v>
      </c>
      <c r="C2443" s="35">
        <v>2007</v>
      </c>
      <c r="D2443" s="35">
        <v>2007</v>
      </c>
      <c r="E2443" s="36">
        <v>5781</v>
      </c>
      <c r="F2443" s="36">
        <v>2680</v>
      </c>
      <c r="G2443" s="36">
        <v>3101</v>
      </c>
      <c r="H2443" s="1" t="s">
        <v>2</v>
      </c>
      <c r="I2443" s="1"/>
      <c r="J2443" s="1"/>
      <c r="K2443" s="1"/>
      <c r="AA2443" s="1"/>
    </row>
    <row r="2444" spans="1:27" x14ac:dyDescent="0.25">
      <c r="A2444" t="s">
        <v>93</v>
      </c>
      <c r="B2444" t="str">
        <f t="shared" si="40"/>
        <v>75</v>
      </c>
      <c r="C2444" s="35">
        <v>2008</v>
      </c>
      <c r="D2444" s="1" t="s">
        <v>4</v>
      </c>
      <c r="E2444" s="36">
        <v>6108</v>
      </c>
      <c r="F2444" s="36">
        <v>2783</v>
      </c>
      <c r="G2444" s="36">
        <v>3325</v>
      </c>
      <c r="H2444" s="1" t="s">
        <v>2</v>
      </c>
      <c r="I2444" s="1"/>
      <c r="J2444" s="1"/>
      <c r="K2444" s="1"/>
      <c r="AA2444" s="1"/>
    </row>
    <row r="2445" spans="1:27" x14ac:dyDescent="0.25">
      <c r="A2445" t="s">
        <v>93</v>
      </c>
      <c r="B2445" t="str">
        <f t="shared" si="40"/>
        <v>75</v>
      </c>
      <c r="C2445" s="35">
        <v>2008</v>
      </c>
      <c r="D2445" s="35">
        <v>2004</v>
      </c>
      <c r="E2445" s="35">
        <v>7</v>
      </c>
      <c r="F2445" s="35">
        <v>7</v>
      </c>
      <c r="G2445" s="1" t="s">
        <v>2</v>
      </c>
      <c r="H2445" s="1" t="s">
        <v>2</v>
      </c>
      <c r="I2445" s="1"/>
      <c r="J2445" s="1"/>
      <c r="K2445" s="1"/>
      <c r="AA2445" s="1"/>
    </row>
    <row r="2446" spans="1:27" x14ac:dyDescent="0.25">
      <c r="A2446" t="s">
        <v>93</v>
      </c>
      <c r="B2446" t="str">
        <f t="shared" si="40"/>
        <v>75</v>
      </c>
      <c r="C2446" s="35">
        <v>2008</v>
      </c>
      <c r="D2446" s="35">
        <v>2005</v>
      </c>
      <c r="E2446" s="35">
        <v>5</v>
      </c>
      <c r="F2446" s="35">
        <v>2</v>
      </c>
      <c r="G2446" s="35">
        <v>3</v>
      </c>
      <c r="H2446" s="1" t="s">
        <v>2</v>
      </c>
      <c r="I2446" s="1"/>
      <c r="J2446" s="1"/>
      <c r="K2446" s="1"/>
      <c r="AA2446" s="1"/>
    </row>
    <row r="2447" spans="1:27" x14ac:dyDescent="0.25">
      <c r="A2447" t="s">
        <v>93</v>
      </c>
      <c r="B2447" t="str">
        <f t="shared" si="40"/>
        <v>75</v>
      </c>
      <c r="C2447" s="35">
        <v>2008</v>
      </c>
      <c r="D2447" s="35">
        <v>2007</v>
      </c>
      <c r="E2447" s="35">
        <v>36</v>
      </c>
      <c r="F2447" s="35">
        <v>22</v>
      </c>
      <c r="G2447" s="35">
        <v>14</v>
      </c>
      <c r="H2447" s="1" t="s">
        <v>2</v>
      </c>
      <c r="I2447" s="1"/>
      <c r="J2447" s="1"/>
      <c r="K2447" s="1"/>
      <c r="AA2447" s="1"/>
    </row>
    <row r="2448" spans="1:27" x14ac:dyDescent="0.25">
      <c r="A2448" t="s">
        <v>93</v>
      </c>
      <c r="B2448" t="str">
        <f t="shared" si="40"/>
        <v>75</v>
      </c>
      <c r="C2448" s="35">
        <v>2008</v>
      </c>
      <c r="D2448" s="35">
        <v>2008</v>
      </c>
      <c r="E2448" s="36">
        <v>6060</v>
      </c>
      <c r="F2448" s="36">
        <v>2752</v>
      </c>
      <c r="G2448" s="36">
        <v>3308</v>
      </c>
      <c r="H2448" s="1" t="s">
        <v>2</v>
      </c>
      <c r="I2448" s="1"/>
      <c r="J2448" s="1"/>
      <c r="K2448" s="1"/>
      <c r="AA2448" s="1"/>
    </row>
    <row r="2449" spans="1:27" x14ac:dyDescent="0.25">
      <c r="A2449" t="s">
        <v>93</v>
      </c>
      <c r="B2449" t="str">
        <f t="shared" si="40"/>
        <v>75</v>
      </c>
      <c r="C2449" s="35">
        <v>2009</v>
      </c>
      <c r="D2449" s="1" t="s">
        <v>4</v>
      </c>
      <c r="E2449" s="36">
        <v>6076</v>
      </c>
      <c r="F2449" s="36">
        <v>2845</v>
      </c>
      <c r="G2449" s="36">
        <v>3231</v>
      </c>
      <c r="H2449" s="1" t="s">
        <v>2</v>
      </c>
      <c r="I2449" s="1"/>
      <c r="J2449" s="1"/>
      <c r="K2449" s="1"/>
      <c r="AA2449" s="1"/>
    </row>
    <row r="2450" spans="1:27" x14ac:dyDescent="0.25">
      <c r="A2450" t="s">
        <v>93</v>
      </c>
      <c r="B2450" t="str">
        <f t="shared" si="40"/>
        <v>75</v>
      </c>
      <c r="C2450" s="35">
        <v>2009</v>
      </c>
      <c r="D2450" s="35">
        <v>2006</v>
      </c>
      <c r="E2450" s="35">
        <v>1</v>
      </c>
      <c r="F2450" s="35">
        <v>1</v>
      </c>
      <c r="G2450" s="1" t="s">
        <v>2</v>
      </c>
      <c r="H2450" s="1" t="s">
        <v>2</v>
      </c>
      <c r="I2450" s="1"/>
      <c r="J2450" s="1"/>
      <c r="K2450" s="1"/>
      <c r="AA2450" s="1"/>
    </row>
    <row r="2451" spans="1:27" x14ac:dyDescent="0.25">
      <c r="A2451" t="s">
        <v>93</v>
      </c>
      <c r="B2451" t="str">
        <f t="shared" si="40"/>
        <v>75</v>
      </c>
      <c r="C2451" s="35">
        <v>2009</v>
      </c>
      <c r="D2451" s="35">
        <v>2007</v>
      </c>
      <c r="E2451" s="35">
        <v>1</v>
      </c>
      <c r="F2451" s="1" t="s">
        <v>2</v>
      </c>
      <c r="G2451" s="35">
        <v>1</v>
      </c>
      <c r="H2451" s="1" t="s">
        <v>2</v>
      </c>
      <c r="I2451" s="1"/>
      <c r="J2451" s="1"/>
      <c r="K2451" s="1"/>
      <c r="AA2451" s="1"/>
    </row>
    <row r="2452" spans="1:27" x14ac:dyDescent="0.25">
      <c r="A2452" t="s">
        <v>93</v>
      </c>
      <c r="B2452" t="str">
        <f t="shared" si="40"/>
        <v>75</v>
      </c>
      <c r="C2452" s="35">
        <v>2009</v>
      </c>
      <c r="D2452" s="35">
        <v>2008</v>
      </c>
      <c r="E2452" s="35">
        <v>27</v>
      </c>
      <c r="F2452" s="35">
        <v>16</v>
      </c>
      <c r="G2452" s="35">
        <v>11</v>
      </c>
      <c r="H2452" s="1" t="s">
        <v>2</v>
      </c>
      <c r="I2452" s="1"/>
      <c r="J2452" s="1"/>
      <c r="K2452" s="1"/>
      <c r="AA2452" s="1"/>
    </row>
    <row r="2453" spans="1:27" x14ac:dyDescent="0.25">
      <c r="A2453" t="s">
        <v>93</v>
      </c>
      <c r="B2453" t="str">
        <f t="shared" si="40"/>
        <v>75</v>
      </c>
      <c r="C2453" s="35">
        <v>2009</v>
      </c>
      <c r="D2453" s="35">
        <v>2009</v>
      </c>
      <c r="E2453" s="36">
        <v>6047</v>
      </c>
      <c r="F2453" s="36">
        <v>2828</v>
      </c>
      <c r="G2453" s="36">
        <v>3219</v>
      </c>
      <c r="H2453" s="1" t="s">
        <v>2</v>
      </c>
      <c r="I2453" s="1"/>
      <c r="J2453" s="1"/>
      <c r="K2453" s="1"/>
      <c r="AA2453" s="1"/>
    </row>
    <row r="2454" spans="1:27" x14ac:dyDescent="0.25">
      <c r="A2454" t="s">
        <v>93</v>
      </c>
      <c r="B2454" t="str">
        <f t="shared" si="40"/>
        <v>75</v>
      </c>
      <c r="C2454" s="35">
        <v>2010</v>
      </c>
      <c r="D2454" s="1" t="s">
        <v>4</v>
      </c>
      <c r="E2454" s="36">
        <v>6174</v>
      </c>
      <c r="F2454" s="36">
        <v>2966</v>
      </c>
      <c r="G2454" s="36">
        <v>3208</v>
      </c>
      <c r="H2454" s="1" t="s">
        <v>2</v>
      </c>
      <c r="I2454" s="1"/>
      <c r="J2454" s="1"/>
      <c r="K2454" s="1"/>
      <c r="AA2454" s="1"/>
    </row>
    <row r="2455" spans="1:27" x14ac:dyDescent="0.25">
      <c r="A2455" t="s">
        <v>93</v>
      </c>
      <c r="B2455" t="str">
        <f t="shared" si="40"/>
        <v>75</v>
      </c>
      <c r="C2455" s="35">
        <v>2010</v>
      </c>
      <c r="D2455" s="35">
        <v>2008</v>
      </c>
      <c r="E2455" s="35">
        <v>1</v>
      </c>
      <c r="F2455" s="1" t="s">
        <v>2</v>
      </c>
      <c r="G2455" s="35">
        <v>1</v>
      </c>
      <c r="H2455" s="1" t="s">
        <v>2</v>
      </c>
      <c r="I2455" s="1"/>
      <c r="J2455" s="1"/>
      <c r="K2455" s="1"/>
      <c r="AA2455" s="1"/>
    </row>
    <row r="2456" spans="1:27" x14ac:dyDescent="0.25">
      <c r="A2456" t="s">
        <v>93</v>
      </c>
      <c r="B2456" t="str">
        <f t="shared" si="40"/>
        <v>75</v>
      </c>
      <c r="C2456" s="35">
        <v>2010</v>
      </c>
      <c r="D2456" s="35">
        <v>2009</v>
      </c>
      <c r="E2456" s="35">
        <v>31</v>
      </c>
      <c r="F2456" s="35">
        <v>21</v>
      </c>
      <c r="G2456" s="35">
        <v>10</v>
      </c>
      <c r="H2456" s="1" t="s">
        <v>2</v>
      </c>
      <c r="I2456" s="1"/>
      <c r="J2456" s="1"/>
      <c r="K2456" s="1"/>
      <c r="AA2456" s="1"/>
    </row>
    <row r="2457" spans="1:27" x14ac:dyDescent="0.25">
      <c r="A2457" t="s">
        <v>93</v>
      </c>
      <c r="B2457" t="str">
        <f t="shared" si="40"/>
        <v>75</v>
      </c>
      <c r="C2457" s="35">
        <v>2010</v>
      </c>
      <c r="D2457" s="35">
        <v>2010</v>
      </c>
      <c r="E2457" s="36">
        <v>6142</v>
      </c>
      <c r="F2457" s="36">
        <v>2945</v>
      </c>
      <c r="G2457" s="36">
        <v>3197</v>
      </c>
      <c r="H2457" s="1" t="s">
        <v>2</v>
      </c>
      <c r="I2457" s="1"/>
      <c r="J2457" s="1"/>
      <c r="K2457" s="1"/>
      <c r="AA2457" s="1"/>
    </row>
    <row r="2458" spans="1:27" x14ac:dyDescent="0.25">
      <c r="A2458" t="s">
        <v>93</v>
      </c>
      <c r="B2458" t="str">
        <f t="shared" si="40"/>
        <v>75</v>
      </c>
      <c r="C2458" s="35">
        <v>2011</v>
      </c>
      <c r="D2458" s="1" t="s">
        <v>4</v>
      </c>
      <c r="E2458" s="36">
        <v>6155</v>
      </c>
      <c r="F2458" s="36">
        <v>2990</v>
      </c>
      <c r="G2458" s="36">
        <v>3164</v>
      </c>
      <c r="H2458" s="35">
        <v>1</v>
      </c>
      <c r="I2458" s="1"/>
      <c r="J2458" s="1"/>
      <c r="K2458" s="1"/>
      <c r="AA2458" s="1"/>
    </row>
    <row r="2459" spans="1:27" x14ac:dyDescent="0.25">
      <c r="A2459" t="s">
        <v>93</v>
      </c>
      <c r="B2459" t="str">
        <f t="shared" si="40"/>
        <v>75</v>
      </c>
      <c r="C2459" s="35">
        <v>2011</v>
      </c>
      <c r="D2459" s="35">
        <v>2001</v>
      </c>
      <c r="E2459" s="35">
        <v>1</v>
      </c>
      <c r="F2459" s="1" t="s">
        <v>2</v>
      </c>
      <c r="G2459" s="35">
        <v>1</v>
      </c>
      <c r="H2459" s="1" t="s">
        <v>2</v>
      </c>
      <c r="I2459" s="1"/>
      <c r="J2459" s="1"/>
      <c r="K2459" s="1"/>
      <c r="AA2459" s="1"/>
    </row>
    <row r="2460" spans="1:27" x14ac:dyDescent="0.25">
      <c r="A2460" t="s">
        <v>93</v>
      </c>
      <c r="B2460" t="str">
        <f t="shared" si="40"/>
        <v>75</v>
      </c>
      <c r="C2460" s="35">
        <v>2011</v>
      </c>
      <c r="D2460" s="35">
        <v>2009</v>
      </c>
      <c r="E2460" s="35">
        <v>1</v>
      </c>
      <c r="F2460" s="35">
        <v>1</v>
      </c>
      <c r="G2460" s="1" t="s">
        <v>2</v>
      </c>
      <c r="H2460" s="1" t="s">
        <v>2</v>
      </c>
      <c r="I2460" s="1"/>
      <c r="J2460" s="1"/>
      <c r="K2460" s="1"/>
      <c r="AA2460" s="1"/>
    </row>
    <row r="2461" spans="1:27" x14ac:dyDescent="0.25">
      <c r="A2461" t="s">
        <v>93</v>
      </c>
      <c r="B2461" t="str">
        <f t="shared" si="40"/>
        <v>75</v>
      </c>
      <c r="C2461" s="35">
        <v>2011</v>
      </c>
      <c r="D2461" s="35">
        <v>2010</v>
      </c>
      <c r="E2461" s="35">
        <v>53</v>
      </c>
      <c r="F2461" s="35">
        <v>30</v>
      </c>
      <c r="G2461" s="35">
        <v>23</v>
      </c>
      <c r="H2461" s="1" t="s">
        <v>2</v>
      </c>
      <c r="I2461" s="1"/>
      <c r="J2461" s="1"/>
      <c r="K2461" s="1"/>
      <c r="AA2461" s="1"/>
    </row>
    <row r="2462" spans="1:27" x14ac:dyDescent="0.25">
      <c r="A2462" t="s">
        <v>93</v>
      </c>
      <c r="B2462" t="str">
        <f t="shared" si="40"/>
        <v>75</v>
      </c>
      <c r="C2462" s="35">
        <v>2011</v>
      </c>
      <c r="D2462" s="35">
        <v>2011</v>
      </c>
      <c r="E2462" s="36">
        <v>6100</v>
      </c>
      <c r="F2462" s="36">
        <v>2959</v>
      </c>
      <c r="G2462" s="36">
        <v>3140</v>
      </c>
      <c r="H2462" s="35">
        <v>1</v>
      </c>
      <c r="I2462" s="1"/>
      <c r="J2462" s="1"/>
      <c r="K2462" s="1"/>
      <c r="AA2462" s="1"/>
    </row>
    <row r="2463" spans="1:27" x14ac:dyDescent="0.25">
      <c r="A2463" t="s">
        <v>93</v>
      </c>
      <c r="B2463" t="str">
        <f t="shared" si="40"/>
        <v>75</v>
      </c>
      <c r="C2463" s="35">
        <v>2012</v>
      </c>
      <c r="D2463" s="1" t="s">
        <v>4</v>
      </c>
      <c r="E2463" s="36">
        <v>6184</v>
      </c>
      <c r="F2463" s="36">
        <v>2967</v>
      </c>
      <c r="G2463" s="36">
        <v>3217</v>
      </c>
      <c r="H2463" s="1" t="s">
        <v>2</v>
      </c>
      <c r="I2463" s="1"/>
      <c r="J2463" s="1"/>
      <c r="K2463" s="1"/>
      <c r="AA2463" s="1"/>
    </row>
    <row r="2464" spans="1:27" x14ac:dyDescent="0.25">
      <c r="A2464" t="s">
        <v>93</v>
      </c>
      <c r="B2464" t="str">
        <f t="shared" si="40"/>
        <v>75</v>
      </c>
      <c r="C2464" s="35">
        <v>2012</v>
      </c>
      <c r="D2464" s="35">
        <v>2010</v>
      </c>
      <c r="E2464" s="35">
        <v>2</v>
      </c>
      <c r="F2464" s="35">
        <v>1</v>
      </c>
      <c r="G2464" s="35">
        <v>1</v>
      </c>
      <c r="H2464" s="1" t="s">
        <v>2</v>
      </c>
      <c r="I2464" s="1"/>
      <c r="J2464" s="1"/>
      <c r="K2464" s="1"/>
      <c r="AA2464" s="1"/>
    </row>
    <row r="2465" spans="1:27" x14ac:dyDescent="0.25">
      <c r="A2465" t="s">
        <v>93</v>
      </c>
      <c r="B2465" t="str">
        <f t="shared" si="40"/>
        <v>75</v>
      </c>
      <c r="C2465" s="35">
        <v>2012</v>
      </c>
      <c r="D2465" s="35">
        <v>2011</v>
      </c>
      <c r="E2465" s="35">
        <v>34</v>
      </c>
      <c r="F2465" s="35">
        <v>23</v>
      </c>
      <c r="G2465" s="35">
        <v>11</v>
      </c>
      <c r="H2465" s="1" t="s">
        <v>2</v>
      </c>
      <c r="I2465" s="1"/>
      <c r="J2465" s="1"/>
      <c r="K2465" s="1"/>
      <c r="AA2465" s="1"/>
    </row>
    <row r="2466" spans="1:27" x14ac:dyDescent="0.25">
      <c r="A2466" t="s">
        <v>93</v>
      </c>
      <c r="B2466" t="str">
        <f t="shared" si="40"/>
        <v>75</v>
      </c>
      <c r="C2466" s="35">
        <v>2012</v>
      </c>
      <c r="D2466" s="35">
        <v>2012</v>
      </c>
      <c r="E2466" s="36">
        <v>6148</v>
      </c>
      <c r="F2466" s="36">
        <v>2943</v>
      </c>
      <c r="G2466" s="36">
        <v>3205</v>
      </c>
      <c r="H2466" s="1" t="s">
        <v>2</v>
      </c>
      <c r="I2466" s="1"/>
      <c r="J2466" s="1"/>
      <c r="K2466" s="1"/>
      <c r="AA2466" s="1"/>
    </row>
    <row r="2467" spans="1:27" x14ac:dyDescent="0.25">
      <c r="A2467" t="s">
        <v>93</v>
      </c>
      <c r="B2467" t="str">
        <f t="shared" si="40"/>
        <v>75</v>
      </c>
      <c r="C2467" s="35">
        <v>2013</v>
      </c>
      <c r="D2467" s="1" t="s">
        <v>4</v>
      </c>
      <c r="E2467" s="36">
        <v>6277</v>
      </c>
      <c r="F2467" s="36">
        <v>2979</v>
      </c>
      <c r="G2467" s="36">
        <v>3298</v>
      </c>
      <c r="H2467" s="1" t="s">
        <v>2</v>
      </c>
      <c r="I2467" s="1"/>
      <c r="J2467" s="1"/>
      <c r="K2467" s="1"/>
      <c r="AA2467" s="1"/>
    </row>
    <row r="2468" spans="1:27" x14ac:dyDescent="0.25">
      <c r="A2468" t="s">
        <v>93</v>
      </c>
      <c r="B2468" t="str">
        <f t="shared" si="40"/>
        <v>75</v>
      </c>
      <c r="C2468" s="35">
        <v>2013</v>
      </c>
      <c r="D2468" s="35">
        <v>2012</v>
      </c>
      <c r="E2468" s="35">
        <v>40</v>
      </c>
      <c r="F2468" s="35">
        <v>25</v>
      </c>
      <c r="G2468" s="35">
        <v>15</v>
      </c>
      <c r="H2468" s="1" t="s">
        <v>2</v>
      </c>
      <c r="I2468" s="1"/>
      <c r="J2468" s="1"/>
      <c r="K2468" s="1"/>
      <c r="AA2468" s="1"/>
    </row>
    <row r="2469" spans="1:27" x14ac:dyDescent="0.25">
      <c r="A2469" t="s">
        <v>93</v>
      </c>
      <c r="B2469" t="str">
        <f t="shared" si="40"/>
        <v>75</v>
      </c>
      <c r="C2469" s="35">
        <v>2013</v>
      </c>
      <c r="D2469" s="35">
        <v>2013</v>
      </c>
      <c r="E2469" s="36">
        <v>6237</v>
      </c>
      <c r="F2469" s="36">
        <v>2954</v>
      </c>
      <c r="G2469" s="36">
        <v>3283</v>
      </c>
      <c r="H2469" s="1" t="s">
        <v>2</v>
      </c>
      <c r="I2469" s="1"/>
      <c r="J2469" s="1"/>
      <c r="K2469" s="1"/>
      <c r="AA2469" s="1"/>
    </row>
    <row r="2470" spans="1:27" x14ac:dyDescent="0.25">
      <c r="A2470" t="s">
        <v>93</v>
      </c>
      <c r="B2470" t="str">
        <f t="shared" si="40"/>
        <v>75</v>
      </c>
      <c r="C2470" s="35">
        <v>2014</v>
      </c>
      <c r="D2470" s="1" t="s">
        <v>4</v>
      </c>
      <c r="E2470" s="36">
        <v>6133</v>
      </c>
      <c r="F2470" s="36">
        <v>2983</v>
      </c>
      <c r="G2470" s="36">
        <v>3150</v>
      </c>
      <c r="H2470" s="1" t="s">
        <v>2</v>
      </c>
      <c r="I2470" s="1"/>
      <c r="J2470" s="1"/>
      <c r="K2470" s="1"/>
      <c r="AA2470" s="1"/>
    </row>
    <row r="2471" spans="1:27" x14ac:dyDescent="0.25">
      <c r="A2471" t="s">
        <v>93</v>
      </c>
      <c r="B2471" t="str">
        <f t="shared" si="40"/>
        <v>75</v>
      </c>
      <c r="C2471" s="35">
        <v>2014</v>
      </c>
      <c r="D2471" s="35">
        <v>1993</v>
      </c>
      <c r="E2471" s="35">
        <v>1</v>
      </c>
      <c r="F2471" s="1" t="s">
        <v>2</v>
      </c>
      <c r="G2471" s="35">
        <v>1</v>
      </c>
      <c r="H2471" s="1" t="s">
        <v>2</v>
      </c>
      <c r="I2471" s="1"/>
      <c r="J2471" s="1"/>
      <c r="K2471" s="1"/>
      <c r="AA2471" s="1"/>
    </row>
    <row r="2472" spans="1:27" x14ac:dyDescent="0.25">
      <c r="A2472" t="s">
        <v>93</v>
      </c>
      <c r="B2472" t="str">
        <f t="shared" si="40"/>
        <v>75</v>
      </c>
      <c r="C2472" s="35">
        <v>2014</v>
      </c>
      <c r="D2472" s="35">
        <v>2013</v>
      </c>
      <c r="E2472" s="35">
        <v>42</v>
      </c>
      <c r="F2472" s="35">
        <v>32</v>
      </c>
      <c r="G2472" s="35">
        <v>10</v>
      </c>
      <c r="H2472" s="1" t="s">
        <v>2</v>
      </c>
      <c r="I2472" s="1"/>
      <c r="J2472" s="1"/>
      <c r="K2472" s="1"/>
      <c r="AA2472" s="1"/>
    </row>
    <row r="2473" spans="1:27" x14ac:dyDescent="0.25">
      <c r="A2473" t="s">
        <v>93</v>
      </c>
      <c r="B2473" t="str">
        <f t="shared" si="40"/>
        <v>75</v>
      </c>
      <c r="C2473" s="35">
        <v>2014</v>
      </c>
      <c r="D2473" s="35">
        <v>2014</v>
      </c>
      <c r="E2473" s="36">
        <v>6090</v>
      </c>
      <c r="F2473" s="36">
        <v>2951</v>
      </c>
      <c r="G2473" s="36">
        <v>3139</v>
      </c>
      <c r="H2473" s="1" t="s">
        <v>2</v>
      </c>
      <c r="I2473" s="1"/>
      <c r="J2473" s="1"/>
      <c r="K2473" s="1"/>
      <c r="AA2473" s="1"/>
    </row>
    <row r="2474" spans="1:27" x14ac:dyDescent="0.25">
      <c r="A2474" t="s">
        <v>93</v>
      </c>
      <c r="B2474" t="str">
        <f t="shared" si="40"/>
        <v>75</v>
      </c>
      <c r="C2474" s="35">
        <v>2015</v>
      </c>
      <c r="D2474" s="1" t="s">
        <v>4</v>
      </c>
      <c r="E2474" s="36">
        <v>6450</v>
      </c>
      <c r="F2474" s="36">
        <v>3143</v>
      </c>
      <c r="G2474" s="36">
        <v>3307</v>
      </c>
      <c r="H2474" s="1" t="s">
        <v>2</v>
      </c>
      <c r="I2474" s="1"/>
      <c r="J2474" s="1"/>
      <c r="K2474" s="1"/>
      <c r="AA2474" s="1"/>
    </row>
    <row r="2475" spans="1:27" x14ac:dyDescent="0.25">
      <c r="A2475" t="s">
        <v>93</v>
      </c>
      <c r="B2475" t="str">
        <f t="shared" si="40"/>
        <v>75</v>
      </c>
      <c r="C2475" s="35">
        <v>2015</v>
      </c>
      <c r="D2475" s="35">
        <v>2014</v>
      </c>
      <c r="E2475" s="35">
        <v>32</v>
      </c>
      <c r="F2475" s="35">
        <v>22</v>
      </c>
      <c r="G2475" s="35">
        <v>10</v>
      </c>
      <c r="H2475" s="1" t="s">
        <v>2</v>
      </c>
      <c r="I2475" s="1"/>
      <c r="J2475" s="1"/>
      <c r="K2475" s="1"/>
      <c r="AA2475" s="1"/>
    </row>
    <row r="2476" spans="1:27" x14ac:dyDescent="0.25">
      <c r="A2476" t="s">
        <v>93</v>
      </c>
      <c r="B2476" t="str">
        <f t="shared" si="40"/>
        <v>75</v>
      </c>
      <c r="C2476" s="35">
        <v>2015</v>
      </c>
      <c r="D2476" s="35">
        <v>2015</v>
      </c>
      <c r="E2476" s="36">
        <v>6418</v>
      </c>
      <c r="F2476" s="36">
        <v>3121</v>
      </c>
      <c r="G2476" s="36">
        <v>3297</v>
      </c>
      <c r="H2476" s="1" t="s">
        <v>2</v>
      </c>
      <c r="I2476" s="1"/>
      <c r="J2476" s="1"/>
      <c r="K2476" s="1"/>
      <c r="AA2476" s="1"/>
    </row>
    <row r="2477" spans="1:27" x14ac:dyDescent="0.25">
      <c r="A2477" t="s">
        <v>93</v>
      </c>
      <c r="B2477" t="str">
        <f t="shared" si="40"/>
        <v>75</v>
      </c>
      <c r="C2477" s="35">
        <v>2016</v>
      </c>
      <c r="D2477" s="1" t="s">
        <v>4</v>
      </c>
      <c r="E2477" s="36">
        <v>6406</v>
      </c>
      <c r="F2477" s="36">
        <v>3154</v>
      </c>
      <c r="G2477" s="36">
        <v>3252</v>
      </c>
      <c r="H2477" s="1" t="s">
        <v>2</v>
      </c>
      <c r="I2477" s="1"/>
      <c r="J2477" s="1"/>
      <c r="K2477" s="1"/>
      <c r="AA2477" s="1"/>
    </row>
    <row r="2478" spans="1:27" x14ac:dyDescent="0.25">
      <c r="A2478" t="s">
        <v>93</v>
      </c>
      <c r="B2478" t="str">
        <f t="shared" si="40"/>
        <v>75</v>
      </c>
      <c r="C2478" s="35">
        <v>2016</v>
      </c>
      <c r="D2478" s="35">
        <v>2010</v>
      </c>
      <c r="E2478" s="35">
        <v>1</v>
      </c>
      <c r="F2478" s="35">
        <v>1</v>
      </c>
      <c r="G2478" s="1" t="s">
        <v>2</v>
      </c>
      <c r="H2478" s="1" t="s">
        <v>2</v>
      </c>
      <c r="I2478" s="1"/>
      <c r="J2478" s="1"/>
      <c r="K2478" s="1"/>
      <c r="AA2478" s="1"/>
    </row>
    <row r="2479" spans="1:27" x14ac:dyDescent="0.25">
      <c r="A2479" t="s">
        <v>93</v>
      </c>
      <c r="B2479" t="str">
        <f t="shared" si="40"/>
        <v>75</v>
      </c>
      <c r="C2479" s="35">
        <v>2016</v>
      </c>
      <c r="D2479" s="35">
        <v>2013</v>
      </c>
      <c r="E2479" s="35">
        <v>1</v>
      </c>
      <c r="F2479" s="1" t="s">
        <v>2</v>
      </c>
      <c r="G2479" s="35">
        <v>1</v>
      </c>
      <c r="H2479" s="1" t="s">
        <v>2</v>
      </c>
      <c r="I2479" s="1"/>
      <c r="J2479" s="1"/>
      <c r="K2479" s="1"/>
      <c r="AA2479" s="1"/>
    </row>
    <row r="2480" spans="1:27" x14ac:dyDescent="0.25">
      <c r="A2480" t="s">
        <v>93</v>
      </c>
      <c r="B2480" t="str">
        <f t="shared" si="40"/>
        <v>75</v>
      </c>
      <c r="C2480" s="35">
        <v>2016</v>
      </c>
      <c r="D2480" s="35">
        <v>2014</v>
      </c>
      <c r="E2480" s="35">
        <v>1</v>
      </c>
      <c r="F2480" s="35">
        <v>1</v>
      </c>
      <c r="G2480" s="1" t="s">
        <v>2</v>
      </c>
      <c r="H2480" s="1" t="s">
        <v>2</v>
      </c>
      <c r="I2480" s="1"/>
      <c r="J2480" s="1"/>
      <c r="K2480" s="1"/>
      <c r="AA2480" s="1"/>
    </row>
    <row r="2481" spans="1:27" x14ac:dyDescent="0.25">
      <c r="A2481" t="s">
        <v>93</v>
      </c>
      <c r="B2481" t="str">
        <f t="shared" si="40"/>
        <v>75</v>
      </c>
      <c r="C2481" s="35">
        <v>2016</v>
      </c>
      <c r="D2481" s="35">
        <v>2015</v>
      </c>
      <c r="E2481" s="35">
        <v>36</v>
      </c>
      <c r="F2481" s="35">
        <v>24</v>
      </c>
      <c r="G2481" s="35">
        <v>12</v>
      </c>
      <c r="H2481" s="1" t="s">
        <v>2</v>
      </c>
      <c r="I2481" s="1"/>
      <c r="J2481" s="1"/>
      <c r="K2481" s="1"/>
      <c r="AA2481" s="1"/>
    </row>
    <row r="2482" spans="1:27" x14ac:dyDescent="0.25">
      <c r="A2482" t="s">
        <v>93</v>
      </c>
      <c r="B2482" t="str">
        <f t="shared" si="40"/>
        <v>75</v>
      </c>
      <c r="C2482" s="35">
        <v>2016</v>
      </c>
      <c r="D2482" s="35">
        <v>2016</v>
      </c>
      <c r="E2482" s="36">
        <v>6367</v>
      </c>
      <c r="F2482" s="36">
        <v>3128</v>
      </c>
      <c r="G2482" s="36">
        <v>3239</v>
      </c>
      <c r="H2482" s="1" t="s">
        <v>2</v>
      </c>
      <c r="I2482" s="1"/>
      <c r="J2482" s="1"/>
      <c r="K2482" s="1"/>
      <c r="AA2482" s="1"/>
    </row>
    <row r="2483" spans="1:27" x14ac:dyDescent="0.25">
      <c r="A2483" t="s">
        <v>93</v>
      </c>
      <c r="B2483" t="str">
        <f t="shared" si="40"/>
        <v>75</v>
      </c>
      <c r="C2483" s="35">
        <v>2017</v>
      </c>
      <c r="D2483" s="1" t="s">
        <v>4</v>
      </c>
      <c r="E2483" s="36">
        <v>6614</v>
      </c>
      <c r="F2483" s="36">
        <v>3206</v>
      </c>
      <c r="G2483" s="36">
        <v>3408</v>
      </c>
      <c r="H2483" s="1" t="s">
        <v>2</v>
      </c>
      <c r="I2483" s="1"/>
      <c r="J2483" s="1"/>
      <c r="K2483" s="1"/>
      <c r="AA2483" s="1"/>
    </row>
    <row r="2484" spans="1:27" x14ac:dyDescent="0.25">
      <c r="A2484" t="s">
        <v>93</v>
      </c>
      <c r="B2484" t="str">
        <f t="shared" si="40"/>
        <v>75</v>
      </c>
      <c r="C2484" s="35">
        <v>2017</v>
      </c>
      <c r="D2484" s="35">
        <v>2016</v>
      </c>
      <c r="E2484" s="35">
        <v>34</v>
      </c>
      <c r="F2484" s="35">
        <v>19</v>
      </c>
      <c r="G2484" s="35">
        <v>15</v>
      </c>
      <c r="H2484" s="1" t="s">
        <v>2</v>
      </c>
      <c r="I2484" s="1"/>
      <c r="J2484" s="1"/>
      <c r="K2484" s="1"/>
      <c r="AA2484" s="1"/>
    </row>
    <row r="2485" spans="1:27" x14ac:dyDescent="0.25">
      <c r="A2485" t="s">
        <v>93</v>
      </c>
      <c r="B2485" t="str">
        <f t="shared" si="40"/>
        <v>75</v>
      </c>
      <c r="C2485" s="35">
        <v>2017</v>
      </c>
      <c r="D2485" s="35">
        <v>2017</v>
      </c>
      <c r="E2485" s="36">
        <v>6580</v>
      </c>
      <c r="F2485" s="36">
        <v>3187</v>
      </c>
      <c r="G2485" s="36">
        <v>3393</v>
      </c>
      <c r="H2485" s="1" t="s">
        <v>2</v>
      </c>
      <c r="I2485" s="1"/>
      <c r="J2485" s="1"/>
      <c r="K2485" s="1"/>
      <c r="AA2485" s="1"/>
    </row>
    <row r="2486" spans="1:27" x14ac:dyDescent="0.25">
      <c r="A2486" t="s">
        <v>93</v>
      </c>
      <c r="B2486" t="str">
        <f t="shared" si="40"/>
        <v>75</v>
      </c>
      <c r="C2486" s="35">
        <v>2018</v>
      </c>
      <c r="D2486" s="1" t="s">
        <v>4</v>
      </c>
      <c r="E2486" s="36">
        <v>6798</v>
      </c>
      <c r="F2486" s="36">
        <v>3295</v>
      </c>
      <c r="G2486" s="36">
        <v>3503</v>
      </c>
      <c r="H2486" s="1" t="s">
        <v>2</v>
      </c>
      <c r="I2486" s="1"/>
      <c r="J2486" s="1"/>
      <c r="K2486" s="1"/>
      <c r="AA2486" s="1"/>
    </row>
    <row r="2487" spans="1:27" x14ac:dyDescent="0.25">
      <c r="A2487" t="s">
        <v>93</v>
      </c>
      <c r="B2487" t="str">
        <f t="shared" si="40"/>
        <v>75</v>
      </c>
      <c r="C2487" s="35">
        <v>2018</v>
      </c>
      <c r="D2487" s="35">
        <v>2017</v>
      </c>
      <c r="E2487" s="35">
        <v>27</v>
      </c>
      <c r="F2487" s="35">
        <v>15</v>
      </c>
      <c r="G2487" s="35">
        <v>12</v>
      </c>
      <c r="H2487" s="1" t="s">
        <v>2</v>
      </c>
      <c r="I2487" s="1"/>
      <c r="J2487" s="1"/>
      <c r="K2487" s="1"/>
      <c r="AA2487" s="1"/>
    </row>
    <row r="2488" spans="1:27" x14ac:dyDescent="0.25">
      <c r="A2488" t="s">
        <v>93</v>
      </c>
      <c r="B2488" t="str">
        <f t="shared" si="40"/>
        <v>75</v>
      </c>
      <c r="C2488" s="35">
        <v>2018</v>
      </c>
      <c r="D2488" s="35">
        <v>2018</v>
      </c>
      <c r="E2488" s="36">
        <v>6771</v>
      </c>
      <c r="F2488" s="36">
        <v>3280</v>
      </c>
      <c r="G2488" s="36">
        <v>3491</v>
      </c>
      <c r="H2488" s="1" t="s">
        <v>2</v>
      </c>
      <c r="I2488" s="1"/>
      <c r="J2488" s="1"/>
      <c r="K2488" s="1"/>
      <c r="AA2488" s="1"/>
    </row>
    <row r="2489" spans="1:27" x14ac:dyDescent="0.25">
      <c r="A2489" t="s">
        <v>93</v>
      </c>
      <c r="B2489" t="str">
        <f t="shared" si="40"/>
        <v>75</v>
      </c>
      <c r="C2489" s="35">
        <v>2019</v>
      </c>
      <c r="D2489" s="1" t="s">
        <v>4</v>
      </c>
      <c r="E2489" s="36">
        <v>6694</v>
      </c>
      <c r="F2489" s="36">
        <v>3362</v>
      </c>
      <c r="G2489" s="36">
        <v>3332</v>
      </c>
      <c r="H2489" s="1" t="s">
        <v>2</v>
      </c>
      <c r="I2489" s="1"/>
      <c r="J2489" s="1"/>
      <c r="K2489" s="1"/>
      <c r="AA2489" s="1"/>
    </row>
    <row r="2490" spans="1:27" x14ac:dyDescent="0.25">
      <c r="A2490" t="s">
        <v>93</v>
      </c>
      <c r="B2490" t="str">
        <f t="shared" si="40"/>
        <v>75</v>
      </c>
      <c r="C2490" s="35">
        <v>2019</v>
      </c>
      <c r="D2490" s="35">
        <v>2018</v>
      </c>
      <c r="E2490" s="35">
        <v>45</v>
      </c>
      <c r="F2490" s="35">
        <v>24</v>
      </c>
      <c r="G2490" s="35">
        <v>21</v>
      </c>
      <c r="H2490" s="1" t="s">
        <v>2</v>
      </c>
      <c r="I2490" s="1"/>
      <c r="J2490" s="1"/>
      <c r="K2490" s="1"/>
      <c r="AA2490" s="1"/>
    </row>
    <row r="2491" spans="1:27" x14ac:dyDescent="0.25">
      <c r="A2491" t="s">
        <v>93</v>
      </c>
      <c r="B2491" t="str">
        <f t="shared" si="40"/>
        <v>75</v>
      </c>
      <c r="C2491" s="35">
        <v>2019</v>
      </c>
      <c r="D2491" s="35">
        <v>2019</v>
      </c>
      <c r="E2491" s="36">
        <v>6649</v>
      </c>
      <c r="F2491" s="36">
        <v>3338</v>
      </c>
      <c r="G2491" s="36">
        <v>3311</v>
      </c>
      <c r="H2491" s="1" t="s">
        <v>2</v>
      </c>
      <c r="I2491" s="1"/>
      <c r="J2491" s="1"/>
      <c r="K2491" s="1"/>
      <c r="AA2491" s="1"/>
    </row>
    <row r="2492" spans="1:27" x14ac:dyDescent="0.25">
      <c r="A2492" t="s">
        <v>93</v>
      </c>
      <c r="B2492" t="str">
        <f t="shared" si="40"/>
        <v>75</v>
      </c>
      <c r="C2492" s="35">
        <v>2020</v>
      </c>
      <c r="D2492" s="1" t="s">
        <v>4</v>
      </c>
      <c r="E2492" s="36">
        <v>11265</v>
      </c>
      <c r="F2492" s="36">
        <v>6110</v>
      </c>
      <c r="G2492" s="36">
        <v>5155</v>
      </c>
      <c r="H2492" s="1" t="s">
        <v>2</v>
      </c>
      <c r="I2492" s="1"/>
      <c r="J2492" s="1"/>
      <c r="K2492" s="1"/>
      <c r="AA2492" s="1"/>
    </row>
    <row r="2493" spans="1:27" x14ac:dyDescent="0.25">
      <c r="A2493" t="s">
        <v>93</v>
      </c>
      <c r="B2493" t="str">
        <f t="shared" si="40"/>
        <v>75</v>
      </c>
      <c r="C2493" s="35">
        <v>2020</v>
      </c>
      <c r="D2493" s="35">
        <v>2019</v>
      </c>
      <c r="E2493" s="35">
        <v>41</v>
      </c>
      <c r="F2493" s="35">
        <v>23</v>
      </c>
      <c r="G2493" s="35">
        <v>18</v>
      </c>
      <c r="H2493" s="1" t="s">
        <v>2</v>
      </c>
      <c r="I2493" s="1"/>
      <c r="J2493" s="1"/>
      <c r="K2493" s="1"/>
      <c r="AA2493" s="1"/>
    </row>
    <row r="2494" spans="1:27" x14ac:dyDescent="0.25">
      <c r="A2494" t="s">
        <v>93</v>
      </c>
      <c r="B2494" t="str">
        <f t="shared" si="40"/>
        <v>75</v>
      </c>
      <c r="C2494" s="35">
        <v>2020</v>
      </c>
      <c r="D2494" s="35">
        <v>2020</v>
      </c>
      <c r="E2494" s="36">
        <v>11224</v>
      </c>
      <c r="F2494" s="36">
        <v>6087</v>
      </c>
      <c r="G2494" s="36">
        <v>5137</v>
      </c>
      <c r="H2494" s="1" t="s">
        <v>2</v>
      </c>
      <c r="I2494" s="1"/>
      <c r="J2494" s="1"/>
      <c r="K2494" s="1"/>
      <c r="AA2494" s="1"/>
    </row>
    <row r="2495" spans="1:27" x14ac:dyDescent="0.25">
      <c r="A2495" t="s">
        <v>93</v>
      </c>
      <c r="B2495" t="str">
        <f t="shared" si="40"/>
        <v>75</v>
      </c>
      <c r="C2495" s="35">
        <v>2021</v>
      </c>
      <c r="D2495" s="1" t="s">
        <v>4</v>
      </c>
      <c r="E2495" s="36">
        <v>11071</v>
      </c>
      <c r="F2495" s="36">
        <v>5811</v>
      </c>
      <c r="G2495" s="36">
        <v>5260</v>
      </c>
      <c r="H2495" s="1" t="s">
        <v>2</v>
      </c>
      <c r="I2495" s="1"/>
      <c r="J2495" s="1"/>
      <c r="K2495" s="1"/>
      <c r="AA2495" s="1"/>
    </row>
    <row r="2496" spans="1:27" x14ac:dyDescent="0.25">
      <c r="A2496" t="s">
        <v>93</v>
      </c>
      <c r="B2496" t="str">
        <f t="shared" si="40"/>
        <v>75</v>
      </c>
      <c r="C2496" s="35">
        <v>2021</v>
      </c>
      <c r="D2496" s="35">
        <v>2020</v>
      </c>
      <c r="E2496" s="35">
        <v>77</v>
      </c>
      <c r="F2496" s="35">
        <v>45</v>
      </c>
      <c r="G2496" s="35">
        <v>32</v>
      </c>
      <c r="H2496" s="1" t="s">
        <v>2</v>
      </c>
      <c r="I2496" s="1"/>
      <c r="J2496" s="1"/>
      <c r="K2496" s="1"/>
      <c r="AA2496" s="1"/>
    </row>
    <row r="2497" spans="1:27" x14ac:dyDescent="0.25">
      <c r="A2497" t="s">
        <v>93</v>
      </c>
      <c r="B2497" t="str">
        <f t="shared" si="40"/>
        <v>75</v>
      </c>
      <c r="C2497" s="35">
        <v>2021</v>
      </c>
      <c r="D2497" s="35">
        <v>2021</v>
      </c>
      <c r="E2497" s="36">
        <v>10994</v>
      </c>
      <c r="F2497" s="36">
        <v>5766</v>
      </c>
      <c r="G2497" s="36">
        <v>5228</v>
      </c>
      <c r="H2497" s="1" t="s">
        <v>2</v>
      </c>
      <c r="I2497" s="1"/>
      <c r="J2497" s="1"/>
      <c r="K2497" s="1"/>
      <c r="AA2497" s="1"/>
    </row>
    <row r="2498" spans="1:27" x14ac:dyDescent="0.25">
      <c r="A2498" t="s">
        <v>93</v>
      </c>
      <c r="B2498" t="str">
        <f t="shared" si="40"/>
        <v>75</v>
      </c>
      <c r="C2498" s="35">
        <v>2022</v>
      </c>
      <c r="D2498" s="1" t="s">
        <v>4</v>
      </c>
      <c r="E2498" s="36">
        <v>7855</v>
      </c>
      <c r="F2498" s="36">
        <v>3860</v>
      </c>
      <c r="G2498" s="36">
        <v>3995</v>
      </c>
      <c r="H2498" s="1" t="s">
        <v>2</v>
      </c>
      <c r="I2498" s="1"/>
      <c r="J2498" s="1"/>
      <c r="K2498" s="1"/>
      <c r="AA2498" s="1"/>
    </row>
    <row r="2499" spans="1:27" x14ac:dyDescent="0.25">
      <c r="A2499" t="s">
        <v>93</v>
      </c>
      <c r="B2499" t="str">
        <f t="shared" si="40"/>
        <v>75</v>
      </c>
      <c r="C2499" s="35">
        <v>2022</v>
      </c>
      <c r="D2499" s="35">
        <v>2006</v>
      </c>
      <c r="E2499" s="35">
        <v>1</v>
      </c>
      <c r="F2499" s="35">
        <v>1</v>
      </c>
      <c r="G2499" s="1" t="s">
        <v>2</v>
      </c>
      <c r="H2499" s="1" t="s">
        <v>2</v>
      </c>
      <c r="I2499" s="1"/>
      <c r="J2499" s="1"/>
      <c r="K2499" s="1"/>
      <c r="AA2499" s="1"/>
    </row>
    <row r="2500" spans="1:27" x14ac:dyDescent="0.25">
      <c r="A2500" t="s">
        <v>93</v>
      </c>
      <c r="B2500" t="str">
        <f t="shared" si="40"/>
        <v>75</v>
      </c>
      <c r="C2500" s="35">
        <v>2022</v>
      </c>
      <c r="D2500" s="35">
        <v>2008</v>
      </c>
      <c r="E2500" s="35">
        <v>4</v>
      </c>
      <c r="F2500" s="35">
        <v>2</v>
      </c>
      <c r="G2500" s="35">
        <v>2</v>
      </c>
      <c r="H2500" s="1" t="s">
        <v>2</v>
      </c>
      <c r="I2500" s="1"/>
      <c r="J2500" s="1"/>
      <c r="K2500" s="1"/>
      <c r="AA2500" s="1"/>
    </row>
    <row r="2501" spans="1:27" x14ac:dyDescent="0.25">
      <c r="A2501" t="s">
        <v>93</v>
      </c>
      <c r="B2501" t="str">
        <f t="shared" si="40"/>
        <v>75</v>
      </c>
      <c r="C2501" s="35">
        <v>2022</v>
      </c>
      <c r="D2501" s="35">
        <v>2009</v>
      </c>
      <c r="E2501" s="35">
        <v>3</v>
      </c>
      <c r="F2501" s="35">
        <v>2</v>
      </c>
      <c r="G2501" s="35">
        <v>1</v>
      </c>
      <c r="H2501" s="1" t="s">
        <v>2</v>
      </c>
      <c r="I2501" s="1"/>
      <c r="J2501" s="1"/>
      <c r="K2501" s="1"/>
      <c r="AA2501" s="1"/>
    </row>
    <row r="2502" spans="1:27" x14ac:dyDescent="0.25">
      <c r="A2502" t="s">
        <v>93</v>
      </c>
      <c r="B2502" t="str">
        <f t="shared" si="40"/>
        <v>75</v>
      </c>
      <c r="C2502" s="35">
        <v>2022</v>
      </c>
      <c r="D2502" s="35">
        <v>2010</v>
      </c>
      <c r="E2502" s="35">
        <v>1</v>
      </c>
      <c r="F2502" s="35">
        <v>1</v>
      </c>
      <c r="G2502" s="1" t="s">
        <v>2</v>
      </c>
      <c r="H2502" s="1" t="s">
        <v>2</v>
      </c>
      <c r="I2502" s="1"/>
      <c r="J2502" s="1"/>
      <c r="K2502" s="1"/>
      <c r="AA2502" s="1"/>
    </row>
    <row r="2503" spans="1:27" x14ac:dyDescent="0.25">
      <c r="A2503" t="s">
        <v>93</v>
      </c>
      <c r="B2503" t="str">
        <f t="shared" ref="B2503:B2566" si="41">IF(A2503="Menores de 1 año",0,LEFT(A2503,2))</f>
        <v>75</v>
      </c>
      <c r="C2503" s="35">
        <v>2022</v>
      </c>
      <c r="D2503" s="35">
        <v>2019</v>
      </c>
      <c r="E2503" s="35">
        <v>3</v>
      </c>
      <c r="F2503" s="35">
        <v>2</v>
      </c>
      <c r="G2503" s="35">
        <v>1</v>
      </c>
      <c r="H2503" s="1" t="s">
        <v>2</v>
      </c>
      <c r="I2503" s="1"/>
      <c r="J2503" s="1"/>
      <c r="K2503" s="1"/>
      <c r="AA2503" s="1"/>
    </row>
    <row r="2504" spans="1:27" x14ac:dyDescent="0.25">
      <c r="A2504" t="s">
        <v>93</v>
      </c>
      <c r="B2504" t="str">
        <f t="shared" si="41"/>
        <v>75</v>
      </c>
      <c r="C2504" s="35">
        <v>2022</v>
      </c>
      <c r="D2504" s="35">
        <v>2020</v>
      </c>
      <c r="E2504" s="35">
        <v>1</v>
      </c>
      <c r="F2504" s="1" t="s">
        <v>2</v>
      </c>
      <c r="G2504" s="35">
        <v>1</v>
      </c>
      <c r="H2504" s="1" t="s">
        <v>2</v>
      </c>
      <c r="I2504" s="1"/>
      <c r="J2504" s="1"/>
      <c r="K2504" s="1"/>
      <c r="AA2504" s="1"/>
    </row>
    <row r="2505" spans="1:27" x14ac:dyDescent="0.25">
      <c r="A2505" t="s">
        <v>93</v>
      </c>
      <c r="B2505" t="str">
        <f t="shared" si="41"/>
        <v>75</v>
      </c>
      <c r="C2505" s="35">
        <v>2022</v>
      </c>
      <c r="D2505" s="35">
        <v>2021</v>
      </c>
      <c r="E2505" s="35">
        <v>29</v>
      </c>
      <c r="F2505" s="35">
        <v>16</v>
      </c>
      <c r="G2505" s="35">
        <v>13</v>
      </c>
      <c r="H2505" s="1" t="s">
        <v>2</v>
      </c>
      <c r="I2505" s="1"/>
      <c r="J2505" s="1"/>
      <c r="K2505" s="1"/>
      <c r="AA2505" s="1"/>
    </row>
    <row r="2506" spans="1:27" x14ac:dyDescent="0.25">
      <c r="A2506" t="s">
        <v>93</v>
      </c>
      <c r="B2506" t="str">
        <f t="shared" si="41"/>
        <v>75</v>
      </c>
      <c r="C2506" s="35">
        <v>2022</v>
      </c>
      <c r="D2506" s="35">
        <v>2022</v>
      </c>
      <c r="E2506" s="36">
        <v>7813</v>
      </c>
      <c r="F2506" s="36">
        <v>3836</v>
      </c>
      <c r="G2506" s="36">
        <v>3977</v>
      </c>
      <c r="H2506" s="1" t="s">
        <v>2</v>
      </c>
      <c r="I2506" s="1"/>
      <c r="J2506" s="1"/>
      <c r="K2506" s="1"/>
      <c r="AA2506" s="1"/>
    </row>
    <row r="2507" spans="1:27" x14ac:dyDescent="0.25">
      <c r="A2507" t="s">
        <v>93</v>
      </c>
      <c r="B2507" t="str">
        <f t="shared" si="41"/>
        <v>75</v>
      </c>
      <c r="C2507" s="35">
        <v>2023</v>
      </c>
      <c r="D2507" s="1" t="s">
        <v>4</v>
      </c>
      <c r="E2507" s="36">
        <v>7450</v>
      </c>
      <c r="F2507" s="36">
        <v>3673</v>
      </c>
      <c r="G2507" s="36">
        <v>3777</v>
      </c>
      <c r="H2507" s="1" t="s">
        <v>2</v>
      </c>
      <c r="I2507" s="1"/>
      <c r="J2507" s="1"/>
      <c r="K2507" s="1"/>
      <c r="AA2507" s="1"/>
    </row>
    <row r="2508" spans="1:27" x14ac:dyDescent="0.25">
      <c r="A2508" t="s">
        <v>93</v>
      </c>
      <c r="B2508" t="str">
        <f t="shared" si="41"/>
        <v>75</v>
      </c>
      <c r="C2508" s="35">
        <v>2023</v>
      </c>
      <c r="D2508" s="35">
        <v>2022</v>
      </c>
      <c r="E2508" s="35">
        <v>30</v>
      </c>
      <c r="F2508" s="35">
        <v>21</v>
      </c>
      <c r="G2508" s="35">
        <v>9</v>
      </c>
      <c r="H2508" s="1" t="s">
        <v>2</v>
      </c>
      <c r="I2508" s="1"/>
      <c r="J2508" s="1"/>
      <c r="K2508" s="1"/>
      <c r="AA2508" s="1"/>
    </row>
    <row r="2509" spans="1:27" x14ac:dyDescent="0.25">
      <c r="A2509" t="s">
        <v>93</v>
      </c>
      <c r="B2509" t="str">
        <f t="shared" si="41"/>
        <v>75</v>
      </c>
      <c r="C2509" s="35">
        <v>2023</v>
      </c>
      <c r="D2509" s="35">
        <v>2023</v>
      </c>
      <c r="E2509" s="36">
        <v>7420</v>
      </c>
      <c r="F2509" s="36">
        <v>3652</v>
      </c>
      <c r="G2509" s="36">
        <v>3768</v>
      </c>
      <c r="H2509" s="1" t="s">
        <v>2</v>
      </c>
      <c r="I2509" s="1"/>
      <c r="J2509" s="1"/>
      <c r="K2509" s="1"/>
      <c r="AA2509" s="1"/>
    </row>
    <row r="2510" spans="1:27" x14ac:dyDescent="0.25">
      <c r="A2510" t="s">
        <v>93</v>
      </c>
      <c r="B2510" t="str">
        <f t="shared" si="41"/>
        <v>75</v>
      </c>
      <c r="C2510" s="35">
        <v>2024</v>
      </c>
      <c r="D2510" s="1" t="s">
        <v>4</v>
      </c>
      <c r="E2510" s="36">
        <v>7663</v>
      </c>
      <c r="F2510" s="36">
        <v>3808</v>
      </c>
      <c r="G2510" s="36">
        <v>3855</v>
      </c>
      <c r="H2510" s="1" t="s">
        <v>2</v>
      </c>
      <c r="I2510" s="1"/>
      <c r="J2510" s="1"/>
      <c r="K2510" s="1"/>
      <c r="AA2510" s="1"/>
    </row>
    <row r="2511" spans="1:27" x14ac:dyDescent="0.25">
      <c r="A2511" t="s">
        <v>93</v>
      </c>
      <c r="B2511" t="str">
        <f t="shared" si="41"/>
        <v>75</v>
      </c>
      <c r="C2511" s="35">
        <v>2024</v>
      </c>
      <c r="D2511" s="35">
        <v>1997</v>
      </c>
      <c r="E2511" s="35">
        <v>1</v>
      </c>
      <c r="F2511" s="35">
        <v>1</v>
      </c>
      <c r="G2511" s="1" t="s">
        <v>2</v>
      </c>
      <c r="H2511" s="1" t="s">
        <v>2</v>
      </c>
      <c r="I2511" s="1"/>
      <c r="J2511" s="1"/>
      <c r="K2511" s="1"/>
      <c r="AA2511" s="1"/>
    </row>
    <row r="2512" spans="1:27" x14ac:dyDescent="0.25">
      <c r="A2512" t="s">
        <v>93</v>
      </c>
      <c r="B2512" t="str">
        <f t="shared" si="41"/>
        <v>75</v>
      </c>
      <c r="C2512" s="35">
        <v>2024</v>
      </c>
      <c r="D2512" s="35">
        <v>2021</v>
      </c>
      <c r="E2512" s="35">
        <v>1</v>
      </c>
      <c r="F2512" s="1" t="s">
        <v>2</v>
      </c>
      <c r="G2512" s="35">
        <v>1</v>
      </c>
      <c r="H2512" s="1" t="s">
        <v>2</v>
      </c>
      <c r="I2512" s="1"/>
      <c r="J2512" s="1"/>
      <c r="K2512" s="1"/>
      <c r="AA2512" s="1"/>
    </row>
    <row r="2513" spans="1:27" x14ac:dyDescent="0.25">
      <c r="A2513" t="s">
        <v>93</v>
      </c>
      <c r="B2513" t="str">
        <f t="shared" si="41"/>
        <v>75</v>
      </c>
      <c r="C2513" s="35">
        <v>2024</v>
      </c>
      <c r="D2513" s="35">
        <v>2023</v>
      </c>
      <c r="E2513" s="35">
        <v>23</v>
      </c>
      <c r="F2513" s="35">
        <v>14</v>
      </c>
      <c r="G2513" s="35">
        <v>9</v>
      </c>
      <c r="H2513" s="1" t="s">
        <v>2</v>
      </c>
      <c r="I2513" s="1"/>
      <c r="J2513" s="1"/>
      <c r="K2513" s="1"/>
      <c r="AA2513" s="1"/>
    </row>
    <row r="2514" spans="1:27" x14ac:dyDescent="0.25">
      <c r="A2514" t="s">
        <v>93</v>
      </c>
      <c r="B2514" t="str">
        <f t="shared" si="41"/>
        <v>75</v>
      </c>
      <c r="C2514" s="35">
        <v>2024</v>
      </c>
      <c r="D2514" s="35">
        <v>2024</v>
      </c>
      <c r="E2514" s="36">
        <v>7638</v>
      </c>
      <c r="F2514" s="36">
        <v>3793</v>
      </c>
      <c r="G2514" s="36">
        <v>3845</v>
      </c>
      <c r="H2514" s="1" t="s">
        <v>2</v>
      </c>
      <c r="I2514" s="1"/>
      <c r="J2514" s="1"/>
      <c r="K2514" s="1"/>
      <c r="AA2514" s="1"/>
    </row>
    <row r="2515" spans="1:27" x14ac:dyDescent="0.25">
      <c r="A2515" t="s">
        <v>94</v>
      </c>
      <c r="B2515" t="str">
        <f t="shared" si="41"/>
        <v>80</v>
      </c>
      <c r="C2515" s="35">
        <v>1990</v>
      </c>
      <c r="D2515" s="1" t="s">
        <v>4</v>
      </c>
      <c r="E2515" s="36">
        <v>3860</v>
      </c>
      <c r="F2515" s="36">
        <v>1563</v>
      </c>
      <c r="G2515" s="36">
        <v>2295</v>
      </c>
      <c r="H2515" s="35">
        <v>2</v>
      </c>
      <c r="I2515" s="1"/>
      <c r="J2515" s="1"/>
      <c r="K2515" s="1"/>
      <c r="AA2515" s="1"/>
    </row>
    <row r="2516" spans="1:27" x14ac:dyDescent="0.25">
      <c r="A2516" t="s">
        <v>94</v>
      </c>
      <c r="B2516" t="str">
        <f t="shared" si="41"/>
        <v>80</v>
      </c>
      <c r="C2516" s="35">
        <v>1990</v>
      </c>
      <c r="D2516" s="35">
        <v>1990</v>
      </c>
      <c r="E2516" s="36">
        <v>3857</v>
      </c>
      <c r="F2516" s="36">
        <v>1560</v>
      </c>
      <c r="G2516" s="36">
        <v>2295</v>
      </c>
      <c r="H2516" s="35">
        <v>2</v>
      </c>
      <c r="I2516" s="1"/>
      <c r="J2516" s="1"/>
      <c r="K2516" s="1"/>
      <c r="AA2516" s="1"/>
    </row>
    <row r="2517" spans="1:27" x14ac:dyDescent="0.25">
      <c r="A2517" t="s">
        <v>94</v>
      </c>
      <c r="B2517" t="str">
        <f t="shared" si="41"/>
        <v>80</v>
      </c>
      <c r="C2517" s="35">
        <v>1990</v>
      </c>
      <c r="D2517" s="1" t="s">
        <v>24</v>
      </c>
      <c r="E2517" s="35">
        <v>3</v>
      </c>
      <c r="F2517" s="35">
        <v>3</v>
      </c>
      <c r="G2517" s="1" t="s">
        <v>2</v>
      </c>
      <c r="H2517" s="1" t="s">
        <v>2</v>
      </c>
      <c r="I2517" s="1"/>
      <c r="J2517" s="1"/>
      <c r="K2517" s="1"/>
      <c r="AA2517" s="1"/>
    </row>
    <row r="2518" spans="1:27" x14ac:dyDescent="0.25">
      <c r="A2518" t="s">
        <v>94</v>
      </c>
      <c r="B2518" t="str">
        <f t="shared" si="41"/>
        <v>80</v>
      </c>
      <c r="C2518" s="35">
        <v>1991</v>
      </c>
      <c r="D2518" s="1" t="s">
        <v>4</v>
      </c>
      <c r="E2518" s="36">
        <v>4207</v>
      </c>
      <c r="F2518" s="36">
        <v>1791</v>
      </c>
      <c r="G2518" s="36">
        <v>2416</v>
      </c>
      <c r="H2518" s="1" t="s">
        <v>2</v>
      </c>
      <c r="I2518" s="1"/>
      <c r="J2518" s="1"/>
      <c r="K2518" s="1"/>
      <c r="AA2518" s="1"/>
    </row>
    <row r="2519" spans="1:27" x14ac:dyDescent="0.25">
      <c r="A2519" t="s">
        <v>94</v>
      </c>
      <c r="B2519" t="str">
        <f t="shared" si="41"/>
        <v>80</v>
      </c>
      <c r="C2519" s="35">
        <v>1991</v>
      </c>
      <c r="D2519" s="35">
        <v>1991</v>
      </c>
      <c r="E2519" s="36">
        <v>4206</v>
      </c>
      <c r="F2519" s="36">
        <v>1791</v>
      </c>
      <c r="G2519" s="36">
        <v>2415</v>
      </c>
      <c r="H2519" s="1" t="s">
        <v>2</v>
      </c>
      <c r="I2519" s="1"/>
      <c r="J2519" s="1"/>
      <c r="K2519" s="1"/>
      <c r="AA2519" s="1"/>
    </row>
    <row r="2520" spans="1:27" x14ac:dyDescent="0.25">
      <c r="A2520" t="s">
        <v>94</v>
      </c>
      <c r="B2520" t="str">
        <f t="shared" si="41"/>
        <v>80</v>
      </c>
      <c r="C2520" s="35">
        <v>1991</v>
      </c>
      <c r="D2520" s="1" t="s">
        <v>24</v>
      </c>
      <c r="E2520" s="35">
        <v>1</v>
      </c>
      <c r="F2520" s="1" t="s">
        <v>2</v>
      </c>
      <c r="G2520" s="35">
        <v>1</v>
      </c>
      <c r="H2520" s="1" t="s">
        <v>2</v>
      </c>
      <c r="I2520" s="1"/>
      <c r="J2520" s="1"/>
      <c r="K2520" s="1"/>
      <c r="AA2520" s="1"/>
    </row>
    <row r="2521" spans="1:27" x14ac:dyDescent="0.25">
      <c r="A2521" t="s">
        <v>94</v>
      </c>
      <c r="B2521" t="str">
        <f t="shared" si="41"/>
        <v>80</v>
      </c>
      <c r="C2521" s="35">
        <v>1992</v>
      </c>
      <c r="D2521" s="1" t="s">
        <v>4</v>
      </c>
      <c r="E2521" s="36">
        <v>4148</v>
      </c>
      <c r="F2521" s="36">
        <v>1737</v>
      </c>
      <c r="G2521" s="36">
        <v>2411</v>
      </c>
      <c r="H2521" s="1" t="s">
        <v>2</v>
      </c>
      <c r="I2521" s="1"/>
      <c r="J2521" s="1"/>
      <c r="K2521" s="1"/>
      <c r="AA2521" s="1"/>
    </row>
    <row r="2522" spans="1:27" x14ac:dyDescent="0.25">
      <c r="A2522" t="s">
        <v>94</v>
      </c>
      <c r="B2522" t="str">
        <f t="shared" si="41"/>
        <v>80</v>
      </c>
      <c r="C2522" s="35">
        <v>1992</v>
      </c>
      <c r="D2522" s="35">
        <v>1992</v>
      </c>
      <c r="E2522" s="36">
        <v>4148</v>
      </c>
      <c r="F2522" s="36">
        <v>1737</v>
      </c>
      <c r="G2522" s="36">
        <v>2411</v>
      </c>
      <c r="H2522" s="1" t="s">
        <v>2</v>
      </c>
      <c r="I2522" s="1"/>
      <c r="J2522" s="1"/>
      <c r="K2522" s="1"/>
      <c r="AA2522" s="1"/>
    </row>
    <row r="2523" spans="1:27" x14ac:dyDescent="0.25">
      <c r="A2523" t="s">
        <v>94</v>
      </c>
      <c r="B2523" t="str">
        <f t="shared" si="41"/>
        <v>80</v>
      </c>
      <c r="C2523" s="35">
        <v>1993</v>
      </c>
      <c r="D2523" s="1" t="s">
        <v>4</v>
      </c>
      <c r="E2523" s="36">
        <v>4225</v>
      </c>
      <c r="F2523" s="36">
        <v>1752</v>
      </c>
      <c r="G2523" s="36">
        <v>2473</v>
      </c>
      <c r="H2523" s="1" t="s">
        <v>2</v>
      </c>
      <c r="I2523" s="1"/>
      <c r="J2523" s="1"/>
      <c r="K2523" s="1"/>
      <c r="AA2523" s="1"/>
    </row>
    <row r="2524" spans="1:27" x14ac:dyDescent="0.25">
      <c r="A2524" t="s">
        <v>94</v>
      </c>
      <c r="B2524" t="str">
        <f t="shared" si="41"/>
        <v>80</v>
      </c>
      <c r="C2524" s="35">
        <v>1993</v>
      </c>
      <c r="D2524" s="35">
        <v>1903</v>
      </c>
      <c r="E2524" s="35">
        <v>1</v>
      </c>
      <c r="F2524" s="1" t="s">
        <v>2</v>
      </c>
      <c r="G2524" s="35">
        <v>1</v>
      </c>
      <c r="H2524" s="1" t="s">
        <v>2</v>
      </c>
      <c r="I2524" s="1"/>
      <c r="J2524" s="1"/>
      <c r="K2524" s="1"/>
      <c r="AA2524" s="1"/>
    </row>
    <row r="2525" spans="1:27" x14ac:dyDescent="0.25">
      <c r="A2525" t="s">
        <v>94</v>
      </c>
      <c r="B2525" t="str">
        <f t="shared" si="41"/>
        <v>80</v>
      </c>
      <c r="C2525" s="35">
        <v>1993</v>
      </c>
      <c r="D2525" s="35">
        <v>1913</v>
      </c>
      <c r="E2525" s="35">
        <v>1</v>
      </c>
      <c r="F2525" s="1" t="s">
        <v>2</v>
      </c>
      <c r="G2525" s="35">
        <v>1</v>
      </c>
      <c r="H2525" s="1" t="s">
        <v>2</v>
      </c>
      <c r="I2525" s="1"/>
      <c r="J2525" s="1"/>
      <c r="K2525" s="1"/>
      <c r="AA2525" s="1"/>
    </row>
    <row r="2526" spans="1:27" x14ac:dyDescent="0.25">
      <c r="A2526" t="s">
        <v>94</v>
      </c>
      <c r="B2526" t="str">
        <f t="shared" si="41"/>
        <v>80</v>
      </c>
      <c r="C2526" s="35">
        <v>1993</v>
      </c>
      <c r="D2526" s="35">
        <v>1943</v>
      </c>
      <c r="E2526" s="35">
        <v>1</v>
      </c>
      <c r="F2526" s="35">
        <v>1</v>
      </c>
      <c r="G2526" s="1" t="s">
        <v>2</v>
      </c>
      <c r="H2526" s="1" t="s">
        <v>2</v>
      </c>
      <c r="I2526" s="1"/>
      <c r="J2526" s="1"/>
      <c r="K2526" s="1"/>
      <c r="AA2526" s="1"/>
    </row>
    <row r="2527" spans="1:27" x14ac:dyDescent="0.25">
      <c r="A2527" t="s">
        <v>94</v>
      </c>
      <c r="B2527" t="str">
        <f t="shared" si="41"/>
        <v>80</v>
      </c>
      <c r="C2527" s="35">
        <v>1993</v>
      </c>
      <c r="D2527" s="35">
        <v>1991</v>
      </c>
      <c r="E2527" s="35">
        <v>1</v>
      </c>
      <c r="F2527" s="35">
        <v>1</v>
      </c>
      <c r="G2527" s="1" t="s">
        <v>2</v>
      </c>
      <c r="H2527" s="1" t="s">
        <v>2</v>
      </c>
      <c r="I2527" s="1"/>
      <c r="J2527" s="1"/>
      <c r="K2527" s="1"/>
      <c r="AA2527" s="1"/>
    </row>
    <row r="2528" spans="1:27" x14ac:dyDescent="0.25">
      <c r="A2528" t="s">
        <v>94</v>
      </c>
      <c r="B2528" t="str">
        <f t="shared" si="41"/>
        <v>80</v>
      </c>
      <c r="C2528" s="35">
        <v>1993</v>
      </c>
      <c r="D2528" s="35">
        <v>1992</v>
      </c>
      <c r="E2528" s="35">
        <v>23</v>
      </c>
      <c r="F2528" s="35">
        <v>9</v>
      </c>
      <c r="G2528" s="35">
        <v>14</v>
      </c>
      <c r="H2528" s="1" t="s">
        <v>2</v>
      </c>
      <c r="I2528" s="1"/>
      <c r="J2528" s="1"/>
      <c r="K2528" s="1"/>
      <c r="AA2528" s="1"/>
    </row>
    <row r="2529" spans="1:27" x14ac:dyDescent="0.25">
      <c r="A2529" t="s">
        <v>94</v>
      </c>
      <c r="B2529" t="str">
        <f t="shared" si="41"/>
        <v>80</v>
      </c>
      <c r="C2529" s="35">
        <v>1993</v>
      </c>
      <c r="D2529" s="35">
        <v>1993</v>
      </c>
      <c r="E2529" s="36">
        <v>4198</v>
      </c>
      <c r="F2529" s="36">
        <v>1741</v>
      </c>
      <c r="G2529" s="36">
        <v>2457</v>
      </c>
      <c r="H2529" s="1" t="s">
        <v>2</v>
      </c>
      <c r="I2529" s="1"/>
      <c r="J2529" s="1"/>
      <c r="K2529" s="1"/>
      <c r="AA2529" s="1"/>
    </row>
    <row r="2530" spans="1:27" x14ac:dyDescent="0.25">
      <c r="A2530" t="s">
        <v>94</v>
      </c>
      <c r="B2530" t="str">
        <f t="shared" si="41"/>
        <v>80</v>
      </c>
      <c r="C2530" s="35">
        <v>1994</v>
      </c>
      <c r="D2530" s="1" t="s">
        <v>4</v>
      </c>
      <c r="E2530" s="36">
        <v>4338</v>
      </c>
      <c r="F2530" s="36">
        <v>1833</v>
      </c>
      <c r="G2530" s="36">
        <v>2505</v>
      </c>
      <c r="H2530" s="1" t="s">
        <v>2</v>
      </c>
      <c r="I2530" s="1"/>
      <c r="J2530" s="1"/>
      <c r="K2530" s="1"/>
      <c r="AA2530" s="1"/>
    </row>
    <row r="2531" spans="1:27" x14ac:dyDescent="0.25">
      <c r="A2531" t="s">
        <v>94</v>
      </c>
      <c r="B2531" t="str">
        <f t="shared" si="41"/>
        <v>80</v>
      </c>
      <c r="C2531" s="35">
        <v>1994</v>
      </c>
      <c r="D2531" s="35">
        <v>1910</v>
      </c>
      <c r="E2531" s="35">
        <v>2</v>
      </c>
      <c r="F2531" s="35">
        <v>1</v>
      </c>
      <c r="G2531" s="35">
        <v>1</v>
      </c>
      <c r="H2531" s="1" t="s">
        <v>2</v>
      </c>
      <c r="I2531" s="1"/>
      <c r="J2531" s="1"/>
      <c r="K2531" s="1"/>
      <c r="AA2531" s="1"/>
    </row>
    <row r="2532" spans="1:27" x14ac:dyDescent="0.25">
      <c r="A2532" t="s">
        <v>94</v>
      </c>
      <c r="B2532" t="str">
        <f t="shared" si="41"/>
        <v>80</v>
      </c>
      <c r="C2532" s="35">
        <v>1994</v>
      </c>
      <c r="D2532" s="35">
        <v>1911</v>
      </c>
      <c r="E2532" s="35">
        <v>1</v>
      </c>
      <c r="F2532" s="1" t="s">
        <v>2</v>
      </c>
      <c r="G2532" s="35">
        <v>1</v>
      </c>
      <c r="H2532" s="1" t="s">
        <v>2</v>
      </c>
      <c r="I2532" s="1"/>
      <c r="J2532" s="1"/>
      <c r="K2532" s="1"/>
      <c r="AA2532" s="1"/>
    </row>
    <row r="2533" spans="1:27" x14ac:dyDescent="0.25">
      <c r="A2533" t="s">
        <v>94</v>
      </c>
      <c r="B2533" t="str">
        <f t="shared" si="41"/>
        <v>80</v>
      </c>
      <c r="C2533" s="35">
        <v>1994</v>
      </c>
      <c r="D2533" s="35">
        <v>1954</v>
      </c>
      <c r="E2533" s="35">
        <v>1</v>
      </c>
      <c r="F2533" s="1" t="s">
        <v>2</v>
      </c>
      <c r="G2533" s="35">
        <v>1</v>
      </c>
      <c r="H2533" s="1" t="s">
        <v>2</v>
      </c>
      <c r="I2533" s="1"/>
      <c r="J2533" s="1"/>
      <c r="K2533" s="1"/>
      <c r="AA2533" s="1"/>
    </row>
    <row r="2534" spans="1:27" x14ac:dyDescent="0.25">
      <c r="A2534" t="s">
        <v>94</v>
      </c>
      <c r="B2534" t="str">
        <f t="shared" si="41"/>
        <v>80</v>
      </c>
      <c r="C2534" s="35">
        <v>1994</v>
      </c>
      <c r="D2534" s="35">
        <v>1984</v>
      </c>
      <c r="E2534" s="35">
        <v>2</v>
      </c>
      <c r="F2534" s="35">
        <v>1</v>
      </c>
      <c r="G2534" s="35">
        <v>1</v>
      </c>
      <c r="H2534" s="1" t="s">
        <v>2</v>
      </c>
      <c r="I2534" s="1"/>
      <c r="J2534" s="1"/>
      <c r="K2534" s="1"/>
      <c r="AA2534" s="1"/>
    </row>
    <row r="2535" spans="1:27" x14ac:dyDescent="0.25">
      <c r="A2535" t="s">
        <v>94</v>
      </c>
      <c r="B2535" t="str">
        <f t="shared" si="41"/>
        <v>80</v>
      </c>
      <c r="C2535" s="35">
        <v>1994</v>
      </c>
      <c r="D2535" s="35">
        <v>1991</v>
      </c>
      <c r="E2535" s="35">
        <v>1</v>
      </c>
      <c r="F2535" s="1" t="s">
        <v>2</v>
      </c>
      <c r="G2535" s="35">
        <v>1</v>
      </c>
      <c r="H2535" s="1" t="s">
        <v>2</v>
      </c>
      <c r="I2535" s="1"/>
      <c r="J2535" s="1"/>
      <c r="K2535" s="1"/>
      <c r="AA2535" s="1"/>
    </row>
    <row r="2536" spans="1:27" x14ac:dyDescent="0.25">
      <c r="A2536" t="s">
        <v>94</v>
      </c>
      <c r="B2536" t="str">
        <f t="shared" si="41"/>
        <v>80</v>
      </c>
      <c r="C2536" s="35">
        <v>1994</v>
      </c>
      <c r="D2536" s="35">
        <v>1993</v>
      </c>
      <c r="E2536" s="35">
        <v>11</v>
      </c>
      <c r="F2536" s="35">
        <v>6</v>
      </c>
      <c r="G2536" s="35">
        <v>5</v>
      </c>
      <c r="H2536" s="1" t="s">
        <v>2</v>
      </c>
      <c r="I2536" s="1"/>
      <c r="J2536" s="1"/>
      <c r="K2536" s="1"/>
      <c r="AA2536" s="1"/>
    </row>
    <row r="2537" spans="1:27" x14ac:dyDescent="0.25">
      <c r="A2537" t="s">
        <v>94</v>
      </c>
      <c r="B2537" t="str">
        <f t="shared" si="41"/>
        <v>80</v>
      </c>
      <c r="C2537" s="35">
        <v>1994</v>
      </c>
      <c r="D2537" s="35">
        <v>1994</v>
      </c>
      <c r="E2537" s="36">
        <v>4320</v>
      </c>
      <c r="F2537" s="36">
        <v>1825</v>
      </c>
      <c r="G2537" s="36">
        <v>2495</v>
      </c>
      <c r="H2537" s="1" t="s">
        <v>2</v>
      </c>
      <c r="I2537" s="1"/>
      <c r="J2537" s="1"/>
      <c r="K2537" s="1"/>
      <c r="AA2537" s="1"/>
    </row>
    <row r="2538" spans="1:27" x14ac:dyDescent="0.25">
      <c r="A2538" t="s">
        <v>94</v>
      </c>
      <c r="B2538" t="str">
        <f t="shared" si="41"/>
        <v>80</v>
      </c>
      <c r="C2538" s="35">
        <v>1995</v>
      </c>
      <c r="D2538" s="1" t="s">
        <v>4</v>
      </c>
      <c r="E2538" s="36">
        <v>4346</v>
      </c>
      <c r="F2538" s="36">
        <v>1840</v>
      </c>
      <c r="G2538" s="36">
        <v>2506</v>
      </c>
      <c r="H2538" s="1" t="s">
        <v>2</v>
      </c>
      <c r="I2538" s="1"/>
      <c r="J2538" s="1"/>
      <c r="K2538" s="1"/>
      <c r="AA2538" s="1"/>
    </row>
    <row r="2539" spans="1:27" x14ac:dyDescent="0.25">
      <c r="A2539" t="s">
        <v>94</v>
      </c>
      <c r="B2539" t="str">
        <f t="shared" si="41"/>
        <v>80</v>
      </c>
      <c r="C2539" s="35">
        <v>1995</v>
      </c>
      <c r="D2539" s="35">
        <v>1901</v>
      </c>
      <c r="E2539" s="35">
        <v>1</v>
      </c>
      <c r="F2539" s="35">
        <v>1</v>
      </c>
      <c r="G2539" s="1" t="s">
        <v>2</v>
      </c>
      <c r="H2539" s="1" t="s">
        <v>2</v>
      </c>
      <c r="I2539" s="1"/>
      <c r="J2539" s="1"/>
      <c r="K2539" s="1"/>
      <c r="AA2539" s="1"/>
    </row>
    <row r="2540" spans="1:27" x14ac:dyDescent="0.25">
      <c r="A2540" t="s">
        <v>94</v>
      </c>
      <c r="B2540" t="str">
        <f t="shared" si="41"/>
        <v>80</v>
      </c>
      <c r="C2540" s="35">
        <v>1995</v>
      </c>
      <c r="D2540" s="35">
        <v>1945</v>
      </c>
      <c r="E2540" s="35">
        <v>1</v>
      </c>
      <c r="F2540" s="1" t="s">
        <v>2</v>
      </c>
      <c r="G2540" s="35">
        <v>1</v>
      </c>
      <c r="H2540" s="1" t="s">
        <v>2</v>
      </c>
      <c r="I2540" s="1"/>
      <c r="J2540" s="1"/>
      <c r="K2540" s="1"/>
      <c r="AA2540" s="1"/>
    </row>
    <row r="2541" spans="1:27" x14ac:dyDescent="0.25">
      <c r="A2541" t="s">
        <v>94</v>
      </c>
      <c r="B2541" t="str">
        <f t="shared" si="41"/>
        <v>80</v>
      </c>
      <c r="C2541" s="35">
        <v>1995</v>
      </c>
      <c r="D2541" s="35">
        <v>1965</v>
      </c>
      <c r="E2541" s="35">
        <v>1</v>
      </c>
      <c r="F2541" s="1" t="s">
        <v>2</v>
      </c>
      <c r="G2541" s="35">
        <v>1</v>
      </c>
      <c r="H2541" s="1" t="s">
        <v>2</v>
      </c>
      <c r="I2541" s="1"/>
      <c r="J2541" s="1"/>
      <c r="K2541" s="1"/>
      <c r="AA2541" s="1"/>
    </row>
    <row r="2542" spans="1:27" x14ac:dyDescent="0.25">
      <c r="A2542" t="s">
        <v>94</v>
      </c>
      <c r="B2542" t="str">
        <f t="shared" si="41"/>
        <v>80</v>
      </c>
      <c r="C2542" s="35">
        <v>1995</v>
      </c>
      <c r="D2542" s="35">
        <v>1994</v>
      </c>
      <c r="E2542" s="35">
        <v>14</v>
      </c>
      <c r="F2542" s="35">
        <v>7</v>
      </c>
      <c r="G2542" s="35">
        <v>7</v>
      </c>
      <c r="H2542" s="1" t="s">
        <v>2</v>
      </c>
      <c r="I2542" s="1"/>
      <c r="J2542" s="1"/>
      <c r="K2542" s="1"/>
      <c r="AA2542" s="1"/>
    </row>
    <row r="2543" spans="1:27" x14ac:dyDescent="0.25">
      <c r="A2543" t="s">
        <v>94</v>
      </c>
      <c r="B2543" t="str">
        <f t="shared" si="41"/>
        <v>80</v>
      </c>
      <c r="C2543" s="35">
        <v>1995</v>
      </c>
      <c r="D2543" s="35">
        <v>1995</v>
      </c>
      <c r="E2543" s="36">
        <v>4329</v>
      </c>
      <c r="F2543" s="36">
        <v>1832</v>
      </c>
      <c r="G2543" s="36">
        <v>2497</v>
      </c>
      <c r="H2543" s="1" t="s">
        <v>2</v>
      </c>
      <c r="I2543" s="1"/>
      <c r="J2543" s="1"/>
      <c r="K2543" s="1"/>
      <c r="AA2543" s="1"/>
    </row>
    <row r="2544" spans="1:27" x14ac:dyDescent="0.25">
      <c r="A2544" t="s">
        <v>94</v>
      </c>
      <c r="B2544" t="str">
        <f t="shared" si="41"/>
        <v>80</v>
      </c>
      <c r="C2544" s="35">
        <v>1996</v>
      </c>
      <c r="D2544" s="1" t="s">
        <v>4</v>
      </c>
      <c r="E2544" s="36">
        <v>4021</v>
      </c>
      <c r="F2544" s="36">
        <v>1697</v>
      </c>
      <c r="G2544" s="36">
        <v>2324</v>
      </c>
      <c r="H2544" s="1" t="s">
        <v>2</v>
      </c>
      <c r="I2544" s="1"/>
      <c r="J2544" s="1"/>
      <c r="K2544" s="1"/>
      <c r="AA2544" s="1"/>
    </row>
    <row r="2545" spans="1:27" x14ac:dyDescent="0.25">
      <c r="A2545" t="s">
        <v>94</v>
      </c>
      <c r="B2545" t="str">
        <f t="shared" si="41"/>
        <v>80</v>
      </c>
      <c r="C2545" s="35">
        <v>1996</v>
      </c>
      <c r="D2545" s="35">
        <v>1906</v>
      </c>
      <c r="E2545" s="35">
        <v>1</v>
      </c>
      <c r="F2545" s="1" t="s">
        <v>2</v>
      </c>
      <c r="G2545" s="35">
        <v>1</v>
      </c>
      <c r="H2545" s="1" t="s">
        <v>2</v>
      </c>
      <c r="I2545" s="1"/>
      <c r="J2545" s="1"/>
      <c r="K2545" s="1"/>
      <c r="AA2545" s="1"/>
    </row>
    <row r="2546" spans="1:27" x14ac:dyDescent="0.25">
      <c r="A2546" t="s">
        <v>94</v>
      </c>
      <c r="B2546" t="str">
        <f t="shared" si="41"/>
        <v>80</v>
      </c>
      <c r="C2546" s="35">
        <v>1996</v>
      </c>
      <c r="D2546" s="35">
        <v>1990</v>
      </c>
      <c r="E2546" s="35">
        <v>1</v>
      </c>
      <c r="F2546" s="1" t="s">
        <v>2</v>
      </c>
      <c r="G2546" s="35">
        <v>1</v>
      </c>
      <c r="H2546" s="1" t="s">
        <v>2</v>
      </c>
      <c r="I2546" s="1"/>
      <c r="J2546" s="1"/>
      <c r="K2546" s="1"/>
      <c r="AA2546" s="1"/>
    </row>
    <row r="2547" spans="1:27" x14ac:dyDescent="0.25">
      <c r="A2547" t="s">
        <v>94</v>
      </c>
      <c r="B2547" t="str">
        <f t="shared" si="41"/>
        <v>80</v>
      </c>
      <c r="C2547" s="35">
        <v>1996</v>
      </c>
      <c r="D2547" s="35">
        <v>1995</v>
      </c>
      <c r="E2547" s="35">
        <v>18</v>
      </c>
      <c r="F2547" s="35">
        <v>8</v>
      </c>
      <c r="G2547" s="35">
        <v>10</v>
      </c>
      <c r="H2547" s="1" t="s">
        <v>2</v>
      </c>
      <c r="I2547" s="1"/>
      <c r="J2547" s="1"/>
      <c r="K2547" s="1"/>
      <c r="AA2547" s="1"/>
    </row>
    <row r="2548" spans="1:27" x14ac:dyDescent="0.25">
      <c r="A2548" t="s">
        <v>94</v>
      </c>
      <c r="B2548" t="str">
        <f t="shared" si="41"/>
        <v>80</v>
      </c>
      <c r="C2548" s="35">
        <v>1996</v>
      </c>
      <c r="D2548" s="35">
        <v>1996</v>
      </c>
      <c r="E2548" s="36">
        <v>4001</v>
      </c>
      <c r="F2548" s="36">
        <v>1689</v>
      </c>
      <c r="G2548" s="36">
        <v>2312</v>
      </c>
      <c r="H2548" s="1" t="s">
        <v>2</v>
      </c>
      <c r="I2548" s="1"/>
      <c r="J2548" s="1"/>
      <c r="K2548" s="1"/>
      <c r="AA2548" s="1"/>
    </row>
    <row r="2549" spans="1:27" x14ac:dyDescent="0.25">
      <c r="A2549" t="s">
        <v>94</v>
      </c>
      <c r="B2549" t="str">
        <f t="shared" si="41"/>
        <v>80</v>
      </c>
      <c r="C2549" s="35">
        <v>1997</v>
      </c>
      <c r="D2549" s="1" t="s">
        <v>4</v>
      </c>
      <c r="E2549" s="36">
        <v>4110</v>
      </c>
      <c r="F2549" s="36">
        <v>1729</v>
      </c>
      <c r="G2549" s="36">
        <v>2380</v>
      </c>
      <c r="H2549" s="35">
        <v>1</v>
      </c>
      <c r="I2549" s="1"/>
      <c r="J2549" s="1"/>
      <c r="K2549" s="1"/>
      <c r="AA2549" s="1"/>
    </row>
    <row r="2550" spans="1:27" x14ac:dyDescent="0.25">
      <c r="A2550" t="s">
        <v>94</v>
      </c>
      <c r="B2550" t="str">
        <f t="shared" si="41"/>
        <v>80</v>
      </c>
      <c r="C2550" s="35">
        <v>1997</v>
      </c>
      <c r="D2550" s="35">
        <v>1987</v>
      </c>
      <c r="E2550" s="35">
        <v>1</v>
      </c>
      <c r="F2550" s="35">
        <v>1</v>
      </c>
      <c r="G2550" s="1" t="s">
        <v>2</v>
      </c>
      <c r="H2550" s="1" t="s">
        <v>2</v>
      </c>
      <c r="I2550" s="1"/>
      <c r="J2550" s="1"/>
      <c r="K2550" s="1"/>
      <c r="AA2550" s="1"/>
    </row>
    <row r="2551" spans="1:27" x14ac:dyDescent="0.25">
      <c r="A2551" t="s">
        <v>94</v>
      </c>
      <c r="B2551" t="str">
        <f t="shared" si="41"/>
        <v>80</v>
      </c>
      <c r="C2551" s="35">
        <v>1997</v>
      </c>
      <c r="D2551" s="35">
        <v>1996</v>
      </c>
      <c r="E2551" s="35">
        <v>27</v>
      </c>
      <c r="F2551" s="35">
        <v>14</v>
      </c>
      <c r="G2551" s="35">
        <v>13</v>
      </c>
      <c r="H2551" s="1" t="s">
        <v>2</v>
      </c>
      <c r="I2551" s="1"/>
      <c r="J2551" s="1"/>
      <c r="K2551" s="1"/>
      <c r="AA2551" s="1"/>
    </row>
    <row r="2552" spans="1:27" x14ac:dyDescent="0.25">
      <c r="A2552" t="s">
        <v>94</v>
      </c>
      <c r="B2552" t="str">
        <f t="shared" si="41"/>
        <v>80</v>
      </c>
      <c r="C2552" s="35">
        <v>1997</v>
      </c>
      <c r="D2552" s="35">
        <v>1997</v>
      </c>
      <c r="E2552" s="36">
        <v>4082</v>
      </c>
      <c r="F2552" s="36">
        <v>1714</v>
      </c>
      <c r="G2552" s="36">
        <v>2367</v>
      </c>
      <c r="H2552" s="35">
        <v>1</v>
      </c>
      <c r="I2552" s="1"/>
      <c r="J2552" s="1"/>
      <c r="K2552" s="1"/>
      <c r="AA2552" s="1"/>
    </row>
    <row r="2553" spans="1:27" x14ac:dyDescent="0.25">
      <c r="A2553" t="s">
        <v>94</v>
      </c>
      <c r="B2553" t="str">
        <f t="shared" si="41"/>
        <v>80</v>
      </c>
      <c r="C2553" s="35">
        <v>1998</v>
      </c>
      <c r="D2553" s="1" t="s">
        <v>4</v>
      </c>
      <c r="E2553" s="36">
        <v>3942</v>
      </c>
      <c r="F2553" s="36">
        <v>1694</v>
      </c>
      <c r="G2553" s="36">
        <v>2248</v>
      </c>
      <c r="H2553" s="1" t="s">
        <v>2</v>
      </c>
      <c r="I2553" s="1"/>
      <c r="J2553" s="1"/>
      <c r="K2553" s="1"/>
      <c r="AA2553" s="1"/>
    </row>
    <row r="2554" spans="1:27" x14ac:dyDescent="0.25">
      <c r="A2554" t="s">
        <v>94</v>
      </c>
      <c r="B2554" t="str">
        <f t="shared" si="41"/>
        <v>80</v>
      </c>
      <c r="C2554" s="35">
        <v>1998</v>
      </c>
      <c r="D2554" s="35">
        <v>1900</v>
      </c>
      <c r="E2554" s="35">
        <v>1</v>
      </c>
      <c r="F2554" s="1" t="s">
        <v>2</v>
      </c>
      <c r="G2554" s="35">
        <v>1</v>
      </c>
      <c r="H2554" s="1" t="s">
        <v>2</v>
      </c>
      <c r="I2554" s="1"/>
      <c r="J2554" s="1"/>
      <c r="K2554" s="1"/>
      <c r="AA2554" s="1"/>
    </row>
    <row r="2555" spans="1:27" x14ac:dyDescent="0.25">
      <c r="A2555" t="s">
        <v>94</v>
      </c>
      <c r="B2555" t="str">
        <f t="shared" si="41"/>
        <v>80</v>
      </c>
      <c r="C2555" s="35">
        <v>1998</v>
      </c>
      <c r="D2555" s="35">
        <v>1948</v>
      </c>
      <c r="E2555" s="35">
        <v>1</v>
      </c>
      <c r="F2555" s="1" t="s">
        <v>2</v>
      </c>
      <c r="G2555" s="35">
        <v>1</v>
      </c>
      <c r="H2555" s="1" t="s">
        <v>2</v>
      </c>
      <c r="I2555" s="1"/>
      <c r="J2555" s="1"/>
      <c r="K2555" s="1"/>
      <c r="AA2555" s="1"/>
    </row>
    <row r="2556" spans="1:27" x14ac:dyDescent="0.25">
      <c r="A2556" t="s">
        <v>94</v>
      </c>
      <c r="B2556" t="str">
        <f t="shared" si="41"/>
        <v>80</v>
      </c>
      <c r="C2556" s="35">
        <v>1998</v>
      </c>
      <c r="D2556" s="35">
        <v>1959</v>
      </c>
      <c r="E2556" s="35">
        <v>1</v>
      </c>
      <c r="F2556" s="35">
        <v>1</v>
      </c>
      <c r="G2556" s="1" t="s">
        <v>2</v>
      </c>
      <c r="H2556" s="1" t="s">
        <v>2</v>
      </c>
      <c r="I2556" s="1"/>
      <c r="J2556" s="1"/>
      <c r="K2556" s="1"/>
      <c r="AA2556" s="1"/>
    </row>
    <row r="2557" spans="1:27" x14ac:dyDescent="0.25">
      <c r="A2557" t="s">
        <v>94</v>
      </c>
      <c r="B2557" t="str">
        <f t="shared" si="41"/>
        <v>80</v>
      </c>
      <c r="C2557" s="35">
        <v>1998</v>
      </c>
      <c r="D2557" s="35">
        <v>1968</v>
      </c>
      <c r="E2557" s="35">
        <v>1</v>
      </c>
      <c r="F2557" s="1" t="s">
        <v>2</v>
      </c>
      <c r="G2557" s="35">
        <v>1</v>
      </c>
      <c r="H2557" s="1" t="s">
        <v>2</v>
      </c>
      <c r="I2557" s="1"/>
      <c r="J2557" s="1"/>
      <c r="K2557" s="1"/>
      <c r="AA2557" s="1"/>
    </row>
    <row r="2558" spans="1:27" x14ac:dyDescent="0.25">
      <c r="A2558" t="s">
        <v>94</v>
      </c>
      <c r="B2558" t="str">
        <f t="shared" si="41"/>
        <v>80</v>
      </c>
      <c r="C2558" s="35">
        <v>1998</v>
      </c>
      <c r="D2558" s="35">
        <v>1997</v>
      </c>
      <c r="E2558" s="35">
        <v>18</v>
      </c>
      <c r="F2558" s="35">
        <v>6</v>
      </c>
      <c r="G2558" s="35">
        <v>12</v>
      </c>
      <c r="H2558" s="1" t="s">
        <v>2</v>
      </c>
      <c r="I2558" s="1"/>
      <c r="J2558" s="1"/>
      <c r="K2558" s="1"/>
      <c r="AA2558" s="1"/>
    </row>
    <row r="2559" spans="1:27" x14ac:dyDescent="0.25">
      <c r="A2559" t="s">
        <v>94</v>
      </c>
      <c r="B2559" t="str">
        <f t="shared" si="41"/>
        <v>80</v>
      </c>
      <c r="C2559" s="35">
        <v>1998</v>
      </c>
      <c r="D2559" s="35">
        <v>1998</v>
      </c>
      <c r="E2559" s="36">
        <v>3920</v>
      </c>
      <c r="F2559" s="36">
        <v>1687</v>
      </c>
      <c r="G2559" s="36">
        <v>2233</v>
      </c>
      <c r="H2559" s="1" t="s">
        <v>2</v>
      </c>
      <c r="I2559" s="1"/>
      <c r="J2559" s="1"/>
      <c r="K2559" s="1"/>
      <c r="AA2559" s="1"/>
    </row>
    <row r="2560" spans="1:27" x14ac:dyDescent="0.25">
      <c r="A2560" t="s">
        <v>94</v>
      </c>
      <c r="B2560" t="str">
        <f t="shared" si="41"/>
        <v>80</v>
      </c>
      <c r="C2560" s="35">
        <v>1999</v>
      </c>
      <c r="D2560" s="1" t="s">
        <v>4</v>
      </c>
      <c r="E2560" s="36">
        <v>4138</v>
      </c>
      <c r="F2560" s="36">
        <v>1767</v>
      </c>
      <c r="G2560" s="36">
        <v>2371</v>
      </c>
      <c r="H2560" s="1" t="s">
        <v>2</v>
      </c>
      <c r="I2560" s="1"/>
      <c r="J2560" s="1"/>
      <c r="K2560" s="1"/>
      <c r="AA2560" s="1"/>
    </row>
    <row r="2561" spans="1:27" x14ac:dyDescent="0.25">
      <c r="A2561" t="s">
        <v>94</v>
      </c>
      <c r="B2561" t="str">
        <f t="shared" si="41"/>
        <v>80</v>
      </c>
      <c r="C2561" s="35">
        <v>1999</v>
      </c>
      <c r="D2561" s="35">
        <v>1919</v>
      </c>
      <c r="E2561" s="35">
        <v>1</v>
      </c>
      <c r="F2561" s="1" t="s">
        <v>2</v>
      </c>
      <c r="G2561" s="35">
        <v>1</v>
      </c>
      <c r="H2561" s="1" t="s">
        <v>2</v>
      </c>
      <c r="I2561" s="1"/>
      <c r="J2561" s="1"/>
      <c r="K2561" s="1"/>
      <c r="AA2561" s="1"/>
    </row>
    <row r="2562" spans="1:27" x14ac:dyDescent="0.25">
      <c r="A2562" t="s">
        <v>94</v>
      </c>
      <c r="B2562" t="str">
        <f t="shared" si="41"/>
        <v>80</v>
      </c>
      <c r="C2562" s="35">
        <v>1999</v>
      </c>
      <c r="D2562" s="35">
        <v>1998</v>
      </c>
      <c r="E2562" s="35">
        <v>13</v>
      </c>
      <c r="F2562" s="35">
        <v>3</v>
      </c>
      <c r="G2562" s="35">
        <v>10</v>
      </c>
      <c r="H2562" s="1" t="s">
        <v>2</v>
      </c>
      <c r="I2562" s="1"/>
      <c r="J2562" s="1"/>
      <c r="K2562" s="1"/>
      <c r="AA2562" s="1"/>
    </row>
    <row r="2563" spans="1:27" x14ac:dyDescent="0.25">
      <c r="A2563" t="s">
        <v>94</v>
      </c>
      <c r="B2563" t="str">
        <f t="shared" si="41"/>
        <v>80</v>
      </c>
      <c r="C2563" s="35">
        <v>1999</v>
      </c>
      <c r="D2563" s="35">
        <v>1999</v>
      </c>
      <c r="E2563" s="36">
        <v>4124</v>
      </c>
      <c r="F2563" s="36">
        <v>1764</v>
      </c>
      <c r="G2563" s="36">
        <v>2360</v>
      </c>
      <c r="H2563" s="1" t="s">
        <v>2</v>
      </c>
      <c r="I2563" s="1"/>
      <c r="J2563" s="1"/>
      <c r="K2563" s="1"/>
      <c r="AA2563" s="1"/>
    </row>
    <row r="2564" spans="1:27" x14ac:dyDescent="0.25">
      <c r="A2564" t="s">
        <v>94</v>
      </c>
      <c r="B2564" t="str">
        <f t="shared" si="41"/>
        <v>80</v>
      </c>
      <c r="C2564" s="35">
        <v>2000</v>
      </c>
      <c r="D2564" s="1" t="s">
        <v>4</v>
      </c>
      <c r="E2564" s="36">
        <v>4288</v>
      </c>
      <c r="F2564" s="36">
        <v>1800</v>
      </c>
      <c r="G2564" s="36">
        <v>2488</v>
      </c>
      <c r="H2564" s="1" t="s">
        <v>2</v>
      </c>
      <c r="I2564" s="1"/>
      <c r="J2564" s="1"/>
      <c r="K2564" s="1"/>
      <c r="AA2564" s="1"/>
    </row>
    <row r="2565" spans="1:27" x14ac:dyDescent="0.25">
      <c r="A2565" t="s">
        <v>94</v>
      </c>
      <c r="B2565" t="str">
        <f t="shared" si="41"/>
        <v>80</v>
      </c>
      <c r="C2565" s="35">
        <v>2000</v>
      </c>
      <c r="D2565" s="35">
        <v>1994</v>
      </c>
      <c r="E2565" s="35">
        <v>1</v>
      </c>
      <c r="F2565" s="35">
        <v>1</v>
      </c>
      <c r="G2565" s="1" t="s">
        <v>2</v>
      </c>
      <c r="H2565" s="1" t="s">
        <v>2</v>
      </c>
      <c r="I2565" s="1"/>
      <c r="J2565" s="1"/>
      <c r="K2565" s="1"/>
      <c r="AA2565" s="1"/>
    </row>
    <row r="2566" spans="1:27" x14ac:dyDescent="0.25">
      <c r="A2566" t="s">
        <v>94</v>
      </c>
      <c r="B2566" t="str">
        <f t="shared" si="41"/>
        <v>80</v>
      </c>
      <c r="C2566" s="35">
        <v>2000</v>
      </c>
      <c r="D2566" s="35">
        <v>1999</v>
      </c>
      <c r="E2566" s="35">
        <v>11</v>
      </c>
      <c r="F2566" s="35">
        <v>4</v>
      </c>
      <c r="G2566" s="35">
        <v>7</v>
      </c>
      <c r="H2566" s="1" t="s">
        <v>2</v>
      </c>
      <c r="I2566" s="1"/>
      <c r="J2566" s="1"/>
      <c r="K2566" s="1"/>
      <c r="AA2566" s="1"/>
    </row>
    <row r="2567" spans="1:27" x14ac:dyDescent="0.25">
      <c r="A2567" t="s">
        <v>94</v>
      </c>
      <c r="B2567" t="str">
        <f t="shared" ref="B2567:B2630" si="42">IF(A2567="Menores de 1 año",0,LEFT(A2567,2))</f>
        <v>80</v>
      </c>
      <c r="C2567" s="35">
        <v>2000</v>
      </c>
      <c r="D2567" s="35">
        <v>2000</v>
      </c>
      <c r="E2567" s="36">
        <v>4276</v>
      </c>
      <c r="F2567" s="36">
        <v>1795</v>
      </c>
      <c r="G2567" s="36">
        <v>2481</v>
      </c>
      <c r="H2567" s="1" t="s">
        <v>2</v>
      </c>
      <c r="I2567" s="1"/>
      <c r="J2567" s="1"/>
      <c r="K2567" s="1"/>
      <c r="AA2567" s="1"/>
    </row>
    <row r="2568" spans="1:27" x14ac:dyDescent="0.25">
      <c r="A2568" t="s">
        <v>94</v>
      </c>
      <c r="B2568" t="str">
        <f t="shared" si="42"/>
        <v>80</v>
      </c>
      <c r="C2568" s="35">
        <v>2001</v>
      </c>
      <c r="D2568" s="1" t="s">
        <v>4</v>
      </c>
      <c r="E2568" s="36">
        <v>4486</v>
      </c>
      <c r="F2568" s="36">
        <v>1960</v>
      </c>
      <c r="G2568" s="36">
        <v>2526</v>
      </c>
      <c r="H2568" s="1" t="s">
        <v>2</v>
      </c>
      <c r="I2568" s="1"/>
      <c r="J2568" s="1"/>
      <c r="K2568" s="1"/>
      <c r="AA2568" s="1"/>
    </row>
    <row r="2569" spans="1:27" x14ac:dyDescent="0.25">
      <c r="A2569" t="s">
        <v>94</v>
      </c>
      <c r="B2569" t="str">
        <f t="shared" si="42"/>
        <v>80</v>
      </c>
      <c r="C2569" s="35">
        <v>2001</v>
      </c>
      <c r="D2569" s="35">
        <v>2000</v>
      </c>
      <c r="E2569" s="35">
        <v>12</v>
      </c>
      <c r="F2569" s="35">
        <v>6</v>
      </c>
      <c r="G2569" s="35">
        <v>6</v>
      </c>
      <c r="H2569" s="1" t="s">
        <v>2</v>
      </c>
      <c r="I2569" s="1"/>
      <c r="J2569" s="1"/>
      <c r="K2569" s="1"/>
      <c r="AA2569" s="1"/>
    </row>
    <row r="2570" spans="1:27" x14ac:dyDescent="0.25">
      <c r="A2570" t="s">
        <v>94</v>
      </c>
      <c r="B2570" t="str">
        <f t="shared" si="42"/>
        <v>80</v>
      </c>
      <c r="C2570" s="35">
        <v>2001</v>
      </c>
      <c r="D2570" s="35">
        <v>2001</v>
      </c>
      <c r="E2570" s="36">
        <v>4474</v>
      </c>
      <c r="F2570" s="36">
        <v>1954</v>
      </c>
      <c r="G2570" s="36">
        <v>2520</v>
      </c>
      <c r="H2570" s="1" t="s">
        <v>2</v>
      </c>
      <c r="I2570" s="1"/>
      <c r="J2570" s="1"/>
      <c r="K2570" s="1"/>
      <c r="AA2570" s="1"/>
    </row>
    <row r="2571" spans="1:27" x14ac:dyDescent="0.25">
      <c r="A2571" t="s">
        <v>94</v>
      </c>
      <c r="B2571" t="str">
        <f t="shared" si="42"/>
        <v>80</v>
      </c>
      <c r="C2571" s="35">
        <v>2002</v>
      </c>
      <c r="D2571" s="1" t="s">
        <v>4</v>
      </c>
      <c r="E2571" s="36">
        <v>4644</v>
      </c>
      <c r="F2571" s="36">
        <v>2020</v>
      </c>
      <c r="G2571" s="36">
        <v>2624</v>
      </c>
      <c r="H2571" s="1" t="s">
        <v>2</v>
      </c>
      <c r="I2571" s="1"/>
      <c r="J2571" s="1"/>
      <c r="K2571" s="1"/>
      <c r="AA2571" s="1"/>
    </row>
    <row r="2572" spans="1:27" x14ac:dyDescent="0.25">
      <c r="A2572" t="s">
        <v>94</v>
      </c>
      <c r="B2572" t="str">
        <f t="shared" si="42"/>
        <v>80</v>
      </c>
      <c r="C2572" s="35">
        <v>2002</v>
      </c>
      <c r="D2572" s="35">
        <v>2000</v>
      </c>
      <c r="E2572" s="35">
        <v>1</v>
      </c>
      <c r="F2572" s="1" t="s">
        <v>2</v>
      </c>
      <c r="G2572" s="35">
        <v>1</v>
      </c>
      <c r="H2572" s="1" t="s">
        <v>2</v>
      </c>
      <c r="I2572" s="1"/>
      <c r="J2572" s="1"/>
      <c r="K2572" s="1"/>
      <c r="AA2572" s="1"/>
    </row>
    <row r="2573" spans="1:27" x14ac:dyDescent="0.25">
      <c r="A2573" t="s">
        <v>94</v>
      </c>
      <c r="B2573" t="str">
        <f t="shared" si="42"/>
        <v>80</v>
      </c>
      <c r="C2573" s="35">
        <v>2002</v>
      </c>
      <c r="D2573" s="35">
        <v>2001</v>
      </c>
      <c r="E2573" s="35">
        <v>25</v>
      </c>
      <c r="F2573" s="35">
        <v>14</v>
      </c>
      <c r="G2573" s="35">
        <v>11</v>
      </c>
      <c r="H2573" s="1" t="s">
        <v>2</v>
      </c>
      <c r="I2573" s="1"/>
      <c r="J2573" s="1"/>
      <c r="K2573" s="1"/>
      <c r="AA2573" s="1"/>
    </row>
    <row r="2574" spans="1:27" x14ac:dyDescent="0.25">
      <c r="A2574" t="s">
        <v>94</v>
      </c>
      <c r="B2574" t="str">
        <f t="shared" si="42"/>
        <v>80</v>
      </c>
      <c r="C2574" s="35">
        <v>2002</v>
      </c>
      <c r="D2574" s="35">
        <v>2002</v>
      </c>
      <c r="E2574" s="36">
        <v>4618</v>
      </c>
      <c r="F2574" s="36">
        <v>2006</v>
      </c>
      <c r="G2574" s="36">
        <v>2612</v>
      </c>
      <c r="H2574" s="1" t="s">
        <v>2</v>
      </c>
      <c r="I2574" s="1"/>
      <c r="J2574" s="1"/>
      <c r="K2574" s="1"/>
      <c r="AA2574" s="1"/>
    </row>
    <row r="2575" spans="1:27" x14ac:dyDescent="0.25">
      <c r="A2575" t="s">
        <v>94</v>
      </c>
      <c r="B2575" t="str">
        <f t="shared" si="42"/>
        <v>80</v>
      </c>
      <c r="C2575" s="35">
        <v>2003</v>
      </c>
      <c r="D2575" s="1" t="s">
        <v>4</v>
      </c>
      <c r="E2575" s="36">
        <v>5064</v>
      </c>
      <c r="F2575" s="36">
        <v>2244</v>
      </c>
      <c r="G2575" s="36">
        <v>2820</v>
      </c>
      <c r="H2575" s="1" t="s">
        <v>2</v>
      </c>
      <c r="I2575" s="1"/>
      <c r="J2575" s="1"/>
      <c r="K2575" s="1"/>
      <c r="AA2575" s="1"/>
    </row>
    <row r="2576" spans="1:27" x14ac:dyDescent="0.25">
      <c r="A2576" t="s">
        <v>94</v>
      </c>
      <c r="B2576" t="str">
        <f t="shared" si="42"/>
        <v>80</v>
      </c>
      <c r="C2576" s="35">
        <v>2003</v>
      </c>
      <c r="D2576" s="35">
        <v>1922</v>
      </c>
      <c r="E2576" s="35">
        <v>1</v>
      </c>
      <c r="F2576" s="1" t="s">
        <v>2</v>
      </c>
      <c r="G2576" s="35">
        <v>1</v>
      </c>
      <c r="H2576" s="1" t="s">
        <v>2</v>
      </c>
      <c r="I2576" s="1"/>
      <c r="J2576" s="1"/>
      <c r="K2576" s="1"/>
      <c r="AA2576" s="1"/>
    </row>
    <row r="2577" spans="1:27" x14ac:dyDescent="0.25">
      <c r="A2577" t="s">
        <v>94</v>
      </c>
      <c r="B2577" t="str">
        <f t="shared" si="42"/>
        <v>80</v>
      </c>
      <c r="C2577" s="35">
        <v>2003</v>
      </c>
      <c r="D2577" s="35">
        <v>2000</v>
      </c>
      <c r="E2577" s="35">
        <v>1</v>
      </c>
      <c r="F2577" s="35">
        <v>1</v>
      </c>
      <c r="G2577" s="1" t="s">
        <v>2</v>
      </c>
      <c r="H2577" s="1" t="s">
        <v>2</v>
      </c>
      <c r="I2577" s="1"/>
      <c r="J2577" s="1"/>
      <c r="K2577" s="1"/>
      <c r="AA2577" s="1"/>
    </row>
    <row r="2578" spans="1:27" x14ac:dyDescent="0.25">
      <c r="A2578" t="s">
        <v>94</v>
      </c>
      <c r="B2578" t="str">
        <f t="shared" si="42"/>
        <v>80</v>
      </c>
      <c r="C2578" s="35">
        <v>2003</v>
      </c>
      <c r="D2578" s="35">
        <v>2002</v>
      </c>
      <c r="E2578" s="35">
        <v>19</v>
      </c>
      <c r="F2578" s="35">
        <v>7</v>
      </c>
      <c r="G2578" s="35">
        <v>12</v>
      </c>
      <c r="H2578" s="1" t="s">
        <v>2</v>
      </c>
      <c r="I2578" s="1"/>
      <c r="J2578" s="1"/>
      <c r="K2578" s="1"/>
      <c r="AA2578" s="1"/>
    </row>
    <row r="2579" spans="1:27" x14ac:dyDescent="0.25">
      <c r="A2579" t="s">
        <v>94</v>
      </c>
      <c r="B2579" t="str">
        <f t="shared" si="42"/>
        <v>80</v>
      </c>
      <c r="C2579" s="35">
        <v>2003</v>
      </c>
      <c r="D2579" s="35">
        <v>2003</v>
      </c>
      <c r="E2579" s="36">
        <v>5043</v>
      </c>
      <c r="F2579" s="36">
        <v>2236</v>
      </c>
      <c r="G2579" s="36">
        <v>2807</v>
      </c>
      <c r="H2579" s="1" t="s">
        <v>2</v>
      </c>
      <c r="I2579" s="1"/>
      <c r="J2579" s="1"/>
      <c r="K2579" s="1"/>
      <c r="AA2579" s="1"/>
    </row>
    <row r="2580" spans="1:27" x14ac:dyDescent="0.25">
      <c r="A2580" t="s">
        <v>94</v>
      </c>
      <c r="B2580" t="str">
        <f t="shared" si="42"/>
        <v>80</v>
      </c>
      <c r="C2580" s="35">
        <v>2004</v>
      </c>
      <c r="D2580" s="1" t="s">
        <v>4</v>
      </c>
      <c r="E2580" s="36">
        <v>5506</v>
      </c>
      <c r="F2580" s="36">
        <v>2402</v>
      </c>
      <c r="G2580" s="36">
        <v>3104</v>
      </c>
      <c r="H2580" s="1" t="s">
        <v>2</v>
      </c>
      <c r="I2580" s="1"/>
      <c r="J2580" s="1"/>
      <c r="K2580" s="1"/>
      <c r="AA2580" s="1"/>
    </row>
    <row r="2581" spans="1:27" x14ac:dyDescent="0.25">
      <c r="A2581" t="s">
        <v>94</v>
      </c>
      <c r="B2581" t="str">
        <f t="shared" si="42"/>
        <v>80</v>
      </c>
      <c r="C2581" s="35">
        <v>2004</v>
      </c>
      <c r="D2581" s="35">
        <v>2003</v>
      </c>
      <c r="E2581" s="35">
        <v>24</v>
      </c>
      <c r="F2581" s="35">
        <v>14</v>
      </c>
      <c r="G2581" s="35">
        <v>10</v>
      </c>
      <c r="H2581" s="1" t="s">
        <v>2</v>
      </c>
      <c r="I2581" s="1"/>
      <c r="J2581" s="1"/>
      <c r="K2581" s="1"/>
      <c r="AA2581" s="1"/>
    </row>
    <row r="2582" spans="1:27" x14ac:dyDescent="0.25">
      <c r="A2582" t="s">
        <v>94</v>
      </c>
      <c r="B2582" t="str">
        <f t="shared" si="42"/>
        <v>80</v>
      </c>
      <c r="C2582" s="35">
        <v>2004</v>
      </c>
      <c r="D2582" s="35">
        <v>2004</v>
      </c>
      <c r="E2582" s="36">
        <v>5482</v>
      </c>
      <c r="F2582" s="36">
        <v>2388</v>
      </c>
      <c r="G2582" s="36">
        <v>3094</v>
      </c>
      <c r="H2582" s="1" t="s">
        <v>2</v>
      </c>
      <c r="I2582" s="1"/>
      <c r="J2582" s="1"/>
      <c r="K2582" s="1"/>
      <c r="AA2582" s="1"/>
    </row>
    <row r="2583" spans="1:27" x14ac:dyDescent="0.25">
      <c r="A2583" t="s">
        <v>94</v>
      </c>
      <c r="B2583" t="str">
        <f t="shared" si="42"/>
        <v>80</v>
      </c>
      <c r="C2583" s="35">
        <v>2005</v>
      </c>
      <c r="D2583" s="1" t="s">
        <v>4</v>
      </c>
      <c r="E2583" s="36">
        <v>5698</v>
      </c>
      <c r="F2583" s="36">
        <v>2600</v>
      </c>
      <c r="G2583" s="36">
        <v>3098</v>
      </c>
      <c r="H2583" s="1" t="s">
        <v>2</v>
      </c>
      <c r="I2583" s="1"/>
      <c r="J2583" s="1"/>
      <c r="K2583" s="1"/>
      <c r="AA2583" s="1"/>
    </row>
    <row r="2584" spans="1:27" x14ac:dyDescent="0.25">
      <c r="A2584" t="s">
        <v>94</v>
      </c>
      <c r="B2584" t="str">
        <f t="shared" si="42"/>
        <v>80</v>
      </c>
      <c r="C2584" s="35">
        <v>2005</v>
      </c>
      <c r="D2584" s="35">
        <v>2004</v>
      </c>
      <c r="E2584" s="35">
        <v>18</v>
      </c>
      <c r="F2584" s="35">
        <v>13</v>
      </c>
      <c r="G2584" s="35">
        <v>5</v>
      </c>
      <c r="H2584" s="1" t="s">
        <v>2</v>
      </c>
      <c r="I2584" s="1"/>
      <c r="J2584" s="1"/>
      <c r="K2584" s="1"/>
      <c r="AA2584" s="1"/>
    </row>
    <row r="2585" spans="1:27" x14ac:dyDescent="0.25">
      <c r="A2585" t="s">
        <v>94</v>
      </c>
      <c r="B2585" t="str">
        <f t="shared" si="42"/>
        <v>80</v>
      </c>
      <c r="C2585" s="35">
        <v>2005</v>
      </c>
      <c r="D2585" s="35">
        <v>2005</v>
      </c>
      <c r="E2585" s="36">
        <v>5680</v>
      </c>
      <c r="F2585" s="36">
        <v>2587</v>
      </c>
      <c r="G2585" s="36">
        <v>3093</v>
      </c>
      <c r="H2585" s="1" t="s">
        <v>2</v>
      </c>
      <c r="I2585" s="1"/>
      <c r="J2585" s="1"/>
      <c r="K2585" s="1"/>
      <c r="AA2585" s="1"/>
    </row>
    <row r="2586" spans="1:27" x14ac:dyDescent="0.25">
      <c r="A2586" t="s">
        <v>94</v>
      </c>
      <c r="B2586" t="str">
        <f t="shared" si="42"/>
        <v>80</v>
      </c>
      <c r="C2586" s="35">
        <v>2006</v>
      </c>
      <c r="D2586" s="1" t="s">
        <v>4</v>
      </c>
      <c r="E2586" s="36">
        <v>5692</v>
      </c>
      <c r="F2586" s="36">
        <v>2545</v>
      </c>
      <c r="G2586" s="36">
        <v>3147</v>
      </c>
      <c r="H2586" s="1" t="s">
        <v>2</v>
      </c>
      <c r="I2586" s="1"/>
      <c r="J2586" s="1"/>
      <c r="K2586" s="1"/>
      <c r="AA2586" s="1"/>
    </row>
    <row r="2587" spans="1:27" x14ac:dyDescent="0.25">
      <c r="A2587" t="s">
        <v>94</v>
      </c>
      <c r="B2587" t="str">
        <f t="shared" si="42"/>
        <v>80</v>
      </c>
      <c r="C2587" s="35">
        <v>2006</v>
      </c>
      <c r="D2587" s="35">
        <v>2000</v>
      </c>
      <c r="E2587" s="35">
        <v>1</v>
      </c>
      <c r="F2587" s="1" t="s">
        <v>2</v>
      </c>
      <c r="G2587" s="35">
        <v>1</v>
      </c>
      <c r="H2587" s="1" t="s">
        <v>2</v>
      </c>
      <c r="I2587" s="1"/>
      <c r="J2587" s="1"/>
      <c r="K2587" s="1"/>
      <c r="AA2587" s="1"/>
    </row>
    <row r="2588" spans="1:27" x14ac:dyDescent="0.25">
      <c r="A2588" t="s">
        <v>94</v>
      </c>
      <c r="B2588" t="str">
        <f t="shared" si="42"/>
        <v>80</v>
      </c>
      <c r="C2588" s="35">
        <v>2006</v>
      </c>
      <c r="D2588" s="35">
        <v>2005</v>
      </c>
      <c r="E2588" s="35">
        <v>33</v>
      </c>
      <c r="F2588" s="35">
        <v>18</v>
      </c>
      <c r="G2588" s="35">
        <v>15</v>
      </c>
      <c r="H2588" s="1" t="s">
        <v>2</v>
      </c>
      <c r="I2588" s="1"/>
      <c r="J2588" s="1"/>
      <c r="K2588" s="1"/>
      <c r="AA2588" s="1"/>
    </row>
    <row r="2589" spans="1:27" x14ac:dyDescent="0.25">
      <c r="A2589" t="s">
        <v>94</v>
      </c>
      <c r="B2589" t="str">
        <f t="shared" si="42"/>
        <v>80</v>
      </c>
      <c r="C2589" s="35">
        <v>2006</v>
      </c>
      <c r="D2589" s="35">
        <v>2006</v>
      </c>
      <c r="E2589" s="36">
        <v>5658</v>
      </c>
      <c r="F2589" s="36">
        <v>2527</v>
      </c>
      <c r="G2589" s="36">
        <v>3131</v>
      </c>
      <c r="H2589" s="1" t="s">
        <v>2</v>
      </c>
      <c r="I2589" s="1"/>
      <c r="J2589" s="1"/>
      <c r="K2589" s="1"/>
      <c r="AA2589" s="1"/>
    </row>
    <row r="2590" spans="1:27" x14ac:dyDescent="0.25">
      <c r="A2590" t="s">
        <v>94</v>
      </c>
      <c r="B2590" t="str">
        <f t="shared" si="42"/>
        <v>80</v>
      </c>
      <c r="C2590" s="35">
        <v>2007</v>
      </c>
      <c r="D2590" s="1" t="s">
        <v>4</v>
      </c>
      <c r="E2590" s="36">
        <v>5829</v>
      </c>
      <c r="F2590" s="36">
        <v>2506</v>
      </c>
      <c r="G2590" s="36">
        <v>3323</v>
      </c>
      <c r="H2590" s="1" t="s">
        <v>2</v>
      </c>
      <c r="I2590" s="1"/>
      <c r="J2590" s="1"/>
      <c r="K2590" s="1"/>
      <c r="AA2590" s="1"/>
    </row>
    <row r="2591" spans="1:27" x14ac:dyDescent="0.25">
      <c r="A2591" t="s">
        <v>94</v>
      </c>
      <c r="B2591" t="str">
        <f t="shared" si="42"/>
        <v>80</v>
      </c>
      <c r="C2591" s="35">
        <v>2007</v>
      </c>
      <c r="D2591" s="35">
        <v>2006</v>
      </c>
      <c r="E2591" s="35">
        <v>40</v>
      </c>
      <c r="F2591" s="35">
        <v>30</v>
      </c>
      <c r="G2591" s="35">
        <v>10</v>
      </c>
      <c r="H2591" s="1" t="s">
        <v>2</v>
      </c>
      <c r="I2591" s="1"/>
      <c r="J2591" s="1"/>
      <c r="K2591" s="1"/>
      <c r="AA2591" s="1"/>
    </row>
    <row r="2592" spans="1:27" x14ac:dyDescent="0.25">
      <c r="A2592" t="s">
        <v>94</v>
      </c>
      <c r="B2592" t="str">
        <f t="shared" si="42"/>
        <v>80</v>
      </c>
      <c r="C2592" s="35">
        <v>2007</v>
      </c>
      <c r="D2592" s="35">
        <v>2007</v>
      </c>
      <c r="E2592" s="36">
        <v>5789</v>
      </c>
      <c r="F2592" s="36">
        <v>2476</v>
      </c>
      <c r="G2592" s="36">
        <v>3313</v>
      </c>
      <c r="H2592" s="1" t="s">
        <v>2</v>
      </c>
      <c r="I2592" s="1"/>
      <c r="J2592" s="1"/>
      <c r="K2592" s="1"/>
      <c r="AA2592" s="1"/>
    </row>
    <row r="2593" spans="1:27" x14ac:dyDescent="0.25">
      <c r="A2593" t="s">
        <v>94</v>
      </c>
      <c r="B2593" t="str">
        <f t="shared" si="42"/>
        <v>80</v>
      </c>
      <c r="C2593" s="35">
        <v>2008</v>
      </c>
      <c r="D2593" s="1" t="s">
        <v>4</v>
      </c>
      <c r="E2593" s="36">
        <v>5926</v>
      </c>
      <c r="F2593" s="36">
        <v>2479</v>
      </c>
      <c r="G2593" s="36">
        <v>3447</v>
      </c>
      <c r="H2593" s="1" t="s">
        <v>2</v>
      </c>
      <c r="I2593" s="1"/>
      <c r="J2593" s="1"/>
      <c r="K2593" s="1"/>
      <c r="AA2593" s="1"/>
    </row>
    <row r="2594" spans="1:27" x14ac:dyDescent="0.25">
      <c r="A2594" t="s">
        <v>94</v>
      </c>
      <c r="B2594" t="str">
        <f t="shared" si="42"/>
        <v>80</v>
      </c>
      <c r="C2594" s="35">
        <v>2008</v>
      </c>
      <c r="D2594" s="35">
        <v>2004</v>
      </c>
      <c r="E2594" s="35">
        <v>10</v>
      </c>
      <c r="F2594" s="35">
        <v>7</v>
      </c>
      <c r="G2594" s="35">
        <v>3</v>
      </c>
      <c r="H2594" s="1" t="s">
        <v>2</v>
      </c>
      <c r="I2594" s="1"/>
      <c r="J2594" s="1"/>
      <c r="K2594" s="1"/>
      <c r="AA2594" s="1"/>
    </row>
    <row r="2595" spans="1:27" x14ac:dyDescent="0.25">
      <c r="A2595" t="s">
        <v>94</v>
      </c>
      <c r="B2595" t="str">
        <f t="shared" si="42"/>
        <v>80</v>
      </c>
      <c r="C2595" s="35">
        <v>2008</v>
      </c>
      <c r="D2595" s="35">
        <v>2005</v>
      </c>
      <c r="E2595" s="35">
        <v>11</v>
      </c>
      <c r="F2595" s="35">
        <v>5</v>
      </c>
      <c r="G2595" s="35">
        <v>6</v>
      </c>
      <c r="H2595" s="1" t="s">
        <v>2</v>
      </c>
      <c r="I2595" s="1"/>
      <c r="J2595" s="1"/>
      <c r="K2595" s="1"/>
      <c r="AA2595" s="1"/>
    </row>
    <row r="2596" spans="1:27" x14ac:dyDescent="0.25">
      <c r="A2596" t="s">
        <v>94</v>
      </c>
      <c r="B2596" t="str">
        <f t="shared" si="42"/>
        <v>80</v>
      </c>
      <c r="C2596" s="35">
        <v>2008</v>
      </c>
      <c r="D2596" s="35">
        <v>2007</v>
      </c>
      <c r="E2596" s="35">
        <v>30</v>
      </c>
      <c r="F2596" s="35">
        <v>22</v>
      </c>
      <c r="G2596" s="35">
        <v>8</v>
      </c>
      <c r="H2596" s="1" t="s">
        <v>2</v>
      </c>
      <c r="I2596" s="1"/>
      <c r="J2596" s="1"/>
      <c r="K2596" s="1"/>
      <c r="AA2596" s="1"/>
    </row>
    <row r="2597" spans="1:27" x14ac:dyDescent="0.25">
      <c r="A2597" t="s">
        <v>94</v>
      </c>
      <c r="B2597" t="str">
        <f t="shared" si="42"/>
        <v>80</v>
      </c>
      <c r="C2597" s="35">
        <v>2008</v>
      </c>
      <c r="D2597" s="35">
        <v>2008</v>
      </c>
      <c r="E2597" s="36">
        <v>5875</v>
      </c>
      <c r="F2597" s="36">
        <v>2445</v>
      </c>
      <c r="G2597" s="36">
        <v>3430</v>
      </c>
      <c r="H2597" s="1" t="s">
        <v>2</v>
      </c>
      <c r="I2597" s="1"/>
      <c r="J2597" s="1"/>
      <c r="K2597" s="1"/>
      <c r="AA2597" s="1"/>
    </row>
    <row r="2598" spans="1:27" x14ac:dyDescent="0.25">
      <c r="A2598" t="s">
        <v>94</v>
      </c>
      <c r="B2598" t="str">
        <f t="shared" si="42"/>
        <v>80</v>
      </c>
      <c r="C2598" s="35">
        <v>2009</v>
      </c>
      <c r="D2598" s="1" t="s">
        <v>4</v>
      </c>
      <c r="E2598" s="36">
        <v>6030</v>
      </c>
      <c r="F2598" s="36">
        <v>2590</v>
      </c>
      <c r="G2598" s="36">
        <v>3440</v>
      </c>
      <c r="H2598" s="1" t="s">
        <v>2</v>
      </c>
      <c r="I2598" s="1"/>
      <c r="J2598" s="1"/>
      <c r="K2598" s="1"/>
      <c r="AA2598" s="1"/>
    </row>
    <row r="2599" spans="1:27" x14ac:dyDescent="0.25">
      <c r="A2599" t="s">
        <v>94</v>
      </c>
      <c r="B2599" t="str">
        <f t="shared" si="42"/>
        <v>80</v>
      </c>
      <c r="C2599" s="35">
        <v>2009</v>
      </c>
      <c r="D2599" s="35">
        <v>2004</v>
      </c>
      <c r="E2599" s="35">
        <v>1</v>
      </c>
      <c r="F2599" s="1" t="s">
        <v>2</v>
      </c>
      <c r="G2599" s="35">
        <v>1</v>
      </c>
      <c r="H2599" s="1" t="s">
        <v>2</v>
      </c>
      <c r="I2599" s="1"/>
      <c r="J2599" s="1"/>
      <c r="K2599" s="1"/>
      <c r="AA2599" s="1"/>
    </row>
    <row r="2600" spans="1:27" x14ac:dyDescent="0.25">
      <c r="A2600" t="s">
        <v>94</v>
      </c>
      <c r="B2600" t="str">
        <f t="shared" si="42"/>
        <v>80</v>
      </c>
      <c r="C2600" s="35">
        <v>2009</v>
      </c>
      <c r="D2600" s="35">
        <v>2006</v>
      </c>
      <c r="E2600" s="35">
        <v>1</v>
      </c>
      <c r="F2600" s="1" t="s">
        <v>2</v>
      </c>
      <c r="G2600" s="35">
        <v>1</v>
      </c>
      <c r="H2600" s="1" t="s">
        <v>2</v>
      </c>
      <c r="I2600" s="1"/>
      <c r="J2600" s="1"/>
      <c r="K2600" s="1"/>
      <c r="AA2600" s="1"/>
    </row>
    <row r="2601" spans="1:27" x14ac:dyDescent="0.25">
      <c r="A2601" t="s">
        <v>94</v>
      </c>
      <c r="B2601" t="str">
        <f t="shared" si="42"/>
        <v>80</v>
      </c>
      <c r="C2601" s="35">
        <v>2009</v>
      </c>
      <c r="D2601" s="35">
        <v>2007</v>
      </c>
      <c r="E2601" s="35">
        <v>1</v>
      </c>
      <c r="F2601" s="35">
        <v>1</v>
      </c>
      <c r="G2601" s="1" t="s">
        <v>2</v>
      </c>
      <c r="H2601" s="1" t="s">
        <v>2</v>
      </c>
      <c r="I2601" s="1"/>
      <c r="J2601" s="1"/>
      <c r="K2601" s="1"/>
      <c r="AA2601" s="1"/>
    </row>
    <row r="2602" spans="1:27" x14ac:dyDescent="0.25">
      <c r="A2602" t="s">
        <v>94</v>
      </c>
      <c r="B2602" t="str">
        <f t="shared" si="42"/>
        <v>80</v>
      </c>
      <c r="C2602" s="35">
        <v>2009</v>
      </c>
      <c r="D2602" s="35">
        <v>2008</v>
      </c>
      <c r="E2602" s="35">
        <v>28</v>
      </c>
      <c r="F2602" s="35">
        <v>14</v>
      </c>
      <c r="G2602" s="35">
        <v>14</v>
      </c>
      <c r="H2602" s="1" t="s">
        <v>2</v>
      </c>
      <c r="I2602" s="1"/>
      <c r="J2602" s="1"/>
      <c r="K2602" s="1"/>
      <c r="AA2602" s="1"/>
    </row>
    <row r="2603" spans="1:27" x14ac:dyDescent="0.25">
      <c r="A2603" t="s">
        <v>94</v>
      </c>
      <c r="B2603" t="str">
        <f t="shared" si="42"/>
        <v>80</v>
      </c>
      <c r="C2603" s="35">
        <v>2009</v>
      </c>
      <c r="D2603" s="35">
        <v>2009</v>
      </c>
      <c r="E2603" s="36">
        <v>5999</v>
      </c>
      <c r="F2603" s="36">
        <v>2575</v>
      </c>
      <c r="G2603" s="36">
        <v>3424</v>
      </c>
      <c r="H2603" s="1" t="s">
        <v>2</v>
      </c>
      <c r="I2603" s="1"/>
      <c r="J2603" s="1"/>
      <c r="K2603" s="1"/>
      <c r="AA2603" s="1"/>
    </row>
    <row r="2604" spans="1:27" x14ac:dyDescent="0.25">
      <c r="A2604" t="s">
        <v>94</v>
      </c>
      <c r="B2604" t="str">
        <f t="shared" si="42"/>
        <v>80</v>
      </c>
      <c r="C2604" s="35">
        <v>2010</v>
      </c>
      <c r="D2604" s="1" t="s">
        <v>4</v>
      </c>
      <c r="E2604" s="36">
        <v>6328</v>
      </c>
      <c r="F2604" s="36">
        <v>2741</v>
      </c>
      <c r="G2604" s="36">
        <v>3587</v>
      </c>
      <c r="H2604" s="1" t="s">
        <v>2</v>
      </c>
      <c r="I2604" s="1"/>
      <c r="J2604" s="1"/>
      <c r="K2604" s="1"/>
      <c r="AA2604" s="1"/>
    </row>
    <row r="2605" spans="1:27" x14ac:dyDescent="0.25">
      <c r="A2605" t="s">
        <v>94</v>
      </c>
      <c r="B2605" t="str">
        <f t="shared" si="42"/>
        <v>80</v>
      </c>
      <c r="C2605" s="35">
        <v>2010</v>
      </c>
      <c r="D2605" s="35">
        <v>2004</v>
      </c>
      <c r="E2605" s="35">
        <v>1</v>
      </c>
      <c r="F2605" s="35">
        <v>1</v>
      </c>
      <c r="G2605" s="1" t="s">
        <v>2</v>
      </c>
      <c r="H2605" s="1" t="s">
        <v>2</v>
      </c>
      <c r="I2605" s="1"/>
      <c r="J2605" s="1"/>
      <c r="K2605" s="1"/>
      <c r="AA2605" s="1"/>
    </row>
    <row r="2606" spans="1:27" x14ac:dyDescent="0.25">
      <c r="A2606" t="s">
        <v>94</v>
      </c>
      <c r="B2606" t="str">
        <f t="shared" si="42"/>
        <v>80</v>
      </c>
      <c r="C2606" s="35">
        <v>2010</v>
      </c>
      <c r="D2606" s="35">
        <v>2009</v>
      </c>
      <c r="E2606" s="35">
        <v>27</v>
      </c>
      <c r="F2606" s="35">
        <v>14</v>
      </c>
      <c r="G2606" s="35">
        <v>13</v>
      </c>
      <c r="H2606" s="1" t="s">
        <v>2</v>
      </c>
      <c r="I2606" s="1"/>
      <c r="J2606" s="1"/>
      <c r="K2606" s="1"/>
      <c r="AA2606" s="1"/>
    </row>
    <row r="2607" spans="1:27" x14ac:dyDescent="0.25">
      <c r="A2607" t="s">
        <v>94</v>
      </c>
      <c r="B2607" t="str">
        <f t="shared" si="42"/>
        <v>80</v>
      </c>
      <c r="C2607" s="35">
        <v>2010</v>
      </c>
      <c r="D2607" s="35">
        <v>2010</v>
      </c>
      <c r="E2607" s="36">
        <v>6300</v>
      </c>
      <c r="F2607" s="36">
        <v>2726</v>
      </c>
      <c r="G2607" s="36">
        <v>3574</v>
      </c>
      <c r="H2607" s="1" t="s">
        <v>2</v>
      </c>
      <c r="I2607" s="1"/>
      <c r="J2607" s="1"/>
      <c r="K2607" s="1"/>
      <c r="AA2607" s="1"/>
    </row>
    <row r="2608" spans="1:27" x14ac:dyDescent="0.25">
      <c r="A2608" t="s">
        <v>94</v>
      </c>
      <c r="B2608" t="str">
        <f t="shared" si="42"/>
        <v>80</v>
      </c>
      <c r="C2608" s="35">
        <v>2011</v>
      </c>
      <c r="D2608" s="1" t="s">
        <v>4</v>
      </c>
      <c r="E2608" s="36">
        <v>6502</v>
      </c>
      <c r="F2608" s="36">
        <v>2812</v>
      </c>
      <c r="G2608" s="36">
        <v>3690</v>
      </c>
      <c r="H2608" s="1" t="s">
        <v>2</v>
      </c>
      <c r="I2608" s="1"/>
      <c r="J2608" s="1"/>
      <c r="K2608" s="1"/>
      <c r="AA2608" s="1"/>
    </row>
    <row r="2609" spans="1:27" x14ac:dyDescent="0.25">
      <c r="A2609" t="s">
        <v>94</v>
      </c>
      <c r="B2609" t="str">
        <f t="shared" si="42"/>
        <v>80</v>
      </c>
      <c r="C2609" s="35">
        <v>2011</v>
      </c>
      <c r="D2609" s="35">
        <v>2010</v>
      </c>
      <c r="E2609" s="35">
        <v>59</v>
      </c>
      <c r="F2609" s="35">
        <v>33</v>
      </c>
      <c r="G2609" s="35">
        <v>26</v>
      </c>
      <c r="H2609" s="1" t="s">
        <v>2</v>
      </c>
      <c r="I2609" s="1"/>
      <c r="J2609" s="1"/>
      <c r="K2609" s="1"/>
      <c r="AA2609" s="1"/>
    </row>
    <row r="2610" spans="1:27" x14ac:dyDescent="0.25">
      <c r="A2610" t="s">
        <v>94</v>
      </c>
      <c r="B2610" t="str">
        <f t="shared" si="42"/>
        <v>80</v>
      </c>
      <c r="C2610" s="35">
        <v>2011</v>
      </c>
      <c r="D2610" s="35">
        <v>2011</v>
      </c>
      <c r="E2610" s="36">
        <v>6443</v>
      </c>
      <c r="F2610" s="36">
        <v>2779</v>
      </c>
      <c r="G2610" s="36">
        <v>3664</v>
      </c>
      <c r="H2610" s="1" t="s">
        <v>2</v>
      </c>
      <c r="I2610" s="1"/>
      <c r="J2610" s="1"/>
      <c r="K2610" s="1"/>
      <c r="AA2610" s="1"/>
    </row>
    <row r="2611" spans="1:27" x14ac:dyDescent="0.25">
      <c r="A2611" t="s">
        <v>94</v>
      </c>
      <c r="B2611" t="str">
        <f t="shared" si="42"/>
        <v>80</v>
      </c>
      <c r="C2611" s="35">
        <v>2012</v>
      </c>
      <c r="D2611" s="1" t="s">
        <v>4</v>
      </c>
      <c r="E2611" s="36">
        <v>6447</v>
      </c>
      <c r="F2611" s="36">
        <v>2766</v>
      </c>
      <c r="G2611" s="36">
        <v>3681</v>
      </c>
      <c r="H2611" s="1" t="s">
        <v>2</v>
      </c>
      <c r="I2611" s="1"/>
      <c r="J2611" s="1"/>
      <c r="K2611" s="1"/>
      <c r="AA2611" s="1"/>
    </row>
    <row r="2612" spans="1:27" x14ac:dyDescent="0.25">
      <c r="A2612" t="s">
        <v>94</v>
      </c>
      <c r="B2612" t="str">
        <f t="shared" si="42"/>
        <v>80</v>
      </c>
      <c r="C2612" s="35">
        <v>2012</v>
      </c>
      <c r="D2612" s="35">
        <v>2011</v>
      </c>
      <c r="E2612" s="35">
        <v>26</v>
      </c>
      <c r="F2612" s="35">
        <v>10</v>
      </c>
      <c r="G2612" s="35">
        <v>16</v>
      </c>
      <c r="H2612" s="1" t="s">
        <v>2</v>
      </c>
      <c r="I2612" s="1"/>
      <c r="J2612" s="1"/>
      <c r="K2612" s="1"/>
      <c r="AA2612" s="1"/>
    </row>
    <row r="2613" spans="1:27" x14ac:dyDescent="0.25">
      <c r="A2613" t="s">
        <v>94</v>
      </c>
      <c r="B2613" t="str">
        <f t="shared" si="42"/>
        <v>80</v>
      </c>
      <c r="C2613" s="35">
        <v>2012</v>
      </c>
      <c r="D2613" s="35">
        <v>2012</v>
      </c>
      <c r="E2613" s="36">
        <v>6421</v>
      </c>
      <c r="F2613" s="36">
        <v>2756</v>
      </c>
      <c r="G2613" s="36">
        <v>3665</v>
      </c>
      <c r="H2613" s="1" t="s">
        <v>2</v>
      </c>
      <c r="I2613" s="1"/>
      <c r="J2613" s="1"/>
      <c r="K2613" s="1"/>
      <c r="AA2613" s="1"/>
    </row>
    <row r="2614" spans="1:27" x14ac:dyDescent="0.25">
      <c r="A2614" t="s">
        <v>94</v>
      </c>
      <c r="B2614" t="str">
        <f t="shared" si="42"/>
        <v>80</v>
      </c>
      <c r="C2614" s="35">
        <v>2013</v>
      </c>
      <c r="D2614" s="1" t="s">
        <v>4</v>
      </c>
      <c r="E2614" s="36">
        <v>6744</v>
      </c>
      <c r="F2614" s="36">
        <v>2983</v>
      </c>
      <c r="G2614" s="36">
        <v>3761</v>
      </c>
      <c r="H2614" s="1" t="s">
        <v>2</v>
      </c>
      <c r="I2614" s="1"/>
      <c r="J2614" s="1"/>
      <c r="K2614" s="1"/>
      <c r="AA2614" s="1"/>
    </row>
    <row r="2615" spans="1:27" x14ac:dyDescent="0.25">
      <c r="A2615" t="s">
        <v>94</v>
      </c>
      <c r="B2615" t="str">
        <f t="shared" si="42"/>
        <v>80</v>
      </c>
      <c r="C2615" s="35">
        <v>2013</v>
      </c>
      <c r="D2615" s="35">
        <v>2012</v>
      </c>
      <c r="E2615" s="35">
        <v>34</v>
      </c>
      <c r="F2615" s="35">
        <v>20</v>
      </c>
      <c r="G2615" s="35">
        <v>14</v>
      </c>
      <c r="H2615" s="1" t="s">
        <v>2</v>
      </c>
      <c r="I2615" s="1"/>
      <c r="J2615" s="1"/>
      <c r="K2615" s="1"/>
      <c r="AA2615" s="1"/>
    </row>
    <row r="2616" spans="1:27" x14ac:dyDescent="0.25">
      <c r="A2616" t="s">
        <v>94</v>
      </c>
      <c r="B2616" t="str">
        <f t="shared" si="42"/>
        <v>80</v>
      </c>
      <c r="C2616" s="35">
        <v>2013</v>
      </c>
      <c r="D2616" s="35">
        <v>2013</v>
      </c>
      <c r="E2616" s="36">
        <v>6710</v>
      </c>
      <c r="F2616" s="36">
        <v>2963</v>
      </c>
      <c r="G2616" s="36">
        <v>3747</v>
      </c>
      <c r="H2616" s="1" t="s">
        <v>2</v>
      </c>
      <c r="I2616" s="1"/>
      <c r="J2616" s="1"/>
      <c r="K2616" s="1"/>
      <c r="AA2616" s="1"/>
    </row>
    <row r="2617" spans="1:27" x14ac:dyDescent="0.25">
      <c r="A2617" t="s">
        <v>94</v>
      </c>
      <c r="B2617" t="str">
        <f t="shared" si="42"/>
        <v>80</v>
      </c>
      <c r="C2617" s="35">
        <v>2014</v>
      </c>
      <c r="D2617" s="1" t="s">
        <v>4</v>
      </c>
      <c r="E2617" s="36">
        <v>7009</v>
      </c>
      <c r="F2617" s="36">
        <v>2988</v>
      </c>
      <c r="G2617" s="36">
        <v>4021</v>
      </c>
      <c r="H2617" s="1" t="s">
        <v>2</v>
      </c>
      <c r="I2617" s="1"/>
      <c r="J2617" s="1"/>
      <c r="K2617" s="1"/>
      <c r="AA2617" s="1"/>
    </row>
    <row r="2618" spans="1:27" x14ac:dyDescent="0.25">
      <c r="A2618" t="s">
        <v>94</v>
      </c>
      <c r="B2618" t="str">
        <f t="shared" si="42"/>
        <v>80</v>
      </c>
      <c r="C2618" s="35">
        <v>2014</v>
      </c>
      <c r="D2618" s="35">
        <v>2010</v>
      </c>
      <c r="E2618" s="35">
        <v>1</v>
      </c>
      <c r="F2618" s="35">
        <v>1</v>
      </c>
      <c r="G2618" s="1" t="s">
        <v>2</v>
      </c>
      <c r="H2618" s="1" t="s">
        <v>2</v>
      </c>
      <c r="I2618" s="1"/>
      <c r="J2618" s="1"/>
      <c r="K2618" s="1"/>
      <c r="AA2618" s="1"/>
    </row>
    <row r="2619" spans="1:27" x14ac:dyDescent="0.25">
      <c r="A2619" t="s">
        <v>94</v>
      </c>
      <c r="B2619" t="str">
        <f t="shared" si="42"/>
        <v>80</v>
      </c>
      <c r="C2619" s="35">
        <v>2014</v>
      </c>
      <c r="D2619" s="35">
        <v>2013</v>
      </c>
      <c r="E2619" s="35">
        <v>54</v>
      </c>
      <c r="F2619" s="35">
        <v>33</v>
      </c>
      <c r="G2619" s="35">
        <v>21</v>
      </c>
      <c r="H2619" s="1" t="s">
        <v>2</v>
      </c>
      <c r="I2619" s="1"/>
      <c r="J2619" s="1"/>
      <c r="K2619" s="1"/>
      <c r="AA2619" s="1"/>
    </row>
    <row r="2620" spans="1:27" x14ac:dyDescent="0.25">
      <c r="A2620" t="s">
        <v>94</v>
      </c>
      <c r="B2620" t="str">
        <f t="shared" si="42"/>
        <v>80</v>
      </c>
      <c r="C2620" s="35">
        <v>2014</v>
      </c>
      <c r="D2620" s="35">
        <v>2014</v>
      </c>
      <c r="E2620" s="36">
        <v>6954</v>
      </c>
      <c r="F2620" s="36">
        <v>2954</v>
      </c>
      <c r="G2620" s="36">
        <v>4000</v>
      </c>
      <c r="H2620" s="1" t="s">
        <v>2</v>
      </c>
      <c r="I2620" s="1"/>
      <c r="J2620" s="1"/>
      <c r="K2620" s="1"/>
      <c r="AA2620" s="1"/>
    </row>
    <row r="2621" spans="1:27" x14ac:dyDescent="0.25">
      <c r="A2621" t="s">
        <v>94</v>
      </c>
      <c r="B2621" t="str">
        <f t="shared" si="42"/>
        <v>80</v>
      </c>
      <c r="C2621" s="35">
        <v>2015</v>
      </c>
      <c r="D2621" s="1" t="s">
        <v>4</v>
      </c>
      <c r="E2621" s="36">
        <v>7017</v>
      </c>
      <c r="F2621" s="36">
        <v>3085</v>
      </c>
      <c r="G2621" s="36">
        <v>3932</v>
      </c>
      <c r="H2621" s="1" t="s">
        <v>2</v>
      </c>
      <c r="I2621" s="1"/>
      <c r="J2621" s="1"/>
      <c r="K2621" s="1"/>
      <c r="AA2621" s="1"/>
    </row>
    <row r="2622" spans="1:27" x14ac:dyDescent="0.25">
      <c r="A2622" t="s">
        <v>94</v>
      </c>
      <c r="B2622" t="str">
        <f t="shared" si="42"/>
        <v>80</v>
      </c>
      <c r="C2622" s="35">
        <v>2015</v>
      </c>
      <c r="D2622" s="35">
        <v>2014</v>
      </c>
      <c r="E2622" s="35">
        <v>37</v>
      </c>
      <c r="F2622" s="35">
        <v>23</v>
      </c>
      <c r="G2622" s="35">
        <v>14</v>
      </c>
      <c r="H2622" s="1" t="s">
        <v>2</v>
      </c>
      <c r="I2622" s="1"/>
      <c r="J2622" s="1"/>
      <c r="K2622" s="1"/>
      <c r="AA2622" s="1"/>
    </row>
    <row r="2623" spans="1:27" x14ac:dyDescent="0.25">
      <c r="A2623" t="s">
        <v>94</v>
      </c>
      <c r="B2623" t="str">
        <f t="shared" si="42"/>
        <v>80</v>
      </c>
      <c r="C2623" s="35">
        <v>2015</v>
      </c>
      <c r="D2623" s="35">
        <v>2015</v>
      </c>
      <c r="E2623" s="36">
        <v>6980</v>
      </c>
      <c r="F2623" s="36">
        <v>3062</v>
      </c>
      <c r="G2623" s="36">
        <v>3918</v>
      </c>
      <c r="H2623" s="1" t="s">
        <v>2</v>
      </c>
      <c r="I2623" s="1"/>
      <c r="J2623" s="1"/>
      <c r="K2623" s="1"/>
      <c r="AA2623" s="1"/>
    </row>
    <row r="2624" spans="1:27" x14ac:dyDescent="0.25">
      <c r="A2624" t="s">
        <v>94</v>
      </c>
      <c r="B2624" t="str">
        <f t="shared" si="42"/>
        <v>80</v>
      </c>
      <c r="C2624" s="35">
        <v>2016</v>
      </c>
      <c r="D2624" s="1" t="s">
        <v>4</v>
      </c>
      <c r="E2624" s="36">
        <v>7150</v>
      </c>
      <c r="F2624" s="36">
        <v>3169</v>
      </c>
      <c r="G2624" s="36">
        <v>3981</v>
      </c>
      <c r="H2624" s="1" t="s">
        <v>2</v>
      </c>
      <c r="I2624" s="1"/>
      <c r="J2624" s="1"/>
      <c r="K2624" s="1"/>
      <c r="AA2624" s="1"/>
    </row>
    <row r="2625" spans="1:27" x14ac:dyDescent="0.25">
      <c r="A2625" t="s">
        <v>94</v>
      </c>
      <c r="B2625" t="str">
        <f t="shared" si="42"/>
        <v>80</v>
      </c>
      <c r="C2625" s="35">
        <v>2016</v>
      </c>
      <c r="D2625" s="35">
        <v>2007</v>
      </c>
      <c r="E2625" s="35">
        <v>1</v>
      </c>
      <c r="F2625" s="35">
        <v>1</v>
      </c>
      <c r="G2625" s="1" t="s">
        <v>2</v>
      </c>
      <c r="H2625" s="1" t="s">
        <v>2</v>
      </c>
      <c r="I2625" s="1"/>
      <c r="J2625" s="1"/>
      <c r="K2625" s="1"/>
      <c r="AA2625" s="1"/>
    </row>
    <row r="2626" spans="1:27" x14ac:dyDescent="0.25">
      <c r="A2626" t="s">
        <v>94</v>
      </c>
      <c r="B2626" t="str">
        <f t="shared" si="42"/>
        <v>80</v>
      </c>
      <c r="C2626" s="35">
        <v>2016</v>
      </c>
      <c r="D2626" s="35">
        <v>2009</v>
      </c>
      <c r="E2626" s="35">
        <v>1</v>
      </c>
      <c r="F2626" s="1" t="s">
        <v>2</v>
      </c>
      <c r="G2626" s="35">
        <v>1</v>
      </c>
      <c r="H2626" s="1" t="s">
        <v>2</v>
      </c>
      <c r="I2626" s="1"/>
      <c r="J2626" s="1"/>
      <c r="K2626" s="1"/>
      <c r="AA2626" s="1"/>
    </row>
    <row r="2627" spans="1:27" x14ac:dyDescent="0.25">
      <c r="A2627" t="s">
        <v>94</v>
      </c>
      <c r="B2627" t="str">
        <f t="shared" si="42"/>
        <v>80</v>
      </c>
      <c r="C2627" s="35">
        <v>2016</v>
      </c>
      <c r="D2627" s="35">
        <v>2011</v>
      </c>
      <c r="E2627" s="35">
        <v>1</v>
      </c>
      <c r="F2627" s="35">
        <v>1</v>
      </c>
      <c r="G2627" s="1" t="s">
        <v>2</v>
      </c>
      <c r="H2627" s="1" t="s">
        <v>2</v>
      </c>
      <c r="I2627" s="1"/>
      <c r="J2627" s="1"/>
      <c r="K2627" s="1"/>
      <c r="AA2627" s="1"/>
    </row>
    <row r="2628" spans="1:27" x14ac:dyDescent="0.25">
      <c r="A2628" t="s">
        <v>94</v>
      </c>
      <c r="B2628" t="str">
        <f t="shared" si="42"/>
        <v>80</v>
      </c>
      <c r="C2628" s="35">
        <v>2016</v>
      </c>
      <c r="D2628" s="35">
        <v>2013</v>
      </c>
      <c r="E2628" s="35">
        <v>2</v>
      </c>
      <c r="F2628" s="1" t="s">
        <v>2</v>
      </c>
      <c r="G2628" s="35">
        <v>2</v>
      </c>
      <c r="H2628" s="1" t="s">
        <v>2</v>
      </c>
      <c r="I2628" s="1"/>
      <c r="J2628" s="1"/>
      <c r="K2628" s="1"/>
      <c r="AA2628" s="1"/>
    </row>
    <row r="2629" spans="1:27" x14ac:dyDescent="0.25">
      <c r="A2629" t="s">
        <v>94</v>
      </c>
      <c r="B2629" t="str">
        <f t="shared" si="42"/>
        <v>80</v>
      </c>
      <c r="C2629" s="35">
        <v>2016</v>
      </c>
      <c r="D2629" s="35">
        <v>2014</v>
      </c>
      <c r="E2629" s="35">
        <v>1</v>
      </c>
      <c r="F2629" s="35">
        <v>1</v>
      </c>
      <c r="G2629" s="1" t="s">
        <v>2</v>
      </c>
      <c r="H2629" s="1" t="s">
        <v>2</v>
      </c>
      <c r="I2629" s="1"/>
      <c r="J2629" s="1"/>
      <c r="K2629" s="1"/>
      <c r="AA2629" s="1"/>
    </row>
    <row r="2630" spans="1:27" x14ac:dyDescent="0.25">
      <c r="A2630" t="s">
        <v>94</v>
      </c>
      <c r="B2630" t="str">
        <f t="shared" si="42"/>
        <v>80</v>
      </c>
      <c r="C2630" s="35">
        <v>2016</v>
      </c>
      <c r="D2630" s="35">
        <v>2015</v>
      </c>
      <c r="E2630" s="35">
        <v>46</v>
      </c>
      <c r="F2630" s="35">
        <v>26</v>
      </c>
      <c r="G2630" s="35">
        <v>20</v>
      </c>
      <c r="H2630" s="1" t="s">
        <v>2</v>
      </c>
      <c r="I2630" s="1"/>
      <c r="J2630" s="1"/>
      <c r="K2630" s="1"/>
      <c r="AA2630" s="1"/>
    </row>
    <row r="2631" spans="1:27" x14ac:dyDescent="0.25">
      <c r="A2631" t="s">
        <v>94</v>
      </c>
      <c r="B2631" t="str">
        <f t="shared" ref="B2631:B2694" si="43">IF(A2631="Menores de 1 año",0,LEFT(A2631,2))</f>
        <v>80</v>
      </c>
      <c r="C2631" s="35">
        <v>2016</v>
      </c>
      <c r="D2631" s="35">
        <v>2016</v>
      </c>
      <c r="E2631" s="36">
        <v>7098</v>
      </c>
      <c r="F2631" s="36">
        <v>3140</v>
      </c>
      <c r="G2631" s="36">
        <v>3958</v>
      </c>
      <c r="H2631" s="1" t="s">
        <v>2</v>
      </c>
      <c r="I2631" s="1"/>
      <c r="J2631" s="1"/>
      <c r="K2631" s="1"/>
      <c r="AA2631" s="1"/>
    </row>
    <row r="2632" spans="1:27" x14ac:dyDescent="0.25">
      <c r="A2632" t="s">
        <v>94</v>
      </c>
      <c r="B2632" t="str">
        <f t="shared" si="43"/>
        <v>80</v>
      </c>
      <c r="C2632" s="35">
        <v>2017</v>
      </c>
      <c r="D2632" s="1" t="s">
        <v>4</v>
      </c>
      <c r="E2632" s="36">
        <v>7135</v>
      </c>
      <c r="F2632" s="36">
        <v>3167</v>
      </c>
      <c r="G2632" s="36">
        <v>3968</v>
      </c>
      <c r="H2632" s="1" t="s">
        <v>2</v>
      </c>
      <c r="I2632" s="1"/>
      <c r="J2632" s="1"/>
      <c r="K2632" s="1"/>
      <c r="AA2632" s="1"/>
    </row>
    <row r="2633" spans="1:27" x14ac:dyDescent="0.25">
      <c r="A2633" t="s">
        <v>94</v>
      </c>
      <c r="B2633" t="str">
        <f t="shared" si="43"/>
        <v>80</v>
      </c>
      <c r="C2633" s="35">
        <v>2017</v>
      </c>
      <c r="D2633" s="35">
        <v>2015</v>
      </c>
      <c r="E2633" s="35">
        <v>1</v>
      </c>
      <c r="F2633" s="35">
        <v>1</v>
      </c>
      <c r="G2633" s="1" t="s">
        <v>2</v>
      </c>
      <c r="H2633" s="1" t="s">
        <v>2</v>
      </c>
      <c r="I2633" s="1"/>
      <c r="J2633" s="1"/>
      <c r="K2633" s="1"/>
      <c r="AA2633" s="1"/>
    </row>
    <row r="2634" spans="1:27" x14ac:dyDescent="0.25">
      <c r="A2634" t="s">
        <v>94</v>
      </c>
      <c r="B2634" t="str">
        <f t="shared" si="43"/>
        <v>80</v>
      </c>
      <c r="C2634" s="35">
        <v>2017</v>
      </c>
      <c r="D2634" s="35">
        <v>2016</v>
      </c>
      <c r="E2634" s="35">
        <v>36</v>
      </c>
      <c r="F2634" s="35">
        <v>18</v>
      </c>
      <c r="G2634" s="35">
        <v>18</v>
      </c>
      <c r="H2634" s="1" t="s">
        <v>2</v>
      </c>
      <c r="I2634" s="1"/>
      <c r="J2634" s="1"/>
      <c r="K2634" s="1"/>
      <c r="AA2634" s="1"/>
    </row>
    <row r="2635" spans="1:27" x14ac:dyDescent="0.25">
      <c r="A2635" t="s">
        <v>94</v>
      </c>
      <c r="B2635" t="str">
        <f t="shared" si="43"/>
        <v>80</v>
      </c>
      <c r="C2635" s="35">
        <v>2017</v>
      </c>
      <c r="D2635" s="35">
        <v>2017</v>
      </c>
      <c r="E2635" s="36">
        <v>7098</v>
      </c>
      <c r="F2635" s="36">
        <v>3148</v>
      </c>
      <c r="G2635" s="36">
        <v>3950</v>
      </c>
      <c r="H2635" s="1" t="s">
        <v>2</v>
      </c>
      <c r="I2635" s="1"/>
      <c r="J2635" s="1"/>
      <c r="K2635" s="1"/>
      <c r="AA2635" s="1"/>
    </row>
    <row r="2636" spans="1:27" x14ac:dyDescent="0.25">
      <c r="A2636" t="s">
        <v>94</v>
      </c>
      <c r="B2636" t="str">
        <f t="shared" si="43"/>
        <v>80</v>
      </c>
      <c r="C2636" s="35">
        <v>2018</v>
      </c>
      <c r="D2636" s="1" t="s">
        <v>4</v>
      </c>
      <c r="E2636" s="36">
        <v>7238</v>
      </c>
      <c r="F2636" s="36">
        <v>3253</v>
      </c>
      <c r="G2636" s="36">
        <v>3985</v>
      </c>
      <c r="H2636" s="1" t="s">
        <v>2</v>
      </c>
      <c r="I2636" s="1"/>
      <c r="J2636" s="1"/>
      <c r="K2636" s="1"/>
      <c r="AA2636" s="1"/>
    </row>
    <row r="2637" spans="1:27" x14ac:dyDescent="0.25">
      <c r="A2637" t="s">
        <v>94</v>
      </c>
      <c r="B2637" t="str">
        <f t="shared" si="43"/>
        <v>80</v>
      </c>
      <c r="C2637" s="35">
        <v>2018</v>
      </c>
      <c r="D2637" s="35">
        <v>2016</v>
      </c>
      <c r="E2637" s="35">
        <v>1</v>
      </c>
      <c r="F2637" s="35">
        <v>1</v>
      </c>
      <c r="G2637" s="1" t="s">
        <v>2</v>
      </c>
      <c r="H2637" s="1" t="s">
        <v>2</v>
      </c>
      <c r="I2637" s="1"/>
      <c r="J2637" s="1"/>
      <c r="K2637" s="1"/>
      <c r="AA2637" s="1"/>
    </row>
    <row r="2638" spans="1:27" x14ac:dyDescent="0.25">
      <c r="A2638" t="s">
        <v>94</v>
      </c>
      <c r="B2638" t="str">
        <f t="shared" si="43"/>
        <v>80</v>
      </c>
      <c r="C2638" s="35">
        <v>2018</v>
      </c>
      <c r="D2638" s="35">
        <v>2017</v>
      </c>
      <c r="E2638" s="35">
        <v>40</v>
      </c>
      <c r="F2638" s="35">
        <v>14</v>
      </c>
      <c r="G2638" s="35">
        <v>26</v>
      </c>
      <c r="H2638" s="1" t="s">
        <v>2</v>
      </c>
      <c r="I2638" s="1"/>
      <c r="J2638" s="1"/>
      <c r="K2638" s="1"/>
      <c r="AA2638" s="1"/>
    </row>
    <row r="2639" spans="1:27" x14ac:dyDescent="0.25">
      <c r="A2639" t="s">
        <v>94</v>
      </c>
      <c r="B2639" t="str">
        <f t="shared" si="43"/>
        <v>80</v>
      </c>
      <c r="C2639" s="35">
        <v>2018</v>
      </c>
      <c r="D2639" s="35">
        <v>2018</v>
      </c>
      <c r="E2639" s="36">
        <v>7197</v>
      </c>
      <c r="F2639" s="36">
        <v>3238</v>
      </c>
      <c r="G2639" s="36">
        <v>3959</v>
      </c>
      <c r="H2639" s="1" t="s">
        <v>2</v>
      </c>
      <c r="I2639" s="1"/>
      <c r="J2639" s="1"/>
      <c r="K2639" s="1"/>
      <c r="AA2639" s="1"/>
    </row>
    <row r="2640" spans="1:27" x14ac:dyDescent="0.25">
      <c r="A2640" t="s">
        <v>94</v>
      </c>
      <c r="B2640" t="str">
        <f t="shared" si="43"/>
        <v>80</v>
      </c>
      <c r="C2640" s="35">
        <v>2019</v>
      </c>
      <c r="D2640" s="1" t="s">
        <v>4</v>
      </c>
      <c r="E2640" s="36">
        <v>6929</v>
      </c>
      <c r="F2640" s="36">
        <v>3131</v>
      </c>
      <c r="G2640" s="36">
        <v>3798</v>
      </c>
      <c r="H2640" s="1" t="s">
        <v>2</v>
      </c>
      <c r="I2640" s="1"/>
      <c r="J2640" s="1"/>
      <c r="K2640" s="1"/>
      <c r="AA2640" s="1"/>
    </row>
    <row r="2641" spans="1:27" x14ac:dyDescent="0.25">
      <c r="A2641" t="s">
        <v>94</v>
      </c>
      <c r="B2641" t="str">
        <f t="shared" si="43"/>
        <v>80</v>
      </c>
      <c r="C2641" s="35">
        <v>2019</v>
      </c>
      <c r="D2641" s="35">
        <v>2018</v>
      </c>
      <c r="E2641" s="35">
        <v>36</v>
      </c>
      <c r="F2641" s="35">
        <v>20</v>
      </c>
      <c r="G2641" s="35">
        <v>16</v>
      </c>
      <c r="H2641" s="1" t="s">
        <v>2</v>
      </c>
      <c r="I2641" s="1"/>
      <c r="J2641" s="1"/>
      <c r="K2641" s="1"/>
      <c r="AA2641" s="1"/>
    </row>
    <row r="2642" spans="1:27" x14ac:dyDescent="0.25">
      <c r="A2642" t="s">
        <v>94</v>
      </c>
      <c r="B2642" t="str">
        <f t="shared" si="43"/>
        <v>80</v>
      </c>
      <c r="C2642" s="35">
        <v>2019</v>
      </c>
      <c r="D2642" s="35">
        <v>2019</v>
      </c>
      <c r="E2642" s="36">
        <v>6893</v>
      </c>
      <c r="F2642" s="36">
        <v>3111</v>
      </c>
      <c r="G2642" s="36">
        <v>3782</v>
      </c>
      <c r="H2642" s="1" t="s">
        <v>2</v>
      </c>
      <c r="I2642" s="1"/>
      <c r="J2642" s="1"/>
      <c r="K2642" s="1"/>
      <c r="AA2642" s="1"/>
    </row>
    <row r="2643" spans="1:27" x14ac:dyDescent="0.25">
      <c r="A2643" t="s">
        <v>94</v>
      </c>
      <c r="B2643" t="str">
        <f t="shared" si="43"/>
        <v>80</v>
      </c>
      <c r="C2643" s="35">
        <v>2020</v>
      </c>
      <c r="D2643" s="1" t="s">
        <v>4</v>
      </c>
      <c r="E2643" s="36">
        <v>10564</v>
      </c>
      <c r="F2643" s="36">
        <v>5230</v>
      </c>
      <c r="G2643" s="36">
        <v>5334</v>
      </c>
      <c r="H2643" s="1" t="s">
        <v>2</v>
      </c>
      <c r="I2643" s="1"/>
      <c r="J2643" s="1"/>
      <c r="K2643" s="1"/>
      <c r="AA2643" s="1"/>
    </row>
    <row r="2644" spans="1:27" x14ac:dyDescent="0.25">
      <c r="A2644" t="s">
        <v>94</v>
      </c>
      <c r="B2644" t="str">
        <f t="shared" si="43"/>
        <v>80</v>
      </c>
      <c r="C2644" s="35">
        <v>2020</v>
      </c>
      <c r="D2644" s="35">
        <v>2019</v>
      </c>
      <c r="E2644" s="35">
        <v>39</v>
      </c>
      <c r="F2644" s="35">
        <v>22</v>
      </c>
      <c r="G2644" s="35">
        <v>17</v>
      </c>
      <c r="H2644" s="1" t="s">
        <v>2</v>
      </c>
      <c r="I2644" s="1"/>
      <c r="J2644" s="1"/>
      <c r="K2644" s="1"/>
      <c r="AA2644" s="1"/>
    </row>
    <row r="2645" spans="1:27" x14ac:dyDescent="0.25">
      <c r="A2645" t="s">
        <v>94</v>
      </c>
      <c r="B2645" t="str">
        <f t="shared" si="43"/>
        <v>80</v>
      </c>
      <c r="C2645" s="35">
        <v>2020</v>
      </c>
      <c r="D2645" s="35">
        <v>2020</v>
      </c>
      <c r="E2645" s="36">
        <v>10524</v>
      </c>
      <c r="F2645" s="36">
        <v>5208</v>
      </c>
      <c r="G2645" s="36">
        <v>5316</v>
      </c>
      <c r="H2645" s="1" t="s">
        <v>2</v>
      </c>
      <c r="I2645" s="1"/>
      <c r="J2645" s="1"/>
      <c r="K2645" s="1"/>
      <c r="AA2645" s="1"/>
    </row>
    <row r="2646" spans="1:27" x14ac:dyDescent="0.25">
      <c r="A2646" t="s">
        <v>94</v>
      </c>
      <c r="B2646" t="str">
        <f t="shared" si="43"/>
        <v>80</v>
      </c>
      <c r="C2646" s="35">
        <v>2020</v>
      </c>
      <c r="D2646" s="1" t="s">
        <v>24</v>
      </c>
      <c r="E2646" s="35">
        <v>1</v>
      </c>
      <c r="F2646" s="1" t="s">
        <v>2</v>
      </c>
      <c r="G2646" s="35">
        <v>1</v>
      </c>
      <c r="H2646" s="1" t="s">
        <v>2</v>
      </c>
      <c r="I2646" s="1"/>
      <c r="J2646" s="1"/>
      <c r="K2646" s="1"/>
      <c r="AA2646" s="1"/>
    </row>
    <row r="2647" spans="1:27" x14ac:dyDescent="0.25">
      <c r="A2647" t="s">
        <v>94</v>
      </c>
      <c r="B2647" t="str">
        <f t="shared" si="43"/>
        <v>80</v>
      </c>
      <c r="C2647" s="35">
        <v>2021</v>
      </c>
      <c r="D2647" s="1" t="s">
        <v>4</v>
      </c>
      <c r="E2647" s="36">
        <v>9863</v>
      </c>
      <c r="F2647" s="36">
        <v>4728</v>
      </c>
      <c r="G2647" s="36">
        <v>5135</v>
      </c>
      <c r="H2647" s="1" t="s">
        <v>2</v>
      </c>
      <c r="I2647" s="1"/>
      <c r="J2647" s="1"/>
      <c r="K2647" s="1"/>
      <c r="AA2647" s="1"/>
    </row>
    <row r="2648" spans="1:27" x14ac:dyDescent="0.25">
      <c r="A2648" t="s">
        <v>94</v>
      </c>
      <c r="B2648" t="str">
        <f t="shared" si="43"/>
        <v>80</v>
      </c>
      <c r="C2648" s="35">
        <v>2021</v>
      </c>
      <c r="D2648" s="35">
        <v>2020</v>
      </c>
      <c r="E2648" s="35">
        <v>62</v>
      </c>
      <c r="F2648" s="35">
        <v>33</v>
      </c>
      <c r="G2648" s="35">
        <v>29</v>
      </c>
      <c r="H2648" s="1" t="s">
        <v>2</v>
      </c>
      <c r="I2648" s="1"/>
      <c r="J2648" s="1"/>
      <c r="K2648" s="1"/>
      <c r="AA2648" s="1"/>
    </row>
    <row r="2649" spans="1:27" x14ac:dyDescent="0.25">
      <c r="A2649" t="s">
        <v>94</v>
      </c>
      <c r="B2649" t="str">
        <f t="shared" si="43"/>
        <v>80</v>
      </c>
      <c r="C2649" s="35">
        <v>2021</v>
      </c>
      <c r="D2649" s="35">
        <v>2021</v>
      </c>
      <c r="E2649" s="36">
        <v>9801</v>
      </c>
      <c r="F2649" s="36">
        <v>4695</v>
      </c>
      <c r="G2649" s="36">
        <v>5106</v>
      </c>
      <c r="H2649" s="1" t="s">
        <v>2</v>
      </c>
      <c r="I2649" s="1"/>
      <c r="J2649" s="1"/>
      <c r="K2649" s="1"/>
      <c r="AA2649" s="1"/>
    </row>
    <row r="2650" spans="1:27" x14ac:dyDescent="0.25">
      <c r="A2650" t="s">
        <v>94</v>
      </c>
      <c r="B2650" t="str">
        <f t="shared" si="43"/>
        <v>80</v>
      </c>
      <c r="C2650" s="35">
        <v>2022</v>
      </c>
      <c r="D2650" s="1" t="s">
        <v>4</v>
      </c>
      <c r="E2650" s="36">
        <v>7979</v>
      </c>
      <c r="F2650" s="36">
        <v>3634</v>
      </c>
      <c r="G2650" s="36">
        <v>4345</v>
      </c>
      <c r="H2650" s="1" t="s">
        <v>2</v>
      </c>
      <c r="I2650" s="1"/>
      <c r="J2650" s="1"/>
      <c r="K2650" s="1"/>
      <c r="AA2650" s="1"/>
    </row>
    <row r="2651" spans="1:27" x14ac:dyDescent="0.25">
      <c r="A2651" t="s">
        <v>94</v>
      </c>
      <c r="B2651" t="str">
        <f t="shared" si="43"/>
        <v>80</v>
      </c>
      <c r="C2651" s="35">
        <v>2022</v>
      </c>
      <c r="D2651" s="35">
        <v>2006</v>
      </c>
      <c r="E2651" s="35">
        <v>1</v>
      </c>
      <c r="F2651" s="1" t="s">
        <v>2</v>
      </c>
      <c r="G2651" s="35">
        <v>1</v>
      </c>
      <c r="H2651" s="1" t="s">
        <v>2</v>
      </c>
      <c r="I2651" s="1"/>
      <c r="J2651" s="1"/>
      <c r="K2651" s="1"/>
      <c r="AA2651" s="1"/>
    </row>
    <row r="2652" spans="1:27" x14ac:dyDescent="0.25">
      <c r="A2652" t="s">
        <v>94</v>
      </c>
      <c r="B2652" t="str">
        <f t="shared" si="43"/>
        <v>80</v>
      </c>
      <c r="C2652" s="35">
        <v>2022</v>
      </c>
      <c r="D2652" s="35">
        <v>2007</v>
      </c>
      <c r="E2652" s="35">
        <v>2</v>
      </c>
      <c r="F2652" s="35">
        <v>2</v>
      </c>
      <c r="G2652" s="1" t="s">
        <v>2</v>
      </c>
      <c r="H2652" s="1" t="s">
        <v>2</v>
      </c>
      <c r="I2652" s="1"/>
      <c r="J2652" s="1"/>
      <c r="K2652" s="1"/>
      <c r="AA2652" s="1"/>
    </row>
    <row r="2653" spans="1:27" x14ac:dyDescent="0.25">
      <c r="A2653" t="s">
        <v>94</v>
      </c>
      <c r="B2653" t="str">
        <f t="shared" si="43"/>
        <v>80</v>
      </c>
      <c r="C2653" s="35">
        <v>2022</v>
      </c>
      <c r="D2653" s="35">
        <v>2008</v>
      </c>
      <c r="E2653" s="35">
        <v>3</v>
      </c>
      <c r="F2653" s="35">
        <v>2</v>
      </c>
      <c r="G2653" s="35">
        <v>1</v>
      </c>
      <c r="H2653" s="1" t="s">
        <v>2</v>
      </c>
      <c r="I2653" s="1"/>
      <c r="J2653" s="1"/>
      <c r="K2653" s="1"/>
      <c r="AA2653" s="1"/>
    </row>
    <row r="2654" spans="1:27" x14ac:dyDescent="0.25">
      <c r="A2654" t="s">
        <v>94</v>
      </c>
      <c r="B2654" t="str">
        <f t="shared" si="43"/>
        <v>80</v>
      </c>
      <c r="C2654" s="35">
        <v>2022</v>
      </c>
      <c r="D2654" s="35">
        <v>2009</v>
      </c>
      <c r="E2654" s="35">
        <v>6</v>
      </c>
      <c r="F2654" s="35">
        <v>3</v>
      </c>
      <c r="G2654" s="35">
        <v>3</v>
      </c>
      <c r="H2654" s="1" t="s">
        <v>2</v>
      </c>
      <c r="I2654" s="1"/>
      <c r="J2654" s="1"/>
      <c r="K2654" s="1"/>
      <c r="AA2654" s="1"/>
    </row>
    <row r="2655" spans="1:27" x14ac:dyDescent="0.25">
      <c r="A2655" t="s">
        <v>94</v>
      </c>
      <c r="B2655" t="str">
        <f t="shared" si="43"/>
        <v>80</v>
      </c>
      <c r="C2655" s="35">
        <v>2022</v>
      </c>
      <c r="D2655" s="35">
        <v>2019</v>
      </c>
      <c r="E2655" s="35">
        <v>2</v>
      </c>
      <c r="F2655" s="35">
        <v>2</v>
      </c>
      <c r="G2655" s="1" t="s">
        <v>2</v>
      </c>
      <c r="H2655" s="1" t="s">
        <v>2</v>
      </c>
      <c r="I2655" s="1"/>
      <c r="J2655" s="1"/>
      <c r="K2655" s="1"/>
      <c r="AA2655" s="1"/>
    </row>
    <row r="2656" spans="1:27" x14ac:dyDescent="0.25">
      <c r="A2656" t="s">
        <v>94</v>
      </c>
      <c r="B2656" t="str">
        <f t="shared" si="43"/>
        <v>80</v>
      </c>
      <c r="C2656" s="35">
        <v>2022</v>
      </c>
      <c r="D2656" s="35">
        <v>2020</v>
      </c>
      <c r="E2656" s="35">
        <v>1</v>
      </c>
      <c r="F2656" s="35">
        <v>1</v>
      </c>
      <c r="G2656" s="1" t="s">
        <v>2</v>
      </c>
      <c r="H2656" s="1" t="s">
        <v>2</v>
      </c>
      <c r="I2656" s="1"/>
      <c r="J2656" s="1"/>
      <c r="K2656" s="1"/>
      <c r="AA2656" s="1"/>
    </row>
    <row r="2657" spans="1:27" x14ac:dyDescent="0.25">
      <c r="A2657" t="s">
        <v>94</v>
      </c>
      <c r="B2657" t="str">
        <f t="shared" si="43"/>
        <v>80</v>
      </c>
      <c r="C2657" s="35">
        <v>2022</v>
      </c>
      <c r="D2657" s="35">
        <v>2021</v>
      </c>
      <c r="E2657" s="35">
        <v>26</v>
      </c>
      <c r="F2657" s="35">
        <v>10</v>
      </c>
      <c r="G2657" s="35">
        <v>16</v>
      </c>
      <c r="H2657" s="1" t="s">
        <v>2</v>
      </c>
      <c r="I2657" s="1"/>
      <c r="J2657" s="1"/>
      <c r="K2657" s="1"/>
      <c r="AA2657" s="1"/>
    </row>
    <row r="2658" spans="1:27" x14ac:dyDescent="0.25">
      <c r="A2658" t="s">
        <v>94</v>
      </c>
      <c r="B2658" t="str">
        <f t="shared" si="43"/>
        <v>80</v>
      </c>
      <c r="C2658" s="35">
        <v>2022</v>
      </c>
      <c r="D2658" s="35">
        <v>2022</v>
      </c>
      <c r="E2658" s="36">
        <v>7938</v>
      </c>
      <c r="F2658" s="36">
        <v>3614</v>
      </c>
      <c r="G2658" s="36">
        <v>4324</v>
      </c>
      <c r="H2658" s="1" t="s">
        <v>2</v>
      </c>
      <c r="I2658" s="1"/>
      <c r="J2658" s="1"/>
      <c r="K2658" s="1"/>
      <c r="AA2658" s="1"/>
    </row>
    <row r="2659" spans="1:27" x14ac:dyDescent="0.25">
      <c r="A2659" t="s">
        <v>94</v>
      </c>
      <c r="B2659" t="str">
        <f t="shared" si="43"/>
        <v>80</v>
      </c>
      <c r="C2659" s="35">
        <v>2023</v>
      </c>
      <c r="D2659" s="1" t="s">
        <v>4</v>
      </c>
      <c r="E2659" s="36">
        <v>7440</v>
      </c>
      <c r="F2659" s="36">
        <v>3367</v>
      </c>
      <c r="G2659" s="36">
        <v>4073</v>
      </c>
      <c r="H2659" s="1" t="s">
        <v>2</v>
      </c>
      <c r="I2659" s="1"/>
      <c r="J2659" s="1"/>
      <c r="K2659" s="1"/>
      <c r="AA2659" s="1"/>
    </row>
    <row r="2660" spans="1:27" x14ac:dyDescent="0.25">
      <c r="A2660" t="s">
        <v>94</v>
      </c>
      <c r="B2660" t="str">
        <f t="shared" si="43"/>
        <v>80</v>
      </c>
      <c r="C2660" s="35">
        <v>2023</v>
      </c>
      <c r="D2660" s="35">
        <v>2017</v>
      </c>
      <c r="E2660" s="35">
        <v>1</v>
      </c>
      <c r="F2660" s="35">
        <v>1</v>
      </c>
      <c r="G2660" s="1" t="s">
        <v>2</v>
      </c>
      <c r="H2660" s="1" t="s">
        <v>2</v>
      </c>
      <c r="I2660" s="1"/>
      <c r="J2660" s="1"/>
      <c r="K2660" s="1"/>
      <c r="AA2660" s="1"/>
    </row>
    <row r="2661" spans="1:27" x14ac:dyDescent="0.25">
      <c r="A2661" t="s">
        <v>94</v>
      </c>
      <c r="B2661" t="str">
        <f t="shared" si="43"/>
        <v>80</v>
      </c>
      <c r="C2661" s="35">
        <v>2023</v>
      </c>
      <c r="D2661" s="35">
        <v>2022</v>
      </c>
      <c r="E2661" s="35">
        <v>26</v>
      </c>
      <c r="F2661" s="35">
        <v>18</v>
      </c>
      <c r="G2661" s="35">
        <v>8</v>
      </c>
      <c r="H2661" s="1" t="s">
        <v>2</v>
      </c>
      <c r="I2661" s="1"/>
      <c r="J2661" s="1"/>
      <c r="K2661" s="1"/>
      <c r="AA2661" s="1"/>
    </row>
    <row r="2662" spans="1:27" x14ac:dyDescent="0.25">
      <c r="A2662" t="s">
        <v>94</v>
      </c>
      <c r="B2662" t="str">
        <f t="shared" si="43"/>
        <v>80</v>
      </c>
      <c r="C2662" s="35">
        <v>2023</v>
      </c>
      <c r="D2662" s="35">
        <v>2023</v>
      </c>
      <c r="E2662" s="36">
        <v>7413</v>
      </c>
      <c r="F2662" s="36">
        <v>3348</v>
      </c>
      <c r="G2662" s="36">
        <v>4065</v>
      </c>
      <c r="H2662" s="1" t="s">
        <v>2</v>
      </c>
      <c r="I2662" s="1"/>
      <c r="J2662" s="1"/>
      <c r="K2662" s="1"/>
      <c r="AA2662" s="1"/>
    </row>
    <row r="2663" spans="1:27" x14ac:dyDescent="0.25">
      <c r="A2663" t="s">
        <v>94</v>
      </c>
      <c r="B2663" t="str">
        <f t="shared" si="43"/>
        <v>80</v>
      </c>
      <c r="C2663" s="35">
        <v>2024</v>
      </c>
      <c r="D2663" s="1" t="s">
        <v>4</v>
      </c>
      <c r="E2663" s="36">
        <v>7613</v>
      </c>
      <c r="F2663" s="36">
        <v>3538</v>
      </c>
      <c r="G2663" s="36">
        <v>4075</v>
      </c>
      <c r="H2663" s="1" t="s">
        <v>2</v>
      </c>
      <c r="I2663" s="1"/>
      <c r="J2663" s="1"/>
      <c r="K2663" s="1"/>
      <c r="AA2663" s="1"/>
    </row>
    <row r="2664" spans="1:27" x14ac:dyDescent="0.25">
      <c r="A2664" t="s">
        <v>94</v>
      </c>
      <c r="B2664" t="str">
        <f t="shared" si="43"/>
        <v>80</v>
      </c>
      <c r="C2664" s="35">
        <v>2024</v>
      </c>
      <c r="D2664" s="35">
        <v>2023</v>
      </c>
      <c r="E2664" s="35">
        <v>34</v>
      </c>
      <c r="F2664" s="35">
        <v>18</v>
      </c>
      <c r="G2664" s="35">
        <v>16</v>
      </c>
      <c r="H2664" s="1" t="s">
        <v>2</v>
      </c>
      <c r="I2664" s="1"/>
      <c r="J2664" s="1"/>
      <c r="K2664" s="1"/>
      <c r="AA2664" s="1"/>
    </row>
    <row r="2665" spans="1:27" x14ac:dyDescent="0.25">
      <c r="A2665" t="s">
        <v>94</v>
      </c>
      <c r="B2665" t="str">
        <f t="shared" si="43"/>
        <v>80</v>
      </c>
      <c r="C2665" s="35">
        <v>2024</v>
      </c>
      <c r="D2665" s="35">
        <v>2024</v>
      </c>
      <c r="E2665" s="36">
        <v>7579</v>
      </c>
      <c r="F2665" s="36">
        <v>3520</v>
      </c>
      <c r="G2665" s="36">
        <v>4059</v>
      </c>
      <c r="H2665" s="1" t="s">
        <v>2</v>
      </c>
      <c r="I2665" s="1"/>
      <c r="J2665" s="1"/>
      <c r="K2665" s="1"/>
      <c r="AA2665" s="1"/>
    </row>
    <row r="2666" spans="1:27" x14ac:dyDescent="0.25">
      <c r="A2666" t="s">
        <v>31</v>
      </c>
      <c r="B2666" t="str">
        <f t="shared" si="43"/>
        <v>85</v>
      </c>
      <c r="C2666" s="35">
        <v>1990</v>
      </c>
      <c r="D2666" s="1" t="s">
        <v>4</v>
      </c>
      <c r="E2666" s="36">
        <v>5858</v>
      </c>
      <c r="F2666" s="36">
        <v>1909</v>
      </c>
      <c r="G2666" s="36">
        <v>3948</v>
      </c>
      <c r="H2666" s="35">
        <v>1</v>
      </c>
      <c r="I2666" s="1"/>
      <c r="J2666" s="1"/>
      <c r="K2666" s="1"/>
      <c r="AA2666" s="1"/>
    </row>
    <row r="2667" spans="1:27" x14ac:dyDescent="0.25">
      <c r="A2667" t="s">
        <v>31</v>
      </c>
      <c r="B2667" t="str">
        <f t="shared" si="43"/>
        <v>85</v>
      </c>
      <c r="C2667" s="35">
        <v>1990</v>
      </c>
      <c r="D2667" s="35">
        <v>1990</v>
      </c>
      <c r="E2667" s="36">
        <v>5856</v>
      </c>
      <c r="F2667" s="36">
        <v>1909</v>
      </c>
      <c r="G2667" s="36">
        <v>3946</v>
      </c>
      <c r="H2667" s="35">
        <v>1</v>
      </c>
      <c r="I2667" s="1"/>
      <c r="J2667" s="1"/>
      <c r="K2667" s="1"/>
      <c r="AA2667" s="1"/>
    </row>
    <row r="2668" spans="1:27" x14ac:dyDescent="0.25">
      <c r="A2668" t="s">
        <v>31</v>
      </c>
      <c r="B2668" t="str">
        <f t="shared" si="43"/>
        <v>85</v>
      </c>
      <c r="C2668" s="35">
        <v>1990</v>
      </c>
      <c r="D2668" s="1" t="s">
        <v>24</v>
      </c>
      <c r="E2668" s="35">
        <v>2</v>
      </c>
      <c r="F2668" s="1" t="s">
        <v>2</v>
      </c>
      <c r="G2668" s="35">
        <v>2</v>
      </c>
      <c r="H2668" s="1" t="s">
        <v>2</v>
      </c>
      <c r="I2668" s="1"/>
      <c r="J2668" s="1"/>
      <c r="K2668" s="1"/>
      <c r="AA2668" s="1"/>
    </row>
    <row r="2669" spans="1:27" x14ac:dyDescent="0.25">
      <c r="A2669" t="s">
        <v>31</v>
      </c>
      <c r="B2669" t="str">
        <f t="shared" si="43"/>
        <v>85</v>
      </c>
      <c r="C2669" s="35">
        <v>1991</v>
      </c>
      <c r="D2669" s="1" t="s">
        <v>4</v>
      </c>
      <c r="E2669" s="36">
        <v>6105</v>
      </c>
      <c r="F2669" s="36">
        <v>2051</v>
      </c>
      <c r="G2669" s="36">
        <v>4054</v>
      </c>
      <c r="H2669" s="1" t="s">
        <v>2</v>
      </c>
      <c r="I2669" s="1"/>
      <c r="J2669" s="1"/>
      <c r="K2669" s="1"/>
      <c r="AA2669" s="1"/>
    </row>
    <row r="2670" spans="1:27" x14ac:dyDescent="0.25">
      <c r="A2670" t="s">
        <v>31</v>
      </c>
      <c r="B2670" t="str">
        <f t="shared" si="43"/>
        <v>85</v>
      </c>
      <c r="C2670" s="35">
        <v>1991</v>
      </c>
      <c r="D2670" s="35">
        <v>1991</v>
      </c>
      <c r="E2670" s="36">
        <v>6104</v>
      </c>
      <c r="F2670" s="36">
        <v>2050</v>
      </c>
      <c r="G2670" s="36">
        <v>4054</v>
      </c>
      <c r="H2670" s="1" t="s">
        <v>2</v>
      </c>
      <c r="I2670" s="1"/>
      <c r="J2670" s="1"/>
      <c r="K2670" s="1"/>
      <c r="AA2670" s="1"/>
    </row>
    <row r="2671" spans="1:27" x14ac:dyDescent="0.25">
      <c r="A2671" t="s">
        <v>31</v>
      </c>
      <c r="B2671" t="str">
        <f t="shared" si="43"/>
        <v>85</v>
      </c>
      <c r="C2671" s="35">
        <v>1991</v>
      </c>
      <c r="D2671" s="1" t="s">
        <v>24</v>
      </c>
      <c r="E2671" s="35">
        <v>1</v>
      </c>
      <c r="F2671" s="35">
        <v>1</v>
      </c>
      <c r="G2671" s="1" t="s">
        <v>2</v>
      </c>
      <c r="H2671" s="1" t="s">
        <v>2</v>
      </c>
      <c r="I2671" s="1"/>
      <c r="J2671" s="1"/>
      <c r="K2671" s="1"/>
      <c r="AA2671" s="1"/>
    </row>
    <row r="2672" spans="1:27" x14ac:dyDescent="0.25">
      <c r="A2672" t="s">
        <v>31</v>
      </c>
      <c r="B2672" t="str">
        <f t="shared" si="43"/>
        <v>85</v>
      </c>
      <c r="C2672" s="35">
        <v>1992</v>
      </c>
      <c r="D2672" s="1" t="s">
        <v>4</v>
      </c>
      <c r="E2672" s="36">
        <v>6022</v>
      </c>
      <c r="F2672" s="36">
        <v>2094</v>
      </c>
      <c r="G2672" s="36">
        <v>3928</v>
      </c>
      <c r="H2672" s="1" t="s">
        <v>2</v>
      </c>
      <c r="I2672" s="1"/>
      <c r="J2672" s="1"/>
      <c r="K2672" s="1"/>
      <c r="AA2672" s="1"/>
    </row>
    <row r="2673" spans="1:27" x14ac:dyDescent="0.25">
      <c r="A2673" t="s">
        <v>31</v>
      </c>
      <c r="B2673" t="str">
        <f t="shared" si="43"/>
        <v>85</v>
      </c>
      <c r="C2673" s="35">
        <v>1992</v>
      </c>
      <c r="D2673" s="35">
        <v>1992</v>
      </c>
      <c r="E2673" s="36">
        <v>6022</v>
      </c>
      <c r="F2673" s="36">
        <v>2094</v>
      </c>
      <c r="G2673" s="36">
        <v>3928</v>
      </c>
      <c r="H2673" s="1" t="s">
        <v>2</v>
      </c>
      <c r="I2673" s="1"/>
      <c r="J2673" s="1"/>
      <c r="K2673" s="1"/>
      <c r="AA2673" s="1"/>
    </row>
    <row r="2674" spans="1:27" x14ac:dyDescent="0.25">
      <c r="A2674" t="s">
        <v>31</v>
      </c>
      <c r="B2674" t="str">
        <f t="shared" si="43"/>
        <v>85</v>
      </c>
      <c r="C2674" s="35">
        <v>1993</v>
      </c>
      <c r="D2674" s="1" t="s">
        <v>4</v>
      </c>
      <c r="E2674" s="36">
        <v>6085</v>
      </c>
      <c r="F2674" s="36">
        <v>2075</v>
      </c>
      <c r="G2674" s="36">
        <v>4009</v>
      </c>
      <c r="H2674" s="35">
        <v>1</v>
      </c>
      <c r="I2674" s="1"/>
      <c r="J2674" s="1"/>
      <c r="K2674" s="1"/>
      <c r="AA2674" s="1"/>
    </row>
    <row r="2675" spans="1:27" x14ac:dyDescent="0.25">
      <c r="A2675" t="s">
        <v>31</v>
      </c>
      <c r="B2675" t="str">
        <f t="shared" si="43"/>
        <v>85</v>
      </c>
      <c r="C2675" s="35">
        <v>1993</v>
      </c>
      <c r="D2675" s="35">
        <v>1906</v>
      </c>
      <c r="E2675" s="35">
        <v>1</v>
      </c>
      <c r="F2675" s="1" t="s">
        <v>2</v>
      </c>
      <c r="G2675" s="35">
        <v>1</v>
      </c>
      <c r="H2675" s="1" t="s">
        <v>2</v>
      </c>
      <c r="I2675" s="1"/>
      <c r="J2675" s="1"/>
      <c r="K2675" s="1"/>
      <c r="AA2675" s="1"/>
    </row>
    <row r="2676" spans="1:27" x14ac:dyDescent="0.25">
      <c r="A2676" t="s">
        <v>31</v>
      </c>
      <c r="B2676" t="str">
        <f t="shared" si="43"/>
        <v>85</v>
      </c>
      <c r="C2676" s="35">
        <v>1993</v>
      </c>
      <c r="D2676" s="35">
        <v>1907</v>
      </c>
      <c r="E2676" s="35">
        <v>1</v>
      </c>
      <c r="F2676" s="1" t="s">
        <v>2</v>
      </c>
      <c r="G2676" s="35">
        <v>1</v>
      </c>
      <c r="H2676" s="1" t="s">
        <v>2</v>
      </c>
      <c r="I2676" s="1"/>
      <c r="J2676" s="1"/>
      <c r="K2676" s="1"/>
      <c r="AA2676" s="1"/>
    </row>
    <row r="2677" spans="1:27" x14ac:dyDescent="0.25">
      <c r="A2677" t="s">
        <v>31</v>
      </c>
      <c r="B2677" t="str">
        <f t="shared" si="43"/>
        <v>85</v>
      </c>
      <c r="C2677" s="35">
        <v>1993</v>
      </c>
      <c r="D2677" s="35">
        <v>1914</v>
      </c>
      <c r="E2677" s="35">
        <v>1</v>
      </c>
      <c r="F2677" s="1" t="s">
        <v>2</v>
      </c>
      <c r="G2677" s="35">
        <v>1</v>
      </c>
      <c r="H2677" s="1" t="s">
        <v>2</v>
      </c>
      <c r="I2677" s="1"/>
      <c r="J2677" s="1"/>
      <c r="K2677" s="1"/>
      <c r="AA2677" s="1"/>
    </row>
    <row r="2678" spans="1:27" x14ac:dyDescent="0.25">
      <c r="A2678" t="s">
        <v>31</v>
      </c>
      <c r="B2678" t="str">
        <f t="shared" si="43"/>
        <v>85</v>
      </c>
      <c r="C2678" s="35">
        <v>1993</v>
      </c>
      <c r="D2678" s="35">
        <v>1943</v>
      </c>
      <c r="E2678" s="35">
        <v>1</v>
      </c>
      <c r="F2678" s="35">
        <v>1</v>
      </c>
      <c r="G2678" s="1" t="s">
        <v>2</v>
      </c>
      <c r="H2678" s="1" t="s">
        <v>2</v>
      </c>
      <c r="I2678" s="1"/>
      <c r="J2678" s="1"/>
      <c r="K2678" s="1"/>
      <c r="AA2678" s="1"/>
    </row>
    <row r="2679" spans="1:27" x14ac:dyDescent="0.25">
      <c r="A2679" t="s">
        <v>31</v>
      </c>
      <c r="B2679" t="str">
        <f t="shared" si="43"/>
        <v>85</v>
      </c>
      <c r="C2679" s="35">
        <v>1993</v>
      </c>
      <c r="D2679" s="35">
        <v>1983</v>
      </c>
      <c r="E2679" s="35">
        <v>1</v>
      </c>
      <c r="F2679" s="1" t="s">
        <v>2</v>
      </c>
      <c r="G2679" s="35">
        <v>1</v>
      </c>
      <c r="H2679" s="1" t="s">
        <v>2</v>
      </c>
      <c r="I2679" s="1"/>
      <c r="J2679" s="1"/>
      <c r="K2679" s="1"/>
      <c r="AA2679" s="1"/>
    </row>
    <row r="2680" spans="1:27" x14ac:dyDescent="0.25">
      <c r="A2680" t="s">
        <v>31</v>
      </c>
      <c r="B2680" t="str">
        <f t="shared" si="43"/>
        <v>85</v>
      </c>
      <c r="C2680" s="35">
        <v>1993</v>
      </c>
      <c r="D2680" s="35">
        <v>1990</v>
      </c>
      <c r="E2680" s="35">
        <v>1</v>
      </c>
      <c r="F2680" s="1" t="s">
        <v>2</v>
      </c>
      <c r="G2680" s="35">
        <v>1</v>
      </c>
      <c r="H2680" s="1" t="s">
        <v>2</v>
      </c>
      <c r="I2680" s="1"/>
      <c r="J2680" s="1"/>
      <c r="K2680" s="1"/>
      <c r="AA2680" s="1"/>
    </row>
    <row r="2681" spans="1:27" x14ac:dyDescent="0.25">
      <c r="A2681" t="s">
        <v>31</v>
      </c>
      <c r="B2681" t="str">
        <f t="shared" si="43"/>
        <v>85</v>
      </c>
      <c r="C2681" s="35">
        <v>1993</v>
      </c>
      <c r="D2681" s="35">
        <v>1992</v>
      </c>
      <c r="E2681" s="35">
        <v>22</v>
      </c>
      <c r="F2681" s="35">
        <v>10</v>
      </c>
      <c r="G2681" s="35">
        <v>12</v>
      </c>
      <c r="H2681" s="1" t="s">
        <v>2</v>
      </c>
      <c r="I2681" s="1"/>
      <c r="J2681" s="1"/>
      <c r="K2681" s="1"/>
      <c r="AA2681" s="1"/>
    </row>
    <row r="2682" spans="1:27" x14ac:dyDescent="0.25">
      <c r="A2682" t="s">
        <v>31</v>
      </c>
      <c r="B2682" t="str">
        <f t="shared" si="43"/>
        <v>85</v>
      </c>
      <c r="C2682" s="35">
        <v>1993</v>
      </c>
      <c r="D2682" s="35">
        <v>1993</v>
      </c>
      <c r="E2682" s="36">
        <v>6056</v>
      </c>
      <c r="F2682" s="36">
        <v>2064</v>
      </c>
      <c r="G2682" s="36">
        <v>3991</v>
      </c>
      <c r="H2682" s="35">
        <v>1</v>
      </c>
      <c r="I2682" s="1"/>
      <c r="J2682" s="1"/>
      <c r="K2682" s="1"/>
      <c r="AA2682" s="1"/>
    </row>
    <row r="2683" spans="1:27" x14ac:dyDescent="0.25">
      <c r="A2683" t="s">
        <v>31</v>
      </c>
      <c r="B2683" t="str">
        <f t="shared" si="43"/>
        <v>85</v>
      </c>
      <c r="C2683" s="35">
        <v>1993</v>
      </c>
      <c r="D2683" s="1" t="s">
        <v>24</v>
      </c>
      <c r="E2683" s="35">
        <v>1</v>
      </c>
      <c r="F2683" s="1" t="s">
        <v>2</v>
      </c>
      <c r="G2683" s="35">
        <v>1</v>
      </c>
      <c r="H2683" s="1" t="s">
        <v>2</v>
      </c>
      <c r="I2683" s="1"/>
      <c r="J2683" s="1"/>
      <c r="K2683" s="1"/>
      <c r="AA2683" s="1"/>
    </row>
    <row r="2684" spans="1:27" x14ac:dyDescent="0.25">
      <c r="A2684" t="s">
        <v>31</v>
      </c>
      <c r="B2684" t="str">
        <f t="shared" si="43"/>
        <v>85</v>
      </c>
      <c r="C2684" s="35">
        <v>1994</v>
      </c>
      <c r="D2684" s="1" t="s">
        <v>4</v>
      </c>
      <c r="E2684" s="36">
        <v>6302</v>
      </c>
      <c r="F2684" s="36">
        <v>2116</v>
      </c>
      <c r="G2684" s="36">
        <v>4185</v>
      </c>
      <c r="H2684" s="35">
        <v>1</v>
      </c>
      <c r="I2684" s="1"/>
      <c r="J2684" s="1"/>
      <c r="K2684" s="1"/>
      <c r="AA2684" s="1"/>
    </row>
    <row r="2685" spans="1:27" x14ac:dyDescent="0.25">
      <c r="A2685" t="s">
        <v>31</v>
      </c>
      <c r="B2685" t="str">
        <f t="shared" si="43"/>
        <v>85</v>
      </c>
      <c r="C2685" s="35">
        <v>1994</v>
      </c>
      <c r="D2685" s="35">
        <v>1903</v>
      </c>
      <c r="E2685" s="35">
        <v>1</v>
      </c>
      <c r="F2685" s="35">
        <v>1</v>
      </c>
      <c r="G2685" s="1" t="s">
        <v>2</v>
      </c>
      <c r="H2685" s="1" t="s">
        <v>2</v>
      </c>
      <c r="I2685" s="1"/>
      <c r="J2685" s="1"/>
      <c r="K2685" s="1"/>
      <c r="AA2685" s="1"/>
    </row>
    <row r="2686" spans="1:27" x14ac:dyDescent="0.25">
      <c r="A2686" t="s">
        <v>31</v>
      </c>
      <c r="B2686" t="str">
        <f t="shared" si="43"/>
        <v>85</v>
      </c>
      <c r="C2686" s="35">
        <v>1994</v>
      </c>
      <c r="D2686" s="35">
        <v>1904</v>
      </c>
      <c r="E2686" s="35">
        <v>1</v>
      </c>
      <c r="F2686" s="35">
        <v>1</v>
      </c>
      <c r="G2686" s="1" t="s">
        <v>2</v>
      </c>
      <c r="H2686" s="1" t="s">
        <v>2</v>
      </c>
      <c r="I2686" s="1"/>
      <c r="J2686" s="1"/>
      <c r="K2686" s="1"/>
      <c r="AA2686" s="1"/>
    </row>
    <row r="2687" spans="1:27" x14ac:dyDescent="0.25">
      <c r="A2687" t="s">
        <v>31</v>
      </c>
      <c r="B2687" t="str">
        <f t="shared" si="43"/>
        <v>85</v>
      </c>
      <c r="C2687" s="35">
        <v>1994</v>
      </c>
      <c r="D2687" s="35">
        <v>1954</v>
      </c>
      <c r="E2687" s="35">
        <v>1</v>
      </c>
      <c r="F2687" s="1" t="s">
        <v>2</v>
      </c>
      <c r="G2687" s="35">
        <v>1</v>
      </c>
      <c r="H2687" s="1" t="s">
        <v>2</v>
      </c>
      <c r="I2687" s="1"/>
      <c r="J2687" s="1"/>
      <c r="K2687" s="1"/>
      <c r="AA2687" s="1"/>
    </row>
    <row r="2688" spans="1:27" x14ac:dyDescent="0.25">
      <c r="A2688" t="s">
        <v>31</v>
      </c>
      <c r="B2688" t="str">
        <f t="shared" si="43"/>
        <v>85</v>
      </c>
      <c r="C2688" s="35">
        <v>1994</v>
      </c>
      <c r="D2688" s="35">
        <v>1991</v>
      </c>
      <c r="E2688" s="35">
        <v>1</v>
      </c>
      <c r="F2688" s="35">
        <v>1</v>
      </c>
      <c r="G2688" s="1" t="s">
        <v>2</v>
      </c>
      <c r="H2688" s="1" t="s">
        <v>2</v>
      </c>
      <c r="I2688" s="1"/>
      <c r="J2688" s="1"/>
      <c r="K2688" s="1"/>
      <c r="AA2688" s="1"/>
    </row>
    <row r="2689" spans="1:27" x14ac:dyDescent="0.25">
      <c r="A2689" t="s">
        <v>31</v>
      </c>
      <c r="B2689" t="str">
        <f t="shared" si="43"/>
        <v>85</v>
      </c>
      <c r="C2689" s="35">
        <v>1994</v>
      </c>
      <c r="D2689" s="35">
        <v>1993</v>
      </c>
      <c r="E2689" s="35">
        <v>28</v>
      </c>
      <c r="F2689" s="35">
        <v>8</v>
      </c>
      <c r="G2689" s="35">
        <v>20</v>
      </c>
      <c r="H2689" s="1" t="s">
        <v>2</v>
      </c>
      <c r="I2689" s="1"/>
      <c r="J2689" s="1"/>
      <c r="K2689" s="1"/>
      <c r="AA2689" s="1"/>
    </row>
    <row r="2690" spans="1:27" x14ac:dyDescent="0.25">
      <c r="A2690" t="s">
        <v>31</v>
      </c>
      <c r="B2690" t="str">
        <f t="shared" si="43"/>
        <v>85</v>
      </c>
      <c r="C2690" s="35">
        <v>1994</v>
      </c>
      <c r="D2690" s="35">
        <v>1994</v>
      </c>
      <c r="E2690" s="36">
        <v>6270</v>
      </c>
      <c r="F2690" s="36">
        <v>2105</v>
      </c>
      <c r="G2690" s="36">
        <v>4164</v>
      </c>
      <c r="H2690" s="35">
        <v>1</v>
      </c>
      <c r="I2690" s="1"/>
      <c r="J2690" s="1"/>
      <c r="K2690" s="1"/>
      <c r="AA2690" s="1"/>
    </row>
    <row r="2691" spans="1:27" x14ac:dyDescent="0.25">
      <c r="A2691" t="s">
        <v>31</v>
      </c>
      <c r="B2691" t="str">
        <f t="shared" si="43"/>
        <v>85</v>
      </c>
      <c r="C2691" s="35">
        <v>1995</v>
      </c>
      <c r="D2691" s="1" t="s">
        <v>4</v>
      </c>
      <c r="E2691" s="36">
        <v>6769</v>
      </c>
      <c r="F2691" s="36">
        <v>2328</v>
      </c>
      <c r="G2691" s="36">
        <v>4440</v>
      </c>
      <c r="H2691" s="35">
        <v>1</v>
      </c>
      <c r="I2691" s="1"/>
      <c r="J2691" s="1"/>
      <c r="K2691" s="1"/>
      <c r="AA2691" s="1"/>
    </row>
    <row r="2692" spans="1:27" x14ac:dyDescent="0.25">
      <c r="A2692" t="s">
        <v>31</v>
      </c>
      <c r="B2692" t="str">
        <f t="shared" si="43"/>
        <v>85</v>
      </c>
      <c r="C2692" s="35">
        <v>1995</v>
      </c>
      <c r="D2692" s="35">
        <v>1905</v>
      </c>
      <c r="E2692" s="35">
        <v>2</v>
      </c>
      <c r="F2692" s="1" t="s">
        <v>2</v>
      </c>
      <c r="G2692" s="35">
        <v>2</v>
      </c>
      <c r="H2692" s="1" t="s">
        <v>2</v>
      </c>
      <c r="I2692" s="1"/>
      <c r="J2692" s="1"/>
      <c r="K2692" s="1"/>
      <c r="AA2692" s="1"/>
    </row>
    <row r="2693" spans="1:27" x14ac:dyDescent="0.25">
      <c r="A2693" t="s">
        <v>31</v>
      </c>
      <c r="B2693" t="str">
        <f t="shared" si="43"/>
        <v>85</v>
      </c>
      <c r="C2693" s="35">
        <v>1995</v>
      </c>
      <c r="D2693" s="35">
        <v>1916</v>
      </c>
      <c r="E2693" s="35">
        <v>1</v>
      </c>
      <c r="F2693" s="35">
        <v>1</v>
      </c>
      <c r="G2693" s="1" t="s">
        <v>2</v>
      </c>
      <c r="H2693" s="1" t="s">
        <v>2</v>
      </c>
      <c r="I2693" s="1"/>
      <c r="J2693" s="1"/>
      <c r="K2693" s="1"/>
      <c r="AA2693" s="1"/>
    </row>
    <row r="2694" spans="1:27" x14ac:dyDescent="0.25">
      <c r="A2694" t="s">
        <v>31</v>
      </c>
      <c r="B2694" t="str">
        <f t="shared" si="43"/>
        <v>85</v>
      </c>
      <c r="C2694" s="35">
        <v>1995</v>
      </c>
      <c r="D2694" s="35">
        <v>1991</v>
      </c>
      <c r="E2694" s="35">
        <v>1</v>
      </c>
      <c r="F2694" s="1" t="s">
        <v>2</v>
      </c>
      <c r="G2694" s="35">
        <v>1</v>
      </c>
      <c r="H2694" s="1" t="s">
        <v>2</v>
      </c>
      <c r="I2694" s="1"/>
      <c r="J2694" s="1"/>
      <c r="K2694" s="1"/>
      <c r="AA2694" s="1"/>
    </row>
    <row r="2695" spans="1:27" x14ac:dyDescent="0.25">
      <c r="A2695" t="s">
        <v>31</v>
      </c>
      <c r="B2695" t="str">
        <f t="shared" ref="B2695:B2758" si="44">IF(A2695="Menores de 1 año",0,LEFT(A2695,2))</f>
        <v>85</v>
      </c>
      <c r="C2695" s="35">
        <v>1995</v>
      </c>
      <c r="D2695" s="35">
        <v>1992</v>
      </c>
      <c r="E2695" s="35">
        <v>1</v>
      </c>
      <c r="F2695" s="35">
        <v>1</v>
      </c>
      <c r="G2695" s="1" t="s">
        <v>2</v>
      </c>
      <c r="H2695" s="1" t="s">
        <v>2</v>
      </c>
      <c r="I2695" s="1"/>
      <c r="J2695" s="1"/>
      <c r="K2695" s="1"/>
      <c r="AA2695" s="1"/>
    </row>
    <row r="2696" spans="1:27" x14ac:dyDescent="0.25">
      <c r="A2696" t="s">
        <v>31</v>
      </c>
      <c r="B2696" t="str">
        <f t="shared" si="44"/>
        <v>85</v>
      </c>
      <c r="C2696" s="35">
        <v>1995</v>
      </c>
      <c r="D2696" s="35">
        <v>1993</v>
      </c>
      <c r="E2696" s="35">
        <v>3</v>
      </c>
      <c r="F2696" s="35">
        <v>1</v>
      </c>
      <c r="G2696" s="35">
        <v>2</v>
      </c>
      <c r="H2696" s="1" t="s">
        <v>2</v>
      </c>
      <c r="I2696" s="1"/>
      <c r="J2696" s="1"/>
      <c r="K2696" s="1"/>
      <c r="AA2696" s="1"/>
    </row>
    <row r="2697" spans="1:27" x14ac:dyDescent="0.25">
      <c r="A2697" t="s">
        <v>31</v>
      </c>
      <c r="B2697" t="str">
        <f t="shared" si="44"/>
        <v>85</v>
      </c>
      <c r="C2697" s="35">
        <v>1995</v>
      </c>
      <c r="D2697" s="35">
        <v>1994</v>
      </c>
      <c r="E2697" s="35">
        <v>18</v>
      </c>
      <c r="F2697" s="35">
        <v>5</v>
      </c>
      <c r="G2697" s="35">
        <v>12</v>
      </c>
      <c r="H2697" s="35">
        <v>1</v>
      </c>
      <c r="I2697" s="1"/>
      <c r="J2697" s="1"/>
      <c r="K2697" s="1"/>
      <c r="AA2697" s="1"/>
    </row>
    <row r="2698" spans="1:27" x14ac:dyDescent="0.25">
      <c r="A2698" t="s">
        <v>31</v>
      </c>
      <c r="B2698" t="str">
        <f t="shared" si="44"/>
        <v>85</v>
      </c>
      <c r="C2698" s="35">
        <v>1995</v>
      </c>
      <c r="D2698" s="35">
        <v>1995</v>
      </c>
      <c r="E2698" s="36">
        <v>6742</v>
      </c>
      <c r="F2698" s="36">
        <v>2319</v>
      </c>
      <c r="G2698" s="36">
        <v>4423</v>
      </c>
      <c r="H2698" s="1" t="s">
        <v>2</v>
      </c>
      <c r="I2698" s="1"/>
      <c r="J2698" s="1"/>
      <c r="K2698" s="1"/>
      <c r="AA2698" s="1"/>
    </row>
    <row r="2699" spans="1:27" x14ac:dyDescent="0.25">
      <c r="A2699" t="s">
        <v>31</v>
      </c>
      <c r="B2699" t="str">
        <f t="shared" si="44"/>
        <v>85</v>
      </c>
      <c r="C2699" s="35">
        <v>1995</v>
      </c>
      <c r="D2699" s="1" t="s">
        <v>24</v>
      </c>
      <c r="E2699" s="35">
        <v>1</v>
      </c>
      <c r="F2699" s="35">
        <v>1</v>
      </c>
      <c r="G2699" s="1" t="s">
        <v>2</v>
      </c>
      <c r="H2699" s="1" t="s">
        <v>2</v>
      </c>
      <c r="I2699" s="1"/>
      <c r="J2699" s="1"/>
      <c r="K2699" s="1"/>
      <c r="AA2699" s="1"/>
    </row>
    <row r="2700" spans="1:27" x14ac:dyDescent="0.25">
      <c r="A2700" t="s">
        <v>31</v>
      </c>
      <c r="B2700" t="str">
        <f t="shared" si="44"/>
        <v>85</v>
      </c>
      <c r="C2700" s="35">
        <v>1996</v>
      </c>
      <c r="D2700" s="1" t="s">
        <v>4</v>
      </c>
      <c r="E2700" s="36">
        <v>7265</v>
      </c>
      <c r="F2700" s="36">
        <v>2486</v>
      </c>
      <c r="G2700" s="36">
        <v>4779</v>
      </c>
      <c r="H2700" s="1" t="s">
        <v>2</v>
      </c>
      <c r="I2700" s="1"/>
      <c r="J2700" s="1"/>
      <c r="K2700" s="1"/>
      <c r="AA2700" s="1"/>
    </row>
    <row r="2701" spans="1:27" x14ac:dyDescent="0.25">
      <c r="A2701" t="s">
        <v>31</v>
      </c>
      <c r="B2701" t="str">
        <f t="shared" si="44"/>
        <v>85</v>
      </c>
      <c r="C2701" s="35">
        <v>1996</v>
      </c>
      <c r="D2701" s="35">
        <v>1976</v>
      </c>
      <c r="E2701" s="35">
        <v>1</v>
      </c>
      <c r="F2701" s="35">
        <v>1</v>
      </c>
      <c r="G2701" s="1" t="s">
        <v>2</v>
      </c>
      <c r="H2701" s="1" t="s">
        <v>2</v>
      </c>
      <c r="I2701" s="1"/>
      <c r="J2701" s="1"/>
      <c r="K2701" s="1"/>
      <c r="AA2701" s="1"/>
    </row>
    <row r="2702" spans="1:27" x14ac:dyDescent="0.25">
      <c r="A2702" t="s">
        <v>31</v>
      </c>
      <c r="B2702" t="str">
        <f t="shared" si="44"/>
        <v>85</v>
      </c>
      <c r="C2702" s="35">
        <v>1996</v>
      </c>
      <c r="D2702" s="35">
        <v>1986</v>
      </c>
      <c r="E2702" s="35">
        <v>1</v>
      </c>
      <c r="F2702" s="1" t="s">
        <v>2</v>
      </c>
      <c r="G2702" s="35">
        <v>1</v>
      </c>
      <c r="H2702" s="1" t="s">
        <v>2</v>
      </c>
      <c r="I2702" s="1"/>
      <c r="J2702" s="1"/>
      <c r="K2702" s="1"/>
      <c r="AA2702" s="1"/>
    </row>
    <row r="2703" spans="1:27" x14ac:dyDescent="0.25">
      <c r="A2703" t="s">
        <v>31</v>
      </c>
      <c r="B2703" t="str">
        <f t="shared" si="44"/>
        <v>85</v>
      </c>
      <c r="C2703" s="35">
        <v>1996</v>
      </c>
      <c r="D2703" s="35">
        <v>1995</v>
      </c>
      <c r="E2703" s="35">
        <v>34</v>
      </c>
      <c r="F2703" s="35">
        <v>13</v>
      </c>
      <c r="G2703" s="35">
        <v>21</v>
      </c>
      <c r="H2703" s="1" t="s">
        <v>2</v>
      </c>
      <c r="I2703" s="1"/>
      <c r="J2703" s="1"/>
      <c r="K2703" s="1"/>
      <c r="AA2703" s="1"/>
    </row>
    <row r="2704" spans="1:27" x14ac:dyDescent="0.25">
      <c r="A2704" t="s">
        <v>31</v>
      </c>
      <c r="B2704" t="str">
        <f t="shared" si="44"/>
        <v>85</v>
      </c>
      <c r="C2704" s="35">
        <v>1996</v>
      </c>
      <c r="D2704" s="35">
        <v>1996</v>
      </c>
      <c r="E2704" s="36">
        <v>7229</v>
      </c>
      <c r="F2704" s="36">
        <v>2472</v>
      </c>
      <c r="G2704" s="36">
        <v>4757</v>
      </c>
      <c r="H2704" s="1" t="s">
        <v>2</v>
      </c>
      <c r="I2704" s="1"/>
      <c r="J2704" s="1"/>
      <c r="K2704" s="1"/>
      <c r="AA2704" s="1"/>
    </row>
    <row r="2705" spans="1:27" x14ac:dyDescent="0.25">
      <c r="A2705" t="s">
        <v>31</v>
      </c>
      <c r="B2705" t="str">
        <f t="shared" si="44"/>
        <v>85</v>
      </c>
      <c r="C2705" s="35">
        <v>1997</v>
      </c>
      <c r="D2705" s="1" t="s">
        <v>4</v>
      </c>
      <c r="E2705" s="36">
        <v>7245</v>
      </c>
      <c r="F2705" s="36">
        <v>2478</v>
      </c>
      <c r="G2705" s="36">
        <v>4766</v>
      </c>
      <c r="H2705" s="35">
        <v>1</v>
      </c>
      <c r="I2705" s="1"/>
      <c r="J2705" s="1"/>
      <c r="K2705" s="1"/>
      <c r="AA2705" s="1"/>
    </row>
    <row r="2706" spans="1:27" x14ac:dyDescent="0.25">
      <c r="A2706" t="s">
        <v>31</v>
      </c>
      <c r="B2706" t="str">
        <f t="shared" si="44"/>
        <v>85</v>
      </c>
      <c r="C2706" s="35">
        <v>1997</v>
      </c>
      <c r="D2706" s="35">
        <v>1907</v>
      </c>
      <c r="E2706" s="35">
        <v>2</v>
      </c>
      <c r="F2706" s="1" t="s">
        <v>2</v>
      </c>
      <c r="G2706" s="35">
        <v>2</v>
      </c>
      <c r="H2706" s="1" t="s">
        <v>2</v>
      </c>
      <c r="I2706" s="1"/>
      <c r="J2706" s="1"/>
      <c r="K2706" s="1"/>
      <c r="AA2706" s="1"/>
    </row>
    <row r="2707" spans="1:27" x14ac:dyDescent="0.25">
      <c r="A2707" t="s">
        <v>31</v>
      </c>
      <c r="B2707" t="str">
        <f t="shared" si="44"/>
        <v>85</v>
      </c>
      <c r="C2707" s="35">
        <v>1997</v>
      </c>
      <c r="D2707" s="35">
        <v>1947</v>
      </c>
      <c r="E2707" s="35">
        <v>1</v>
      </c>
      <c r="F2707" s="1" t="s">
        <v>2</v>
      </c>
      <c r="G2707" s="35">
        <v>1</v>
      </c>
      <c r="H2707" s="1" t="s">
        <v>2</v>
      </c>
      <c r="I2707" s="1"/>
      <c r="J2707" s="1"/>
      <c r="K2707" s="1"/>
      <c r="AA2707" s="1"/>
    </row>
    <row r="2708" spans="1:27" x14ac:dyDescent="0.25">
      <c r="A2708" t="s">
        <v>31</v>
      </c>
      <c r="B2708" t="str">
        <f t="shared" si="44"/>
        <v>85</v>
      </c>
      <c r="C2708" s="35">
        <v>1997</v>
      </c>
      <c r="D2708" s="35">
        <v>1956</v>
      </c>
      <c r="E2708" s="35">
        <v>1</v>
      </c>
      <c r="F2708" s="1" t="s">
        <v>2</v>
      </c>
      <c r="G2708" s="35">
        <v>1</v>
      </c>
      <c r="H2708" s="1" t="s">
        <v>2</v>
      </c>
      <c r="I2708" s="1"/>
      <c r="J2708" s="1"/>
      <c r="K2708" s="1"/>
      <c r="AA2708" s="1"/>
    </row>
    <row r="2709" spans="1:27" x14ac:dyDescent="0.25">
      <c r="A2709" t="s">
        <v>31</v>
      </c>
      <c r="B2709" t="str">
        <f t="shared" si="44"/>
        <v>85</v>
      </c>
      <c r="C2709" s="35">
        <v>1997</v>
      </c>
      <c r="D2709" s="35">
        <v>1991</v>
      </c>
      <c r="E2709" s="35">
        <v>4</v>
      </c>
      <c r="F2709" s="35">
        <v>1</v>
      </c>
      <c r="G2709" s="35">
        <v>3</v>
      </c>
      <c r="H2709" s="1" t="s">
        <v>2</v>
      </c>
      <c r="I2709" s="1"/>
      <c r="J2709" s="1"/>
      <c r="K2709" s="1"/>
      <c r="AA2709" s="1"/>
    </row>
    <row r="2710" spans="1:27" x14ac:dyDescent="0.25">
      <c r="A2710" t="s">
        <v>31</v>
      </c>
      <c r="B2710" t="str">
        <f t="shared" si="44"/>
        <v>85</v>
      </c>
      <c r="C2710" s="35">
        <v>1997</v>
      </c>
      <c r="D2710" s="35">
        <v>1995</v>
      </c>
      <c r="E2710" s="35">
        <v>1</v>
      </c>
      <c r="F2710" s="1" t="s">
        <v>2</v>
      </c>
      <c r="G2710" s="35">
        <v>1</v>
      </c>
      <c r="H2710" s="1" t="s">
        <v>2</v>
      </c>
      <c r="I2710" s="1"/>
      <c r="J2710" s="1"/>
      <c r="K2710" s="1"/>
      <c r="AA2710" s="1"/>
    </row>
    <row r="2711" spans="1:27" x14ac:dyDescent="0.25">
      <c r="A2711" t="s">
        <v>31</v>
      </c>
      <c r="B2711" t="str">
        <f t="shared" si="44"/>
        <v>85</v>
      </c>
      <c r="C2711" s="35">
        <v>1997</v>
      </c>
      <c r="D2711" s="35">
        <v>1996</v>
      </c>
      <c r="E2711" s="35">
        <v>31</v>
      </c>
      <c r="F2711" s="35">
        <v>7</v>
      </c>
      <c r="G2711" s="35">
        <v>24</v>
      </c>
      <c r="H2711" s="1" t="s">
        <v>2</v>
      </c>
      <c r="I2711" s="1"/>
      <c r="J2711" s="1"/>
      <c r="K2711" s="1"/>
      <c r="AA2711" s="1"/>
    </row>
    <row r="2712" spans="1:27" x14ac:dyDescent="0.25">
      <c r="A2712" t="s">
        <v>31</v>
      </c>
      <c r="B2712" t="str">
        <f t="shared" si="44"/>
        <v>85</v>
      </c>
      <c r="C2712" s="35">
        <v>1997</v>
      </c>
      <c r="D2712" s="35">
        <v>1997</v>
      </c>
      <c r="E2712" s="36">
        <v>7205</v>
      </c>
      <c r="F2712" s="36">
        <v>2470</v>
      </c>
      <c r="G2712" s="36">
        <v>4734</v>
      </c>
      <c r="H2712" s="35">
        <v>1</v>
      </c>
      <c r="I2712" s="1"/>
      <c r="J2712" s="1"/>
      <c r="K2712" s="1"/>
      <c r="AA2712" s="1"/>
    </row>
    <row r="2713" spans="1:27" x14ac:dyDescent="0.25">
      <c r="A2713" t="s">
        <v>31</v>
      </c>
      <c r="B2713" t="str">
        <f t="shared" si="44"/>
        <v>85</v>
      </c>
      <c r="C2713" s="35">
        <v>1998</v>
      </c>
      <c r="D2713" s="1" t="s">
        <v>4</v>
      </c>
      <c r="E2713" s="36">
        <v>7416</v>
      </c>
      <c r="F2713" s="36">
        <v>2616</v>
      </c>
      <c r="G2713" s="36">
        <v>4800</v>
      </c>
      <c r="H2713" s="1" t="s">
        <v>2</v>
      </c>
      <c r="I2713" s="1"/>
      <c r="J2713" s="1"/>
      <c r="K2713" s="1"/>
      <c r="AA2713" s="1"/>
    </row>
    <row r="2714" spans="1:27" x14ac:dyDescent="0.25">
      <c r="A2714" t="s">
        <v>31</v>
      </c>
      <c r="B2714" t="str">
        <f t="shared" si="44"/>
        <v>85</v>
      </c>
      <c r="C2714" s="35">
        <v>1998</v>
      </c>
      <c r="D2714" s="35">
        <v>1900</v>
      </c>
      <c r="E2714" s="35">
        <v>2</v>
      </c>
      <c r="F2714" s="1" t="s">
        <v>2</v>
      </c>
      <c r="G2714" s="35">
        <v>2</v>
      </c>
      <c r="H2714" s="1" t="s">
        <v>2</v>
      </c>
      <c r="I2714" s="1"/>
      <c r="J2714" s="1"/>
      <c r="K2714" s="1"/>
      <c r="AA2714" s="1"/>
    </row>
    <row r="2715" spans="1:27" x14ac:dyDescent="0.25">
      <c r="A2715" t="s">
        <v>31</v>
      </c>
      <c r="B2715" t="str">
        <f t="shared" si="44"/>
        <v>85</v>
      </c>
      <c r="C2715" s="35">
        <v>1998</v>
      </c>
      <c r="D2715" s="35">
        <v>1907</v>
      </c>
      <c r="E2715" s="35">
        <v>1</v>
      </c>
      <c r="F2715" s="1" t="s">
        <v>2</v>
      </c>
      <c r="G2715" s="35">
        <v>1</v>
      </c>
      <c r="H2715" s="1" t="s">
        <v>2</v>
      </c>
      <c r="I2715" s="1"/>
      <c r="J2715" s="1"/>
      <c r="K2715" s="1"/>
      <c r="AA2715" s="1"/>
    </row>
    <row r="2716" spans="1:27" x14ac:dyDescent="0.25">
      <c r="A2716" t="s">
        <v>31</v>
      </c>
      <c r="B2716" t="str">
        <f t="shared" si="44"/>
        <v>85</v>
      </c>
      <c r="C2716" s="35">
        <v>1998</v>
      </c>
      <c r="D2716" s="35">
        <v>1958</v>
      </c>
      <c r="E2716" s="35">
        <v>1</v>
      </c>
      <c r="F2716" s="1" t="s">
        <v>2</v>
      </c>
      <c r="G2716" s="35">
        <v>1</v>
      </c>
      <c r="H2716" s="1" t="s">
        <v>2</v>
      </c>
      <c r="I2716" s="1"/>
      <c r="J2716" s="1"/>
      <c r="K2716" s="1"/>
      <c r="AA2716" s="1"/>
    </row>
    <row r="2717" spans="1:27" x14ac:dyDescent="0.25">
      <c r="A2717" t="s">
        <v>31</v>
      </c>
      <c r="B2717" t="str">
        <f t="shared" si="44"/>
        <v>85</v>
      </c>
      <c r="C2717" s="35">
        <v>1998</v>
      </c>
      <c r="D2717" s="35">
        <v>1978</v>
      </c>
      <c r="E2717" s="35">
        <v>1</v>
      </c>
      <c r="F2717" s="35">
        <v>1</v>
      </c>
      <c r="G2717" s="1" t="s">
        <v>2</v>
      </c>
      <c r="H2717" s="1" t="s">
        <v>2</v>
      </c>
      <c r="I2717" s="1"/>
      <c r="J2717" s="1"/>
      <c r="K2717" s="1"/>
      <c r="AA2717" s="1"/>
    </row>
    <row r="2718" spans="1:27" x14ac:dyDescent="0.25">
      <c r="A2718" t="s">
        <v>31</v>
      </c>
      <c r="B2718" t="str">
        <f t="shared" si="44"/>
        <v>85</v>
      </c>
      <c r="C2718" s="35">
        <v>1998</v>
      </c>
      <c r="D2718" s="35">
        <v>1980</v>
      </c>
      <c r="E2718" s="35">
        <v>1</v>
      </c>
      <c r="F2718" s="35">
        <v>1</v>
      </c>
      <c r="G2718" s="1" t="s">
        <v>2</v>
      </c>
      <c r="H2718" s="1" t="s">
        <v>2</v>
      </c>
      <c r="I2718" s="1"/>
      <c r="J2718" s="1"/>
      <c r="K2718" s="1"/>
      <c r="AA2718" s="1"/>
    </row>
    <row r="2719" spans="1:27" x14ac:dyDescent="0.25">
      <c r="A2719" t="s">
        <v>31</v>
      </c>
      <c r="B2719" t="str">
        <f t="shared" si="44"/>
        <v>85</v>
      </c>
      <c r="C2719" s="35">
        <v>1998</v>
      </c>
      <c r="D2719" s="35">
        <v>1993</v>
      </c>
      <c r="E2719" s="35">
        <v>1</v>
      </c>
      <c r="F2719" s="1" t="s">
        <v>2</v>
      </c>
      <c r="G2719" s="35">
        <v>1</v>
      </c>
      <c r="H2719" s="1" t="s">
        <v>2</v>
      </c>
      <c r="I2719" s="1"/>
      <c r="J2719" s="1"/>
      <c r="K2719" s="1"/>
      <c r="AA2719" s="1"/>
    </row>
    <row r="2720" spans="1:27" x14ac:dyDescent="0.25">
      <c r="A2720" t="s">
        <v>31</v>
      </c>
      <c r="B2720" t="str">
        <f t="shared" si="44"/>
        <v>85</v>
      </c>
      <c r="C2720" s="35">
        <v>1998</v>
      </c>
      <c r="D2720" s="35">
        <v>1995</v>
      </c>
      <c r="E2720" s="35">
        <v>2</v>
      </c>
      <c r="F2720" s="35">
        <v>1</v>
      </c>
      <c r="G2720" s="35">
        <v>1</v>
      </c>
      <c r="H2720" s="1" t="s">
        <v>2</v>
      </c>
      <c r="I2720" s="1"/>
      <c r="J2720" s="1"/>
      <c r="K2720" s="1"/>
      <c r="AA2720" s="1"/>
    </row>
    <row r="2721" spans="1:27" x14ac:dyDescent="0.25">
      <c r="A2721" t="s">
        <v>31</v>
      </c>
      <c r="B2721" t="str">
        <f t="shared" si="44"/>
        <v>85</v>
      </c>
      <c r="C2721" s="35">
        <v>1998</v>
      </c>
      <c r="D2721" s="35">
        <v>1997</v>
      </c>
      <c r="E2721" s="35">
        <v>39</v>
      </c>
      <c r="F2721" s="35">
        <v>18</v>
      </c>
      <c r="G2721" s="35">
        <v>21</v>
      </c>
      <c r="H2721" s="1" t="s">
        <v>2</v>
      </c>
      <c r="I2721" s="1"/>
      <c r="J2721" s="1"/>
      <c r="K2721" s="1"/>
      <c r="AA2721" s="1"/>
    </row>
    <row r="2722" spans="1:27" x14ac:dyDescent="0.25">
      <c r="A2722" t="s">
        <v>31</v>
      </c>
      <c r="B2722" t="str">
        <f t="shared" si="44"/>
        <v>85</v>
      </c>
      <c r="C2722" s="35">
        <v>1998</v>
      </c>
      <c r="D2722" s="35">
        <v>1998</v>
      </c>
      <c r="E2722" s="36">
        <v>7368</v>
      </c>
      <c r="F2722" s="36">
        <v>2595</v>
      </c>
      <c r="G2722" s="36">
        <v>4773</v>
      </c>
      <c r="H2722" s="1" t="s">
        <v>2</v>
      </c>
      <c r="I2722" s="1"/>
      <c r="J2722" s="1"/>
      <c r="K2722" s="1"/>
      <c r="AA2722" s="1"/>
    </row>
    <row r="2723" spans="1:27" x14ac:dyDescent="0.25">
      <c r="A2723" t="s">
        <v>31</v>
      </c>
      <c r="B2723" t="str">
        <f t="shared" si="44"/>
        <v>85</v>
      </c>
      <c r="C2723" s="35">
        <v>1999</v>
      </c>
      <c r="D2723" s="1" t="s">
        <v>4</v>
      </c>
      <c r="E2723" s="36">
        <v>7641</v>
      </c>
      <c r="F2723" s="36">
        <v>2702</v>
      </c>
      <c r="G2723" s="36">
        <v>4939</v>
      </c>
      <c r="H2723" s="1" t="s">
        <v>2</v>
      </c>
      <c r="I2723" s="1"/>
      <c r="J2723" s="1"/>
      <c r="K2723" s="1"/>
      <c r="AA2723" s="1"/>
    </row>
    <row r="2724" spans="1:27" x14ac:dyDescent="0.25">
      <c r="A2724" t="s">
        <v>31</v>
      </c>
      <c r="B2724" t="str">
        <f t="shared" si="44"/>
        <v>85</v>
      </c>
      <c r="C2724" s="35">
        <v>1999</v>
      </c>
      <c r="D2724" s="35">
        <v>1991</v>
      </c>
      <c r="E2724" s="35">
        <v>1</v>
      </c>
      <c r="F2724" s="35">
        <v>1</v>
      </c>
      <c r="G2724" s="1" t="s">
        <v>2</v>
      </c>
      <c r="H2724" s="1" t="s">
        <v>2</v>
      </c>
      <c r="I2724" s="1"/>
      <c r="J2724" s="1"/>
      <c r="K2724" s="1"/>
      <c r="AA2724" s="1"/>
    </row>
    <row r="2725" spans="1:27" x14ac:dyDescent="0.25">
      <c r="A2725" t="s">
        <v>31</v>
      </c>
      <c r="B2725" t="str">
        <f t="shared" si="44"/>
        <v>85</v>
      </c>
      <c r="C2725" s="35">
        <v>1999</v>
      </c>
      <c r="D2725" s="35">
        <v>1992</v>
      </c>
      <c r="E2725" s="35">
        <v>1</v>
      </c>
      <c r="F2725" s="35">
        <v>1</v>
      </c>
      <c r="G2725" s="1" t="s">
        <v>2</v>
      </c>
      <c r="H2725" s="1" t="s">
        <v>2</v>
      </c>
      <c r="I2725" s="1"/>
      <c r="J2725" s="1"/>
      <c r="K2725" s="1"/>
      <c r="AA2725" s="1"/>
    </row>
    <row r="2726" spans="1:27" x14ac:dyDescent="0.25">
      <c r="A2726" t="s">
        <v>31</v>
      </c>
      <c r="B2726" t="str">
        <f t="shared" si="44"/>
        <v>85</v>
      </c>
      <c r="C2726" s="35">
        <v>1999</v>
      </c>
      <c r="D2726" s="35">
        <v>1998</v>
      </c>
      <c r="E2726" s="35">
        <v>28</v>
      </c>
      <c r="F2726" s="35">
        <v>16</v>
      </c>
      <c r="G2726" s="35">
        <v>12</v>
      </c>
      <c r="H2726" s="1" t="s">
        <v>2</v>
      </c>
      <c r="I2726" s="1"/>
      <c r="J2726" s="1"/>
      <c r="K2726" s="1"/>
      <c r="AA2726" s="1"/>
    </row>
    <row r="2727" spans="1:27" x14ac:dyDescent="0.25">
      <c r="A2727" t="s">
        <v>31</v>
      </c>
      <c r="B2727" t="str">
        <f t="shared" si="44"/>
        <v>85</v>
      </c>
      <c r="C2727" s="35">
        <v>1999</v>
      </c>
      <c r="D2727" s="35">
        <v>1999</v>
      </c>
      <c r="E2727" s="36">
        <v>7611</v>
      </c>
      <c r="F2727" s="36">
        <v>2684</v>
      </c>
      <c r="G2727" s="36">
        <v>4927</v>
      </c>
      <c r="H2727" s="1" t="s">
        <v>2</v>
      </c>
      <c r="I2727" s="1"/>
      <c r="J2727" s="1"/>
      <c r="K2727" s="1"/>
      <c r="AA2727" s="1"/>
    </row>
    <row r="2728" spans="1:27" x14ac:dyDescent="0.25">
      <c r="A2728" t="s">
        <v>31</v>
      </c>
      <c r="B2728" t="str">
        <f t="shared" si="44"/>
        <v>85</v>
      </c>
      <c r="C2728" s="35">
        <v>2000</v>
      </c>
      <c r="D2728" s="1" t="s">
        <v>4</v>
      </c>
      <c r="E2728" s="36">
        <v>7463</v>
      </c>
      <c r="F2728" s="36">
        <v>2610</v>
      </c>
      <c r="G2728" s="36">
        <v>4853</v>
      </c>
      <c r="H2728" s="1" t="s">
        <v>2</v>
      </c>
      <c r="I2728" s="1"/>
      <c r="J2728" s="1"/>
      <c r="K2728" s="1"/>
      <c r="AA2728" s="1"/>
    </row>
    <row r="2729" spans="1:27" x14ac:dyDescent="0.25">
      <c r="A2729" t="s">
        <v>31</v>
      </c>
      <c r="B2729" t="str">
        <f t="shared" si="44"/>
        <v>85</v>
      </c>
      <c r="C2729" s="35">
        <v>2000</v>
      </c>
      <c r="D2729" s="35">
        <v>1999</v>
      </c>
      <c r="E2729" s="35">
        <v>26</v>
      </c>
      <c r="F2729" s="35">
        <v>11</v>
      </c>
      <c r="G2729" s="35">
        <v>15</v>
      </c>
      <c r="H2729" s="1" t="s">
        <v>2</v>
      </c>
      <c r="I2729" s="1"/>
      <c r="J2729" s="1"/>
      <c r="K2729" s="1"/>
      <c r="AA2729" s="1"/>
    </row>
    <row r="2730" spans="1:27" x14ac:dyDescent="0.25">
      <c r="A2730" t="s">
        <v>31</v>
      </c>
      <c r="B2730" t="str">
        <f t="shared" si="44"/>
        <v>85</v>
      </c>
      <c r="C2730" s="35">
        <v>2000</v>
      </c>
      <c r="D2730" s="35">
        <v>2000</v>
      </c>
      <c r="E2730" s="36">
        <v>7437</v>
      </c>
      <c r="F2730" s="36">
        <v>2599</v>
      </c>
      <c r="G2730" s="36">
        <v>4838</v>
      </c>
      <c r="H2730" s="1" t="s">
        <v>2</v>
      </c>
      <c r="I2730" s="1"/>
      <c r="J2730" s="1"/>
      <c r="K2730" s="1"/>
      <c r="AA2730" s="1"/>
    </row>
    <row r="2731" spans="1:27" x14ac:dyDescent="0.25">
      <c r="A2731" t="s">
        <v>31</v>
      </c>
      <c r="B2731" t="str">
        <f t="shared" si="44"/>
        <v>85</v>
      </c>
      <c r="C2731" s="35">
        <v>2001</v>
      </c>
      <c r="D2731" s="1" t="s">
        <v>4</v>
      </c>
      <c r="E2731" s="36">
        <v>7448</v>
      </c>
      <c r="F2731" s="36">
        <v>2559</v>
      </c>
      <c r="G2731" s="36">
        <v>4889</v>
      </c>
      <c r="H2731" s="1" t="s">
        <v>2</v>
      </c>
      <c r="I2731" s="1"/>
      <c r="J2731" s="1"/>
      <c r="K2731" s="1"/>
      <c r="AA2731" s="1"/>
    </row>
    <row r="2732" spans="1:27" x14ac:dyDescent="0.25">
      <c r="A2732" t="s">
        <v>31</v>
      </c>
      <c r="B2732" t="str">
        <f t="shared" si="44"/>
        <v>85</v>
      </c>
      <c r="C2732" s="35">
        <v>2001</v>
      </c>
      <c r="D2732" s="35">
        <v>1996</v>
      </c>
      <c r="E2732" s="35">
        <v>1</v>
      </c>
      <c r="F2732" s="1" t="s">
        <v>2</v>
      </c>
      <c r="G2732" s="35">
        <v>1</v>
      </c>
      <c r="H2732" s="1" t="s">
        <v>2</v>
      </c>
      <c r="I2732" s="1"/>
      <c r="J2732" s="1"/>
      <c r="K2732" s="1"/>
      <c r="AA2732" s="1"/>
    </row>
    <row r="2733" spans="1:27" x14ac:dyDescent="0.25">
      <c r="A2733" t="s">
        <v>31</v>
      </c>
      <c r="B2733" t="str">
        <f t="shared" si="44"/>
        <v>85</v>
      </c>
      <c r="C2733" s="35">
        <v>2001</v>
      </c>
      <c r="D2733" s="35">
        <v>2000</v>
      </c>
      <c r="E2733" s="35">
        <v>29</v>
      </c>
      <c r="F2733" s="35">
        <v>12</v>
      </c>
      <c r="G2733" s="35">
        <v>17</v>
      </c>
      <c r="H2733" s="1" t="s">
        <v>2</v>
      </c>
      <c r="I2733" s="1"/>
      <c r="J2733" s="1"/>
      <c r="K2733" s="1"/>
      <c r="AA2733" s="1"/>
    </row>
    <row r="2734" spans="1:27" x14ac:dyDescent="0.25">
      <c r="A2734" t="s">
        <v>31</v>
      </c>
      <c r="B2734" t="str">
        <f t="shared" si="44"/>
        <v>85</v>
      </c>
      <c r="C2734" s="35">
        <v>2001</v>
      </c>
      <c r="D2734" s="35">
        <v>2001</v>
      </c>
      <c r="E2734" s="36">
        <v>7418</v>
      </c>
      <c r="F2734" s="36">
        <v>2547</v>
      </c>
      <c r="G2734" s="36">
        <v>4871</v>
      </c>
      <c r="H2734" s="1" t="s">
        <v>2</v>
      </c>
      <c r="I2734" s="1"/>
      <c r="J2734" s="1"/>
      <c r="K2734" s="1"/>
      <c r="AA2734" s="1"/>
    </row>
    <row r="2735" spans="1:27" x14ac:dyDescent="0.25">
      <c r="A2735" t="s">
        <v>31</v>
      </c>
      <c r="B2735" t="str">
        <f t="shared" si="44"/>
        <v>85</v>
      </c>
      <c r="C2735" s="35">
        <v>2002</v>
      </c>
      <c r="D2735" s="1" t="s">
        <v>4</v>
      </c>
      <c r="E2735" s="36">
        <v>7732</v>
      </c>
      <c r="F2735" s="36">
        <v>2573</v>
      </c>
      <c r="G2735" s="36">
        <v>5159</v>
      </c>
      <c r="H2735" s="1" t="s">
        <v>2</v>
      </c>
      <c r="I2735" s="1"/>
      <c r="J2735" s="1"/>
      <c r="K2735" s="1"/>
      <c r="AA2735" s="1"/>
    </row>
    <row r="2736" spans="1:27" x14ac:dyDescent="0.25">
      <c r="A2736" t="s">
        <v>31</v>
      </c>
      <c r="B2736" t="str">
        <f t="shared" si="44"/>
        <v>85</v>
      </c>
      <c r="C2736" s="35">
        <v>2002</v>
      </c>
      <c r="D2736" s="35">
        <v>2001</v>
      </c>
      <c r="E2736" s="35">
        <v>34</v>
      </c>
      <c r="F2736" s="35">
        <v>11</v>
      </c>
      <c r="G2736" s="35">
        <v>23</v>
      </c>
      <c r="H2736" s="1" t="s">
        <v>2</v>
      </c>
      <c r="I2736" s="1"/>
      <c r="J2736" s="1"/>
      <c r="K2736" s="1"/>
      <c r="AA2736" s="1"/>
    </row>
    <row r="2737" spans="1:27" x14ac:dyDescent="0.25">
      <c r="A2737" t="s">
        <v>31</v>
      </c>
      <c r="B2737" t="str">
        <f t="shared" si="44"/>
        <v>85</v>
      </c>
      <c r="C2737" s="35">
        <v>2002</v>
      </c>
      <c r="D2737" s="35">
        <v>2002</v>
      </c>
      <c r="E2737" s="36">
        <v>7698</v>
      </c>
      <c r="F2737" s="36">
        <v>2562</v>
      </c>
      <c r="G2737" s="36">
        <v>5136</v>
      </c>
      <c r="H2737" s="1" t="s">
        <v>2</v>
      </c>
      <c r="I2737" s="1"/>
      <c r="J2737" s="1"/>
      <c r="K2737" s="1"/>
      <c r="AA2737" s="1"/>
    </row>
    <row r="2738" spans="1:27" x14ac:dyDescent="0.25">
      <c r="A2738" t="s">
        <v>31</v>
      </c>
      <c r="B2738" t="str">
        <f t="shared" si="44"/>
        <v>85</v>
      </c>
      <c r="C2738" s="35">
        <v>2003</v>
      </c>
      <c r="D2738" s="1" t="s">
        <v>4</v>
      </c>
      <c r="E2738" s="36">
        <v>8064</v>
      </c>
      <c r="F2738" s="36">
        <v>2858</v>
      </c>
      <c r="G2738" s="36">
        <v>5206</v>
      </c>
      <c r="H2738" s="1" t="s">
        <v>2</v>
      </c>
      <c r="I2738" s="1"/>
      <c r="J2738" s="1"/>
      <c r="K2738" s="1"/>
      <c r="AA2738" s="1"/>
    </row>
    <row r="2739" spans="1:27" x14ac:dyDescent="0.25">
      <c r="A2739" t="s">
        <v>31</v>
      </c>
      <c r="B2739" t="str">
        <f t="shared" si="44"/>
        <v>85</v>
      </c>
      <c r="C2739" s="35">
        <v>2003</v>
      </c>
      <c r="D2739" s="35">
        <v>1999</v>
      </c>
      <c r="E2739" s="35">
        <v>1</v>
      </c>
      <c r="F2739" s="35">
        <v>1</v>
      </c>
      <c r="G2739" s="1" t="s">
        <v>2</v>
      </c>
      <c r="H2739" s="1" t="s">
        <v>2</v>
      </c>
      <c r="I2739" s="1"/>
      <c r="J2739" s="1"/>
      <c r="K2739" s="1"/>
      <c r="AA2739" s="1"/>
    </row>
    <row r="2740" spans="1:27" x14ac:dyDescent="0.25">
      <c r="A2740" t="s">
        <v>31</v>
      </c>
      <c r="B2740" t="str">
        <f t="shared" si="44"/>
        <v>85</v>
      </c>
      <c r="C2740" s="35">
        <v>2003</v>
      </c>
      <c r="D2740" s="35">
        <v>2002</v>
      </c>
      <c r="E2740" s="35">
        <v>30</v>
      </c>
      <c r="F2740" s="35">
        <v>12</v>
      </c>
      <c r="G2740" s="35">
        <v>18</v>
      </c>
      <c r="H2740" s="1" t="s">
        <v>2</v>
      </c>
      <c r="I2740" s="1"/>
      <c r="J2740" s="1"/>
      <c r="K2740" s="1"/>
      <c r="AA2740" s="1"/>
    </row>
    <row r="2741" spans="1:27" x14ac:dyDescent="0.25">
      <c r="A2741" t="s">
        <v>31</v>
      </c>
      <c r="B2741" t="str">
        <f t="shared" si="44"/>
        <v>85</v>
      </c>
      <c r="C2741" s="35">
        <v>2003</v>
      </c>
      <c r="D2741" s="35">
        <v>2003</v>
      </c>
      <c r="E2741" s="36">
        <v>8033</v>
      </c>
      <c r="F2741" s="36">
        <v>2845</v>
      </c>
      <c r="G2741" s="36">
        <v>5188</v>
      </c>
      <c r="H2741" s="1" t="s">
        <v>2</v>
      </c>
      <c r="I2741" s="1"/>
      <c r="J2741" s="1"/>
      <c r="K2741" s="1"/>
      <c r="AA2741" s="1"/>
    </row>
    <row r="2742" spans="1:27" x14ac:dyDescent="0.25">
      <c r="A2742" t="s">
        <v>31</v>
      </c>
      <c r="B2742" t="str">
        <f t="shared" si="44"/>
        <v>85</v>
      </c>
      <c r="C2742" s="35">
        <v>2004</v>
      </c>
      <c r="D2742" s="1" t="s">
        <v>4</v>
      </c>
      <c r="E2742" s="36">
        <v>8195</v>
      </c>
      <c r="F2742" s="36">
        <v>2940</v>
      </c>
      <c r="G2742" s="36">
        <v>5255</v>
      </c>
      <c r="H2742" s="1" t="s">
        <v>2</v>
      </c>
      <c r="I2742" s="1"/>
      <c r="J2742" s="1"/>
      <c r="K2742" s="1"/>
      <c r="AA2742" s="1"/>
    </row>
    <row r="2743" spans="1:27" x14ac:dyDescent="0.25">
      <c r="A2743" t="s">
        <v>31</v>
      </c>
      <c r="B2743" t="str">
        <f t="shared" si="44"/>
        <v>85</v>
      </c>
      <c r="C2743" s="35">
        <v>2004</v>
      </c>
      <c r="D2743" s="35">
        <v>2003</v>
      </c>
      <c r="E2743" s="35">
        <v>37</v>
      </c>
      <c r="F2743" s="35">
        <v>19</v>
      </c>
      <c r="G2743" s="35">
        <v>18</v>
      </c>
      <c r="H2743" s="1" t="s">
        <v>2</v>
      </c>
      <c r="I2743" s="1"/>
      <c r="J2743" s="1"/>
      <c r="K2743" s="1"/>
      <c r="AA2743" s="1"/>
    </row>
    <row r="2744" spans="1:27" x14ac:dyDescent="0.25">
      <c r="A2744" t="s">
        <v>31</v>
      </c>
      <c r="B2744" t="str">
        <f t="shared" si="44"/>
        <v>85</v>
      </c>
      <c r="C2744" s="35">
        <v>2004</v>
      </c>
      <c r="D2744" s="35">
        <v>2004</v>
      </c>
      <c r="E2744" s="36">
        <v>8158</v>
      </c>
      <c r="F2744" s="36">
        <v>2921</v>
      </c>
      <c r="G2744" s="36">
        <v>5237</v>
      </c>
      <c r="H2744" s="1" t="s">
        <v>2</v>
      </c>
      <c r="I2744" s="1"/>
      <c r="J2744" s="1"/>
      <c r="K2744" s="1"/>
      <c r="AA2744" s="1"/>
    </row>
    <row r="2745" spans="1:27" x14ac:dyDescent="0.25">
      <c r="A2745" t="s">
        <v>31</v>
      </c>
      <c r="B2745" t="str">
        <f t="shared" si="44"/>
        <v>85</v>
      </c>
      <c r="C2745" s="35">
        <v>2005</v>
      </c>
      <c r="D2745" s="1" t="s">
        <v>4</v>
      </c>
      <c r="E2745" s="36">
        <v>8473</v>
      </c>
      <c r="F2745" s="36">
        <v>3005</v>
      </c>
      <c r="G2745" s="36">
        <v>5468</v>
      </c>
      <c r="H2745" s="1" t="s">
        <v>2</v>
      </c>
      <c r="I2745" s="1"/>
      <c r="J2745" s="1"/>
      <c r="K2745" s="1"/>
      <c r="AA2745" s="1"/>
    </row>
    <row r="2746" spans="1:27" x14ac:dyDescent="0.25">
      <c r="A2746" t="s">
        <v>31</v>
      </c>
      <c r="B2746" t="str">
        <f t="shared" si="44"/>
        <v>85</v>
      </c>
      <c r="C2746" s="35">
        <v>2005</v>
      </c>
      <c r="D2746" s="35">
        <v>2003</v>
      </c>
      <c r="E2746" s="35">
        <v>1</v>
      </c>
      <c r="F2746" s="35">
        <v>1</v>
      </c>
      <c r="G2746" s="1" t="s">
        <v>2</v>
      </c>
      <c r="H2746" s="1" t="s">
        <v>2</v>
      </c>
      <c r="I2746" s="1"/>
      <c r="J2746" s="1"/>
      <c r="K2746" s="1"/>
      <c r="AA2746" s="1"/>
    </row>
    <row r="2747" spans="1:27" x14ac:dyDescent="0.25">
      <c r="A2747" t="s">
        <v>31</v>
      </c>
      <c r="B2747" t="str">
        <f t="shared" si="44"/>
        <v>85</v>
      </c>
      <c r="C2747" s="35">
        <v>2005</v>
      </c>
      <c r="D2747" s="35">
        <v>2004</v>
      </c>
      <c r="E2747" s="35">
        <v>25</v>
      </c>
      <c r="F2747" s="35">
        <v>6</v>
      </c>
      <c r="G2747" s="35">
        <v>19</v>
      </c>
      <c r="H2747" s="1" t="s">
        <v>2</v>
      </c>
      <c r="I2747" s="1"/>
      <c r="J2747" s="1"/>
      <c r="K2747" s="1"/>
      <c r="AA2747" s="1"/>
    </row>
    <row r="2748" spans="1:27" x14ac:dyDescent="0.25">
      <c r="A2748" t="s">
        <v>31</v>
      </c>
      <c r="B2748" t="str">
        <f t="shared" si="44"/>
        <v>85</v>
      </c>
      <c r="C2748" s="35">
        <v>2005</v>
      </c>
      <c r="D2748" s="35">
        <v>2005</v>
      </c>
      <c r="E2748" s="36">
        <v>8447</v>
      </c>
      <c r="F2748" s="36">
        <v>2998</v>
      </c>
      <c r="G2748" s="36">
        <v>5449</v>
      </c>
      <c r="H2748" s="1" t="s">
        <v>2</v>
      </c>
      <c r="I2748" s="1"/>
      <c r="J2748" s="1"/>
      <c r="K2748" s="1"/>
      <c r="AA2748" s="1"/>
    </row>
    <row r="2749" spans="1:27" x14ac:dyDescent="0.25">
      <c r="A2749" t="s">
        <v>31</v>
      </c>
      <c r="B2749" t="str">
        <f t="shared" si="44"/>
        <v>85</v>
      </c>
      <c r="C2749" s="35">
        <v>2006</v>
      </c>
      <c r="D2749" s="1" t="s">
        <v>4</v>
      </c>
      <c r="E2749" s="36">
        <v>8657</v>
      </c>
      <c r="F2749" s="36">
        <v>3080</v>
      </c>
      <c r="G2749" s="36">
        <v>5577</v>
      </c>
      <c r="H2749" s="1" t="s">
        <v>2</v>
      </c>
      <c r="I2749" s="1"/>
      <c r="J2749" s="1"/>
      <c r="K2749" s="1"/>
      <c r="AA2749" s="1"/>
    </row>
    <row r="2750" spans="1:27" x14ac:dyDescent="0.25">
      <c r="A2750" t="s">
        <v>31</v>
      </c>
      <c r="B2750" t="str">
        <f t="shared" si="44"/>
        <v>85</v>
      </c>
      <c r="C2750" s="35">
        <v>2006</v>
      </c>
      <c r="D2750" s="35">
        <v>2000</v>
      </c>
      <c r="E2750" s="35">
        <v>1</v>
      </c>
      <c r="F2750" s="35">
        <v>1</v>
      </c>
      <c r="G2750" s="1" t="s">
        <v>2</v>
      </c>
      <c r="H2750" s="1" t="s">
        <v>2</v>
      </c>
      <c r="I2750" s="1"/>
      <c r="J2750" s="1"/>
      <c r="K2750" s="1"/>
      <c r="AA2750" s="1"/>
    </row>
    <row r="2751" spans="1:27" x14ac:dyDescent="0.25">
      <c r="A2751" t="s">
        <v>31</v>
      </c>
      <c r="B2751" t="str">
        <f t="shared" si="44"/>
        <v>85</v>
      </c>
      <c r="C2751" s="35">
        <v>2006</v>
      </c>
      <c r="D2751" s="35">
        <v>2005</v>
      </c>
      <c r="E2751" s="35">
        <v>39</v>
      </c>
      <c r="F2751" s="35">
        <v>13</v>
      </c>
      <c r="G2751" s="35">
        <v>26</v>
      </c>
      <c r="H2751" s="1" t="s">
        <v>2</v>
      </c>
      <c r="I2751" s="1"/>
      <c r="J2751" s="1"/>
      <c r="K2751" s="1"/>
      <c r="AA2751" s="1"/>
    </row>
    <row r="2752" spans="1:27" x14ac:dyDescent="0.25">
      <c r="A2752" t="s">
        <v>31</v>
      </c>
      <c r="B2752" t="str">
        <f t="shared" si="44"/>
        <v>85</v>
      </c>
      <c r="C2752" s="35">
        <v>2006</v>
      </c>
      <c r="D2752" s="35">
        <v>2006</v>
      </c>
      <c r="E2752" s="36">
        <v>8617</v>
      </c>
      <c r="F2752" s="36">
        <v>3066</v>
      </c>
      <c r="G2752" s="36">
        <v>5551</v>
      </c>
      <c r="H2752" s="1" t="s">
        <v>2</v>
      </c>
      <c r="I2752" s="1"/>
      <c r="J2752" s="1"/>
      <c r="K2752" s="1"/>
      <c r="AA2752" s="1"/>
    </row>
    <row r="2753" spans="1:27" x14ac:dyDescent="0.25">
      <c r="A2753" t="s">
        <v>31</v>
      </c>
      <c r="B2753" t="str">
        <f t="shared" si="44"/>
        <v>85</v>
      </c>
      <c r="C2753" s="35">
        <v>2007</v>
      </c>
      <c r="D2753" s="1" t="s">
        <v>4</v>
      </c>
      <c r="E2753" s="36">
        <v>9104</v>
      </c>
      <c r="F2753" s="36">
        <v>3231</v>
      </c>
      <c r="G2753" s="36">
        <v>5872</v>
      </c>
      <c r="H2753" s="35">
        <v>1</v>
      </c>
      <c r="I2753" s="1"/>
      <c r="J2753" s="1"/>
      <c r="K2753" s="1"/>
      <c r="AA2753" s="1"/>
    </row>
    <row r="2754" spans="1:27" x14ac:dyDescent="0.25">
      <c r="A2754" t="s">
        <v>31</v>
      </c>
      <c r="B2754" t="str">
        <f t="shared" si="44"/>
        <v>85</v>
      </c>
      <c r="C2754" s="35">
        <v>2007</v>
      </c>
      <c r="D2754" s="35">
        <v>2006</v>
      </c>
      <c r="E2754" s="35">
        <v>50</v>
      </c>
      <c r="F2754" s="35">
        <v>23</v>
      </c>
      <c r="G2754" s="35">
        <v>27</v>
      </c>
      <c r="H2754" s="1" t="s">
        <v>2</v>
      </c>
      <c r="I2754" s="1"/>
      <c r="J2754" s="1"/>
      <c r="K2754" s="1"/>
      <c r="AA2754" s="1"/>
    </row>
    <row r="2755" spans="1:27" x14ac:dyDescent="0.25">
      <c r="A2755" t="s">
        <v>31</v>
      </c>
      <c r="B2755" t="str">
        <f t="shared" si="44"/>
        <v>85</v>
      </c>
      <c r="C2755" s="35">
        <v>2007</v>
      </c>
      <c r="D2755" s="35">
        <v>2007</v>
      </c>
      <c r="E2755" s="36">
        <v>9054</v>
      </c>
      <c r="F2755" s="36">
        <v>3208</v>
      </c>
      <c r="G2755" s="36">
        <v>5845</v>
      </c>
      <c r="H2755" s="35">
        <v>1</v>
      </c>
      <c r="I2755" s="1"/>
      <c r="J2755" s="1"/>
      <c r="K2755" s="1"/>
      <c r="AA2755" s="1"/>
    </row>
    <row r="2756" spans="1:27" x14ac:dyDescent="0.25">
      <c r="A2756" t="s">
        <v>31</v>
      </c>
      <c r="B2756" t="str">
        <f t="shared" si="44"/>
        <v>85</v>
      </c>
      <c r="C2756" s="35">
        <v>2008</v>
      </c>
      <c r="D2756" s="1" t="s">
        <v>4</v>
      </c>
      <c r="E2756" s="36">
        <v>9455</v>
      </c>
      <c r="F2756" s="36">
        <v>3577</v>
      </c>
      <c r="G2756" s="36">
        <v>5878</v>
      </c>
      <c r="H2756" s="1" t="s">
        <v>2</v>
      </c>
      <c r="I2756" s="1"/>
      <c r="J2756" s="1"/>
      <c r="K2756" s="1"/>
      <c r="AA2756" s="1"/>
    </row>
    <row r="2757" spans="1:27" x14ac:dyDescent="0.25">
      <c r="A2757" t="s">
        <v>31</v>
      </c>
      <c r="B2757" t="str">
        <f t="shared" si="44"/>
        <v>85</v>
      </c>
      <c r="C2757" s="35">
        <v>2008</v>
      </c>
      <c r="D2757" s="35">
        <v>2004</v>
      </c>
      <c r="E2757" s="35">
        <v>8</v>
      </c>
      <c r="F2757" s="35">
        <v>8</v>
      </c>
      <c r="G2757" s="1" t="s">
        <v>2</v>
      </c>
      <c r="H2757" s="1" t="s">
        <v>2</v>
      </c>
      <c r="I2757" s="1"/>
      <c r="J2757" s="1"/>
      <c r="K2757" s="1"/>
      <c r="AA2757" s="1"/>
    </row>
    <row r="2758" spans="1:27" x14ac:dyDescent="0.25">
      <c r="A2758" t="s">
        <v>31</v>
      </c>
      <c r="B2758" t="str">
        <f t="shared" si="44"/>
        <v>85</v>
      </c>
      <c r="C2758" s="35">
        <v>2008</v>
      </c>
      <c r="D2758" s="35">
        <v>2005</v>
      </c>
      <c r="E2758" s="35">
        <v>4</v>
      </c>
      <c r="F2758" s="35">
        <v>2</v>
      </c>
      <c r="G2758" s="35">
        <v>2</v>
      </c>
      <c r="H2758" s="1" t="s">
        <v>2</v>
      </c>
      <c r="I2758" s="1"/>
      <c r="J2758" s="1"/>
      <c r="K2758" s="1"/>
      <c r="AA2758" s="1"/>
    </row>
    <row r="2759" spans="1:27" x14ac:dyDescent="0.25">
      <c r="A2759" t="s">
        <v>31</v>
      </c>
      <c r="B2759" t="str">
        <f t="shared" ref="B2759:B2822" si="45">IF(A2759="Menores de 1 año",0,LEFT(A2759,2))</f>
        <v>85</v>
      </c>
      <c r="C2759" s="35">
        <v>2008</v>
      </c>
      <c r="D2759" s="35">
        <v>2007</v>
      </c>
      <c r="E2759" s="35">
        <v>27</v>
      </c>
      <c r="F2759" s="35">
        <v>14</v>
      </c>
      <c r="G2759" s="35">
        <v>13</v>
      </c>
      <c r="H2759" s="1" t="s">
        <v>2</v>
      </c>
      <c r="I2759" s="1"/>
      <c r="J2759" s="1"/>
      <c r="K2759" s="1"/>
      <c r="AA2759" s="1"/>
    </row>
    <row r="2760" spans="1:27" x14ac:dyDescent="0.25">
      <c r="A2760" t="s">
        <v>31</v>
      </c>
      <c r="B2760" t="str">
        <f t="shared" si="45"/>
        <v>85</v>
      </c>
      <c r="C2760" s="35">
        <v>2008</v>
      </c>
      <c r="D2760" s="35">
        <v>2008</v>
      </c>
      <c r="E2760" s="36">
        <v>9416</v>
      </c>
      <c r="F2760" s="36">
        <v>3553</v>
      </c>
      <c r="G2760" s="36">
        <v>5863</v>
      </c>
      <c r="H2760" s="1" t="s">
        <v>2</v>
      </c>
      <c r="I2760" s="1"/>
      <c r="J2760" s="1"/>
      <c r="K2760" s="1"/>
      <c r="AA2760" s="1"/>
    </row>
    <row r="2761" spans="1:27" x14ac:dyDescent="0.25">
      <c r="A2761" t="s">
        <v>31</v>
      </c>
      <c r="B2761" t="str">
        <f t="shared" si="45"/>
        <v>85</v>
      </c>
      <c r="C2761" s="35">
        <v>2009</v>
      </c>
      <c r="D2761" s="1" t="s">
        <v>4</v>
      </c>
      <c r="E2761" s="36">
        <v>9841</v>
      </c>
      <c r="F2761" s="36">
        <v>3554</v>
      </c>
      <c r="G2761" s="36">
        <v>6287</v>
      </c>
      <c r="H2761" s="1" t="s">
        <v>2</v>
      </c>
      <c r="I2761" s="1"/>
      <c r="J2761" s="1"/>
      <c r="K2761" s="1"/>
      <c r="AA2761" s="1"/>
    </row>
    <row r="2762" spans="1:27" x14ac:dyDescent="0.25">
      <c r="A2762" t="s">
        <v>31</v>
      </c>
      <c r="B2762" t="str">
        <f t="shared" si="45"/>
        <v>85</v>
      </c>
      <c r="C2762" s="35">
        <v>2009</v>
      </c>
      <c r="D2762" s="35">
        <v>2001</v>
      </c>
      <c r="E2762" s="35">
        <v>1</v>
      </c>
      <c r="F2762" s="35">
        <v>1</v>
      </c>
      <c r="G2762" s="1" t="s">
        <v>2</v>
      </c>
      <c r="H2762" s="1" t="s">
        <v>2</v>
      </c>
      <c r="I2762" s="1"/>
      <c r="J2762" s="1"/>
      <c r="K2762" s="1"/>
      <c r="AA2762" s="1"/>
    </row>
    <row r="2763" spans="1:27" x14ac:dyDescent="0.25">
      <c r="A2763" t="s">
        <v>31</v>
      </c>
      <c r="B2763" t="str">
        <f t="shared" si="45"/>
        <v>85</v>
      </c>
      <c r="C2763" s="35">
        <v>2009</v>
      </c>
      <c r="D2763" s="35">
        <v>2004</v>
      </c>
      <c r="E2763" s="35">
        <v>2</v>
      </c>
      <c r="F2763" s="35">
        <v>2</v>
      </c>
      <c r="G2763" s="1" t="s">
        <v>2</v>
      </c>
      <c r="H2763" s="1" t="s">
        <v>2</v>
      </c>
      <c r="I2763" s="1"/>
      <c r="J2763" s="1"/>
      <c r="K2763" s="1"/>
      <c r="AA2763" s="1"/>
    </row>
    <row r="2764" spans="1:27" x14ac:dyDescent="0.25">
      <c r="A2764" t="s">
        <v>31</v>
      </c>
      <c r="B2764" t="str">
        <f t="shared" si="45"/>
        <v>85</v>
      </c>
      <c r="C2764" s="35">
        <v>2009</v>
      </c>
      <c r="D2764" s="35">
        <v>2005</v>
      </c>
      <c r="E2764" s="35">
        <v>3</v>
      </c>
      <c r="F2764" s="35">
        <v>2</v>
      </c>
      <c r="G2764" s="35">
        <v>1</v>
      </c>
      <c r="H2764" s="1" t="s">
        <v>2</v>
      </c>
      <c r="I2764" s="1"/>
      <c r="J2764" s="1"/>
      <c r="K2764" s="1"/>
      <c r="AA2764" s="1"/>
    </row>
    <row r="2765" spans="1:27" x14ac:dyDescent="0.25">
      <c r="A2765" t="s">
        <v>31</v>
      </c>
      <c r="B2765" t="str">
        <f t="shared" si="45"/>
        <v>85</v>
      </c>
      <c r="C2765" s="35">
        <v>2009</v>
      </c>
      <c r="D2765" s="35">
        <v>2006</v>
      </c>
      <c r="E2765" s="35">
        <v>3</v>
      </c>
      <c r="F2765" s="1" t="s">
        <v>2</v>
      </c>
      <c r="G2765" s="35">
        <v>3</v>
      </c>
      <c r="H2765" s="1" t="s">
        <v>2</v>
      </c>
      <c r="I2765" s="1"/>
      <c r="J2765" s="1"/>
      <c r="K2765" s="1"/>
      <c r="AA2765" s="1"/>
    </row>
    <row r="2766" spans="1:27" x14ac:dyDescent="0.25">
      <c r="A2766" t="s">
        <v>31</v>
      </c>
      <c r="B2766" t="str">
        <f t="shared" si="45"/>
        <v>85</v>
      </c>
      <c r="C2766" s="35">
        <v>2009</v>
      </c>
      <c r="D2766" s="35">
        <v>2008</v>
      </c>
      <c r="E2766" s="35">
        <v>39</v>
      </c>
      <c r="F2766" s="35">
        <v>20</v>
      </c>
      <c r="G2766" s="35">
        <v>19</v>
      </c>
      <c r="H2766" s="1" t="s">
        <v>2</v>
      </c>
      <c r="I2766" s="1"/>
      <c r="J2766" s="1"/>
      <c r="K2766" s="1"/>
      <c r="AA2766" s="1"/>
    </row>
    <row r="2767" spans="1:27" x14ac:dyDescent="0.25">
      <c r="A2767" t="s">
        <v>31</v>
      </c>
      <c r="B2767" t="str">
        <f t="shared" si="45"/>
        <v>85</v>
      </c>
      <c r="C2767" s="35">
        <v>2009</v>
      </c>
      <c r="D2767" s="35">
        <v>2009</v>
      </c>
      <c r="E2767" s="36">
        <v>9793</v>
      </c>
      <c r="F2767" s="36">
        <v>3529</v>
      </c>
      <c r="G2767" s="36">
        <v>6264</v>
      </c>
      <c r="H2767" s="1" t="s">
        <v>2</v>
      </c>
      <c r="I2767" s="1"/>
      <c r="J2767" s="1"/>
      <c r="K2767" s="1"/>
      <c r="AA2767" s="1"/>
    </row>
    <row r="2768" spans="1:27" x14ac:dyDescent="0.25">
      <c r="A2768" t="s">
        <v>31</v>
      </c>
      <c r="B2768" t="str">
        <f t="shared" si="45"/>
        <v>85</v>
      </c>
      <c r="C2768" s="35">
        <v>2010</v>
      </c>
      <c r="D2768" s="1" t="s">
        <v>4</v>
      </c>
      <c r="E2768" s="36">
        <v>10908</v>
      </c>
      <c r="F2768" s="36">
        <v>3930</v>
      </c>
      <c r="G2768" s="36">
        <v>6977</v>
      </c>
      <c r="H2768" s="35">
        <v>1</v>
      </c>
      <c r="I2768" s="1"/>
      <c r="J2768" s="1"/>
      <c r="K2768" s="1"/>
      <c r="AA2768" s="1"/>
    </row>
    <row r="2769" spans="1:27" x14ac:dyDescent="0.25">
      <c r="A2769" t="s">
        <v>31</v>
      </c>
      <c r="B2769" t="str">
        <f t="shared" si="45"/>
        <v>85</v>
      </c>
      <c r="C2769" s="35">
        <v>2010</v>
      </c>
      <c r="D2769" s="35">
        <v>2008</v>
      </c>
      <c r="E2769" s="35">
        <v>1</v>
      </c>
      <c r="F2769" s="35">
        <v>1</v>
      </c>
      <c r="G2769" s="1" t="s">
        <v>2</v>
      </c>
      <c r="H2769" s="1" t="s">
        <v>2</v>
      </c>
      <c r="I2769" s="1"/>
      <c r="J2769" s="1"/>
      <c r="K2769" s="1"/>
      <c r="AA2769" s="1"/>
    </row>
    <row r="2770" spans="1:27" x14ac:dyDescent="0.25">
      <c r="A2770" t="s">
        <v>31</v>
      </c>
      <c r="B2770" t="str">
        <f t="shared" si="45"/>
        <v>85</v>
      </c>
      <c r="C2770" s="35">
        <v>2010</v>
      </c>
      <c r="D2770" s="35">
        <v>2009</v>
      </c>
      <c r="E2770" s="35">
        <v>56</v>
      </c>
      <c r="F2770" s="35">
        <v>29</v>
      </c>
      <c r="G2770" s="35">
        <v>27</v>
      </c>
      <c r="H2770" s="1" t="s">
        <v>2</v>
      </c>
      <c r="I2770" s="1"/>
      <c r="J2770" s="1"/>
      <c r="K2770" s="1"/>
      <c r="AA2770" s="1"/>
    </row>
    <row r="2771" spans="1:27" x14ac:dyDescent="0.25">
      <c r="A2771" t="s">
        <v>31</v>
      </c>
      <c r="B2771" t="str">
        <f t="shared" si="45"/>
        <v>85</v>
      </c>
      <c r="C2771" s="35">
        <v>2010</v>
      </c>
      <c r="D2771" s="35">
        <v>2010</v>
      </c>
      <c r="E2771" s="36">
        <v>10851</v>
      </c>
      <c r="F2771" s="36">
        <v>3900</v>
      </c>
      <c r="G2771" s="36">
        <v>6950</v>
      </c>
      <c r="H2771" s="35">
        <v>1</v>
      </c>
      <c r="I2771" s="1"/>
      <c r="J2771" s="1"/>
      <c r="K2771" s="1"/>
      <c r="AA2771" s="1"/>
    </row>
    <row r="2772" spans="1:27" x14ac:dyDescent="0.25">
      <c r="A2772" t="s">
        <v>31</v>
      </c>
      <c r="B2772" t="str">
        <f t="shared" si="45"/>
        <v>85</v>
      </c>
      <c r="C2772" s="35">
        <v>2011</v>
      </c>
      <c r="D2772" s="1" t="s">
        <v>4</v>
      </c>
      <c r="E2772" s="36">
        <v>10526</v>
      </c>
      <c r="F2772" s="36">
        <v>3948</v>
      </c>
      <c r="G2772" s="36">
        <v>6577</v>
      </c>
      <c r="H2772" s="35">
        <v>1</v>
      </c>
      <c r="I2772" s="1"/>
      <c r="J2772" s="1"/>
      <c r="K2772" s="1"/>
      <c r="AA2772" s="1"/>
    </row>
    <row r="2773" spans="1:27" x14ac:dyDescent="0.25">
      <c r="A2773" t="s">
        <v>31</v>
      </c>
      <c r="B2773" t="str">
        <f t="shared" si="45"/>
        <v>85</v>
      </c>
      <c r="C2773" s="35">
        <v>2011</v>
      </c>
      <c r="D2773" s="35">
        <v>2010</v>
      </c>
      <c r="E2773" s="35">
        <v>73</v>
      </c>
      <c r="F2773" s="35">
        <v>31</v>
      </c>
      <c r="G2773" s="35">
        <v>42</v>
      </c>
      <c r="H2773" s="1" t="s">
        <v>2</v>
      </c>
      <c r="I2773" s="1"/>
      <c r="J2773" s="1"/>
      <c r="K2773" s="1"/>
      <c r="AA2773" s="1"/>
    </row>
    <row r="2774" spans="1:27" x14ac:dyDescent="0.25">
      <c r="A2774" t="s">
        <v>31</v>
      </c>
      <c r="B2774" t="str">
        <f t="shared" si="45"/>
        <v>85</v>
      </c>
      <c r="C2774" s="35">
        <v>2011</v>
      </c>
      <c r="D2774" s="35">
        <v>2011</v>
      </c>
      <c r="E2774" s="36">
        <v>10453</v>
      </c>
      <c r="F2774" s="36">
        <v>3917</v>
      </c>
      <c r="G2774" s="36">
        <v>6535</v>
      </c>
      <c r="H2774" s="35">
        <v>1</v>
      </c>
      <c r="I2774" s="1"/>
      <c r="J2774" s="1"/>
      <c r="K2774" s="1"/>
      <c r="AA2774" s="1"/>
    </row>
    <row r="2775" spans="1:27" x14ac:dyDescent="0.25">
      <c r="A2775" t="s">
        <v>31</v>
      </c>
      <c r="B2775" t="str">
        <f t="shared" si="45"/>
        <v>85</v>
      </c>
      <c r="C2775" s="35">
        <v>2012</v>
      </c>
      <c r="D2775" s="1" t="s">
        <v>4</v>
      </c>
      <c r="E2775" s="36">
        <v>10940</v>
      </c>
      <c r="F2775" s="36">
        <v>4025</v>
      </c>
      <c r="G2775" s="36">
        <v>6915</v>
      </c>
      <c r="H2775" s="1" t="s">
        <v>2</v>
      </c>
      <c r="I2775" s="1"/>
      <c r="J2775" s="1"/>
      <c r="K2775" s="1"/>
      <c r="AA2775" s="1"/>
    </row>
    <row r="2776" spans="1:27" x14ac:dyDescent="0.25">
      <c r="A2776" t="s">
        <v>31</v>
      </c>
      <c r="B2776" t="str">
        <f t="shared" si="45"/>
        <v>85</v>
      </c>
      <c r="C2776" s="35">
        <v>2012</v>
      </c>
      <c r="D2776" s="35">
        <v>2010</v>
      </c>
      <c r="E2776" s="35">
        <v>1</v>
      </c>
      <c r="F2776" s="1" t="s">
        <v>2</v>
      </c>
      <c r="G2776" s="35">
        <v>1</v>
      </c>
      <c r="H2776" s="1" t="s">
        <v>2</v>
      </c>
      <c r="I2776" s="1"/>
      <c r="J2776" s="1"/>
      <c r="K2776" s="1"/>
      <c r="AA2776" s="1"/>
    </row>
    <row r="2777" spans="1:27" x14ac:dyDescent="0.25">
      <c r="A2777" t="s">
        <v>31</v>
      </c>
      <c r="B2777" t="str">
        <f t="shared" si="45"/>
        <v>85</v>
      </c>
      <c r="C2777" s="35">
        <v>2012</v>
      </c>
      <c r="D2777" s="35">
        <v>2011</v>
      </c>
      <c r="E2777" s="35">
        <v>51</v>
      </c>
      <c r="F2777" s="35">
        <v>29</v>
      </c>
      <c r="G2777" s="35">
        <v>22</v>
      </c>
      <c r="H2777" s="1" t="s">
        <v>2</v>
      </c>
      <c r="I2777" s="1"/>
      <c r="J2777" s="1"/>
      <c r="K2777" s="1"/>
      <c r="AA2777" s="1"/>
    </row>
    <row r="2778" spans="1:27" x14ac:dyDescent="0.25">
      <c r="A2778" t="s">
        <v>31</v>
      </c>
      <c r="B2778" t="str">
        <f t="shared" si="45"/>
        <v>85</v>
      </c>
      <c r="C2778" s="35">
        <v>2012</v>
      </c>
      <c r="D2778" s="35">
        <v>2012</v>
      </c>
      <c r="E2778" s="36">
        <v>10888</v>
      </c>
      <c r="F2778" s="36">
        <v>3996</v>
      </c>
      <c r="G2778" s="36">
        <v>6892</v>
      </c>
      <c r="H2778" s="1" t="s">
        <v>2</v>
      </c>
      <c r="I2778" s="1"/>
      <c r="J2778" s="1"/>
      <c r="K2778" s="1"/>
      <c r="AA2778" s="1"/>
    </row>
    <row r="2779" spans="1:27" x14ac:dyDescent="0.25">
      <c r="A2779" t="s">
        <v>31</v>
      </c>
      <c r="B2779" t="str">
        <f t="shared" si="45"/>
        <v>85</v>
      </c>
      <c r="C2779" s="35">
        <v>2013</v>
      </c>
      <c r="D2779" s="1" t="s">
        <v>4</v>
      </c>
      <c r="E2779" s="36">
        <v>11411</v>
      </c>
      <c r="F2779" s="36">
        <v>4241</v>
      </c>
      <c r="G2779" s="36">
        <v>7170</v>
      </c>
      <c r="H2779" s="1" t="s">
        <v>2</v>
      </c>
      <c r="I2779" s="1"/>
      <c r="J2779" s="1"/>
      <c r="K2779" s="1"/>
      <c r="AA2779" s="1"/>
    </row>
    <row r="2780" spans="1:27" x14ac:dyDescent="0.25">
      <c r="A2780" t="s">
        <v>31</v>
      </c>
      <c r="B2780" t="str">
        <f t="shared" si="45"/>
        <v>85</v>
      </c>
      <c r="C2780" s="35">
        <v>2013</v>
      </c>
      <c r="D2780" s="35">
        <v>2012</v>
      </c>
      <c r="E2780" s="35">
        <v>55</v>
      </c>
      <c r="F2780" s="35">
        <v>29</v>
      </c>
      <c r="G2780" s="35">
        <v>26</v>
      </c>
      <c r="H2780" s="1" t="s">
        <v>2</v>
      </c>
      <c r="I2780" s="1"/>
      <c r="J2780" s="1"/>
      <c r="K2780" s="1"/>
      <c r="AA2780" s="1"/>
    </row>
    <row r="2781" spans="1:27" x14ac:dyDescent="0.25">
      <c r="A2781" t="s">
        <v>31</v>
      </c>
      <c r="B2781" t="str">
        <f t="shared" si="45"/>
        <v>85</v>
      </c>
      <c r="C2781" s="35">
        <v>2013</v>
      </c>
      <c r="D2781" s="35">
        <v>2013</v>
      </c>
      <c r="E2781" s="36">
        <v>11356</v>
      </c>
      <c r="F2781" s="36">
        <v>4212</v>
      </c>
      <c r="G2781" s="36">
        <v>7144</v>
      </c>
      <c r="H2781" s="1" t="s">
        <v>2</v>
      </c>
      <c r="I2781" s="1"/>
      <c r="J2781" s="1"/>
      <c r="K2781" s="1"/>
      <c r="AA2781" s="1"/>
    </row>
    <row r="2782" spans="1:27" x14ac:dyDescent="0.25">
      <c r="A2782" t="s">
        <v>31</v>
      </c>
      <c r="B2782" t="str">
        <f t="shared" si="45"/>
        <v>85</v>
      </c>
      <c r="C2782" s="35">
        <v>2014</v>
      </c>
      <c r="D2782" s="1" t="s">
        <v>4</v>
      </c>
      <c r="E2782" s="36">
        <v>11976</v>
      </c>
      <c r="F2782" s="36">
        <v>4422</v>
      </c>
      <c r="G2782" s="36">
        <v>7554</v>
      </c>
      <c r="H2782" s="1" t="s">
        <v>2</v>
      </c>
      <c r="I2782" s="1"/>
      <c r="J2782" s="1"/>
      <c r="K2782" s="1"/>
      <c r="AA2782" s="1"/>
    </row>
    <row r="2783" spans="1:27" x14ac:dyDescent="0.25">
      <c r="A2783" t="s">
        <v>31</v>
      </c>
      <c r="B2783" t="str">
        <f t="shared" si="45"/>
        <v>85</v>
      </c>
      <c r="C2783" s="35">
        <v>2014</v>
      </c>
      <c r="D2783" s="35">
        <v>2010</v>
      </c>
      <c r="E2783" s="35">
        <v>1</v>
      </c>
      <c r="F2783" s="1" t="s">
        <v>2</v>
      </c>
      <c r="G2783" s="35">
        <v>1</v>
      </c>
      <c r="H2783" s="1" t="s">
        <v>2</v>
      </c>
      <c r="I2783" s="1"/>
      <c r="J2783" s="1"/>
      <c r="K2783" s="1"/>
      <c r="AA2783" s="1"/>
    </row>
    <row r="2784" spans="1:27" x14ac:dyDescent="0.25">
      <c r="A2784" t="s">
        <v>31</v>
      </c>
      <c r="B2784" t="str">
        <f t="shared" si="45"/>
        <v>85</v>
      </c>
      <c r="C2784" s="35">
        <v>2014</v>
      </c>
      <c r="D2784" s="35">
        <v>2011</v>
      </c>
      <c r="E2784" s="35">
        <v>1</v>
      </c>
      <c r="F2784" s="1" t="s">
        <v>2</v>
      </c>
      <c r="G2784" s="35">
        <v>1</v>
      </c>
      <c r="H2784" s="1" t="s">
        <v>2</v>
      </c>
      <c r="I2784" s="1"/>
      <c r="J2784" s="1"/>
      <c r="K2784" s="1"/>
      <c r="AA2784" s="1"/>
    </row>
    <row r="2785" spans="1:27" x14ac:dyDescent="0.25">
      <c r="A2785" t="s">
        <v>31</v>
      </c>
      <c r="B2785" t="str">
        <f t="shared" si="45"/>
        <v>85</v>
      </c>
      <c r="C2785" s="35">
        <v>2014</v>
      </c>
      <c r="D2785" s="35">
        <v>2013</v>
      </c>
      <c r="E2785" s="35">
        <v>59</v>
      </c>
      <c r="F2785" s="35">
        <v>22</v>
      </c>
      <c r="G2785" s="35">
        <v>37</v>
      </c>
      <c r="H2785" s="1" t="s">
        <v>2</v>
      </c>
      <c r="I2785" s="1"/>
      <c r="J2785" s="1"/>
      <c r="K2785" s="1"/>
      <c r="AA2785" s="1"/>
    </row>
    <row r="2786" spans="1:27" x14ac:dyDescent="0.25">
      <c r="A2786" t="s">
        <v>31</v>
      </c>
      <c r="B2786" t="str">
        <f t="shared" si="45"/>
        <v>85</v>
      </c>
      <c r="C2786" s="35">
        <v>2014</v>
      </c>
      <c r="D2786" s="35">
        <v>2014</v>
      </c>
      <c r="E2786" s="36">
        <v>11915</v>
      </c>
      <c r="F2786" s="36">
        <v>4400</v>
      </c>
      <c r="G2786" s="36">
        <v>7515</v>
      </c>
      <c r="H2786" s="1" t="s">
        <v>2</v>
      </c>
      <c r="I2786" s="1"/>
      <c r="J2786" s="1"/>
      <c r="K2786" s="1"/>
      <c r="AA2786" s="1"/>
    </row>
    <row r="2787" spans="1:27" x14ac:dyDescent="0.25">
      <c r="A2787" t="s">
        <v>31</v>
      </c>
      <c r="B2787" t="str">
        <f t="shared" si="45"/>
        <v>85</v>
      </c>
      <c r="C2787" s="35">
        <v>2015</v>
      </c>
      <c r="D2787" s="1" t="s">
        <v>4</v>
      </c>
      <c r="E2787" s="36">
        <v>12388</v>
      </c>
      <c r="F2787" s="36">
        <v>4484</v>
      </c>
      <c r="G2787" s="36">
        <v>7904</v>
      </c>
      <c r="H2787" s="1" t="s">
        <v>2</v>
      </c>
      <c r="I2787" s="1"/>
      <c r="J2787" s="1"/>
      <c r="K2787" s="1"/>
      <c r="AA2787" s="1"/>
    </row>
    <row r="2788" spans="1:27" x14ac:dyDescent="0.25">
      <c r="A2788" t="s">
        <v>31</v>
      </c>
      <c r="B2788" t="str">
        <f t="shared" si="45"/>
        <v>85</v>
      </c>
      <c r="C2788" s="35">
        <v>2015</v>
      </c>
      <c r="D2788" s="35">
        <v>2012</v>
      </c>
      <c r="E2788" s="35">
        <v>1</v>
      </c>
      <c r="F2788" s="1" t="s">
        <v>2</v>
      </c>
      <c r="G2788" s="35">
        <v>1</v>
      </c>
      <c r="H2788" s="1" t="s">
        <v>2</v>
      </c>
      <c r="I2788" s="1"/>
      <c r="J2788" s="1"/>
      <c r="K2788" s="1"/>
      <c r="AA2788" s="1"/>
    </row>
    <row r="2789" spans="1:27" x14ac:dyDescent="0.25">
      <c r="A2789" t="s">
        <v>31</v>
      </c>
      <c r="B2789" t="str">
        <f t="shared" si="45"/>
        <v>85</v>
      </c>
      <c r="C2789" s="35">
        <v>2015</v>
      </c>
      <c r="D2789" s="35">
        <v>2014</v>
      </c>
      <c r="E2789" s="35">
        <v>64</v>
      </c>
      <c r="F2789" s="35">
        <v>35</v>
      </c>
      <c r="G2789" s="35">
        <v>29</v>
      </c>
      <c r="H2789" s="1" t="s">
        <v>2</v>
      </c>
      <c r="I2789" s="1"/>
      <c r="J2789" s="1"/>
      <c r="K2789" s="1"/>
      <c r="AA2789" s="1"/>
    </row>
    <row r="2790" spans="1:27" x14ac:dyDescent="0.25">
      <c r="A2790" t="s">
        <v>31</v>
      </c>
      <c r="B2790" t="str">
        <f t="shared" si="45"/>
        <v>85</v>
      </c>
      <c r="C2790" s="35">
        <v>2015</v>
      </c>
      <c r="D2790" s="35">
        <v>2015</v>
      </c>
      <c r="E2790" s="36">
        <v>12323</v>
      </c>
      <c r="F2790" s="36">
        <v>4449</v>
      </c>
      <c r="G2790" s="36">
        <v>7874</v>
      </c>
      <c r="H2790" s="1" t="s">
        <v>2</v>
      </c>
      <c r="I2790" s="1"/>
      <c r="J2790" s="1"/>
      <c r="K2790" s="1"/>
      <c r="AA2790" s="1"/>
    </row>
    <row r="2791" spans="1:27" x14ac:dyDescent="0.25">
      <c r="A2791" t="s">
        <v>31</v>
      </c>
      <c r="B2791" t="str">
        <f t="shared" si="45"/>
        <v>85</v>
      </c>
      <c r="C2791" s="35">
        <v>2016</v>
      </c>
      <c r="D2791" s="1" t="s">
        <v>4</v>
      </c>
      <c r="E2791" s="36">
        <v>13113</v>
      </c>
      <c r="F2791" s="36">
        <v>4769</v>
      </c>
      <c r="G2791" s="36">
        <v>8344</v>
      </c>
      <c r="H2791" s="1" t="s">
        <v>2</v>
      </c>
      <c r="I2791" s="1"/>
      <c r="J2791" s="1"/>
      <c r="K2791" s="1"/>
      <c r="AA2791" s="1"/>
    </row>
    <row r="2792" spans="1:27" x14ac:dyDescent="0.25">
      <c r="A2792" t="s">
        <v>31</v>
      </c>
      <c r="B2792" t="str">
        <f t="shared" si="45"/>
        <v>85</v>
      </c>
      <c r="C2792" s="35">
        <v>2016</v>
      </c>
      <c r="D2792" s="35">
        <v>2010</v>
      </c>
      <c r="E2792" s="35">
        <v>2</v>
      </c>
      <c r="F2792" s="35">
        <v>2</v>
      </c>
      <c r="G2792" s="1" t="s">
        <v>2</v>
      </c>
      <c r="H2792" s="1" t="s">
        <v>2</v>
      </c>
      <c r="I2792" s="1"/>
      <c r="J2792" s="1"/>
      <c r="K2792" s="1"/>
      <c r="AA2792" s="1"/>
    </row>
    <row r="2793" spans="1:27" x14ac:dyDescent="0.25">
      <c r="A2793" t="s">
        <v>31</v>
      </c>
      <c r="B2793" t="str">
        <f t="shared" si="45"/>
        <v>85</v>
      </c>
      <c r="C2793" s="35">
        <v>2016</v>
      </c>
      <c r="D2793" s="35">
        <v>2011</v>
      </c>
      <c r="E2793" s="35">
        <v>2</v>
      </c>
      <c r="F2793" s="35">
        <v>2</v>
      </c>
      <c r="G2793" s="1" t="s">
        <v>2</v>
      </c>
      <c r="H2793" s="1" t="s">
        <v>2</v>
      </c>
      <c r="I2793" s="1"/>
      <c r="J2793" s="1"/>
      <c r="K2793" s="1"/>
      <c r="AA2793" s="1"/>
    </row>
    <row r="2794" spans="1:27" x14ac:dyDescent="0.25">
      <c r="A2794" t="s">
        <v>31</v>
      </c>
      <c r="B2794" t="str">
        <f t="shared" si="45"/>
        <v>85</v>
      </c>
      <c r="C2794" s="35">
        <v>2016</v>
      </c>
      <c r="D2794" s="35">
        <v>2013</v>
      </c>
      <c r="E2794" s="35">
        <v>3</v>
      </c>
      <c r="F2794" s="35">
        <v>2</v>
      </c>
      <c r="G2794" s="35">
        <v>1</v>
      </c>
      <c r="H2794" s="1" t="s">
        <v>2</v>
      </c>
      <c r="I2794" s="1"/>
      <c r="J2794" s="1"/>
      <c r="K2794" s="1"/>
      <c r="AA2794" s="1"/>
    </row>
    <row r="2795" spans="1:27" x14ac:dyDescent="0.25">
      <c r="A2795" t="s">
        <v>31</v>
      </c>
      <c r="B2795" t="str">
        <f t="shared" si="45"/>
        <v>85</v>
      </c>
      <c r="C2795" s="35">
        <v>2016</v>
      </c>
      <c r="D2795" s="35">
        <v>2015</v>
      </c>
      <c r="E2795" s="35">
        <v>50</v>
      </c>
      <c r="F2795" s="35">
        <v>23</v>
      </c>
      <c r="G2795" s="35">
        <v>27</v>
      </c>
      <c r="H2795" s="1" t="s">
        <v>2</v>
      </c>
      <c r="I2795" s="1"/>
      <c r="J2795" s="1"/>
      <c r="K2795" s="1"/>
      <c r="AA2795" s="1"/>
    </row>
    <row r="2796" spans="1:27" x14ac:dyDescent="0.25">
      <c r="A2796" t="s">
        <v>31</v>
      </c>
      <c r="B2796" t="str">
        <f t="shared" si="45"/>
        <v>85</v>
      </c>
      <c r="C2796" s="35">
        <v>2016</v>
      </c>
      <c r="D2796" s="35">
        <v>2016</v>
      </c>
      <c r="E2796" s="36">
        <v>13056</v>
      </c>
      <c r="F2796" s="36">
        <v>4740</v>
      </c>
      <c r="G2796" s="36">
        <v>8316</v>
      </c>
      <c r="H2796" s="1" t="s">
        <v>2</v>
      </c>
      <c r="I2796" s="1"/>
      <c r="J2796" s="1"/>
      <c r="K2796" s="1"/>
      <c r="AA2796" s="1"/>
    </row>
    <row r="2797" spans="1:27" x14ac:dyDescent="0.25">
      <c r="A2797" t="s">
        <v>31</v>
      </c>
      <c r="B2797" t="str">
        <f t="shared" si="45"/>
        <v>85</v>
      </c>
      <c r="C2797" s="35">
        <v>2017</v>
      </c>
      <c r="D2797" s="1" t="s">
        <v>4</v>
      </c>
      <c r="E2797" s="36">
        <v>13245</v>
      </c>
      <c r="F2797" s="36">
        <v>4812</v>
      </c>
      <c r="G2797" s="36">
        <v>8433</v>
      </c>
      <c r="H2797" s="1" t="s">
        <v>2</v>
      </c>
      <c r="I2797" s="1"/>
      <c r="J2797" s="1"/>
      <c r="K2797" s="1"/>
      <c r="AA2797" s="1"/>
    </row>
    <row r="2798" spans="1:27" x14ac:dyDescent="0.25">
      <c r="A2798" t="s">
        <v>31</v>
      </c>
      <c r="B2798" t="str">
        <f t="shared" si="45"/>
        <v>85</v>
      </c>
      <c r="C2798" s="35">
        <v>2017</v>
      </c>
      <c r="D2798" s="35">
        <v>2009</v>
      </c>
      <c r="E2798" s="35">
        <v>1</v>
      </c>
      <c r="F2798" s="35">
        <v>1</v>
      </c>
      <c r="G2798" s="1" t="s">
        <v>2</v>
      </c>
      <c r="H2798" s="1" t="s">
        <v>2</v>
      </c>
      <c r="I2798" s="1"/>
      <c r="J2798" s="1"/>
      <c r="K2798" s="1"/>
      <c r="AA2798" s="1"/>
    </row>
    <row r="2799" spans="1:27" x14ac:dyDescent="0.25">
      <c r="A2799" t="s">
        <v>31</v>
      </c>
      <c r="B2799" t="str">
        <f t="shared" si="45"/>
        <v>85</v>
      </c>
      <c r="C2799" s="35">
        <v>2017</v>
      </c>
      <c r="D2799" s="35">
        <v>2013</v>
      </c>
      <c r="E2799" s="35">
        <v>1</v>
      </c>
      <c r="F2799" s="1" t="s">
        <v>2</v>
      </c>
      <c r="G2799" s="35">
        <v>1</v>
      </c>
      <c r="H2799" s="1" t="s">
        <v>2</v>
      </c>
      <c r="I2799" s="1"/>
      <c r="J2799" s="1"/>
      <c r="K2799" s="1"/>
      <c r="AA2799" s="1"/>
    </row>
    <row r="2800" spans="1:27" x14ac:dyDescent="0.25">
      <c r="A2800" t="s">
        <v>31</v>
      </c>
      <c r="B2800" t="str">
        <f t="shared" si="45"/>
        <v>85</v>
      </c>
      <c r="C2800" s="35">
        <v>2017</v>
      </c>
      <c r="D2800" s="35">
        <v>2016</v>
      </c>
      <c r="E2800" s="35">
        <v>56</v>
      </c>
      <c r="F2800" s="35">
        <v>23</v>
      </c>
      <c r="G2800" s="35">
        <v>33</v>
      </c>
      <c r="H2800" s="1" t="s">
        <v>2</v>
      </c>
      <c r="I2800" s="1"/>
      <c r="J2800" s="1"/>
      <c r="K2800" s="1"/>
      <c r="AA2800" s="1"/>
    </row>
    <row r="2801" spans="1:27" x14ac:dyDescent="0.25">
      <c r="A2801" t="s">
        <v>31</v>
      </c>
      <c r="B2801" t="str">
        <f t="shared" si="45"/>
        <v>85</v>
      </c>
      <c r="C2801" s="35">
        <v>2017</v>
      </c>
      <c r="D2801" s="35">
        <v>2017</v>
      </c>
      <c r="E2801" s="36">
        <v>13187</v>
      </c>
      <c r="F2801" s="36">
        <v>4788</v>
      </c>
      <c r="G2801" s="36">
        <v>8399</v>
      </c>
      <c r="H2801" s="1" t="s">
        <v>2</v>
      </c>
      <c r="I2801" s="1"/>
      <c r="J2801" s="1"/>
      <c r="K2801" s="1"/>
      <c r="AA2801" s="1"/>
    </row>
    <row r="2802" spans="1:27" x14ac:dyDescent="0.25">
      <c r="A2802" t="s">
        <v>31</v>
      </c>
      <c r="B2802" t="str">
        <f t="shared" si="45"/>
        <v>85</v>
      </c>
      <c r="C2802" s="35">
        <v>2018</v>
      </c>
      <c r="D2802" s="1" t="s">
        <v>4</v>
      </c>
      <c r="E2802" s="36">
        <v>13852</v>
      </c>
      <c r="F2802" s="36">
        <v>4996</v>
      </c>
      <c r="G2802" s="36">
        <v>8856</v>
      </c>
      <c r="H2802" s="1" t="s">
        <v>2</v>
      </c>
      <c r="I2802" s="1"/>
      <c r="J2802" s="1"/>
      <c r="K2802" s="1"/>
      <c r="AA2802" s="1"/>
    </row>
    <row r="2803" spans="1:27" x14ac:dyDescent="0.25">
      <c r="A2803" t="s">
        <v>31</v>
      </c>
      <c r="B2803" t="str">
        <f t="shared" si="45"/>
        <v>85</v>
      </c>
      <c r="C2803" s="35">
        <v>2018</v>
      </c>
      <c r="D2803" s="35">
        <v>2017</v>
      </c>
      <c r="E2803" s="35">
        <v>64</v>
      </c>
      <c r="F2803" s="35">
        <v>28</v>
      </c>
      <c r="G2803" s="35">
        <v>36</v>
      </c>
      <c r="H2803" s="1" t="s">
        <v>2</v>
      </c>
      <c r="I2803" s="1"/>
      <c r="J2803" s="1"/>
      <c r="K2803" s="1"/>
      <c r="AA2803" s="1"/>
    </row>
    <row r="2804" spans="1:27" x14ac:dyDescent="0.25">
      <c r="A2804" t="s">
        <v>31</v>
      </c>
      <c r="B2804" t="str">
        <f t="shared" si="45"/>
        <v>85</v>
      </c>
      <c r="C2804" s="35">
        <v>2018</v>
      </c>
      <c r="D2804" s="35">
        <v>2018</v>
      </c>
      <c r="E2804" s="36">
        <v>13788</v>
      </c>
      <c r="F2804" s="36">
        <v>4968</v>
      </c>
      <c r="G2804" s="36">
        <v>8820</v>
      </c>
      <c r="H2804" s="1" t="s">
        <v>2</v>
      </c>
      <c r="I2804" s="1"/>
      <c r="J2804" s="1"/>
      <c r="K2804" s="1"/>
      <c r="AA2804" s="1"/>
    </row>
    <row r="2805" spans="1:27" x14ac:dyDescent="0.25">
      <c r="A2805" t="s">
        <v>31</v>
      </c>
      <c r="B2805" t="str">
        <f t="shared" si="45"/>
        <v>85</v>
      </c>
      <c r="C2805" s="35">
        <v>2019</v>
      </c>
      <c r="D2805" s="1" t="s">
        <v>4</v>
      </c>
      <c r="E2805" s="36">
        <v>13671</v>
      </c>
      <c r="F2805" s="36">
        <v>4988</v>
      </c>
      <c r="G2805" s="36">
        <v>8683</v>
      </c>
      <c r="H2805" s="1" t="s">
        <v>2</v>
      </c>
      <c r="I2805" s="1"/>
      <c r="J2805" s="1"/>
      <c r="K2805" s="1"/>
      <c r="AA2805" s="1"/>
    </row>
    <row r="2806" spans="1:27" x14ac:dyDescent="0.25">
      <c r="A2806" t="s">
        <v>31</v>
      </c>
      <c r="B2806" t="str">
        <f t="shared" si="45"/>
        <v>85</v>
      </c>
      <c r="C2806" s="35">
        <v>2019</v>
      </c>
      <c r="D2806" s="35">
        <v>2018</v>
      </c>
      <c r="E2806" s="35">
        <v>69</v>
      </c>
      <c r="F2806" s="35">
        <v>36</v>
      </c>
      <c r="G2806" s="35">
        <v>33</v>
      </c>
      <c r="H2806" s="1" t="s">
        <v>2</v>
      </c>
      <c r="I2806" s="1"/>
      <c r="J2806" s="1"/>
      <c r="K2806" s="1"/>
      <c r="AA2806" s="1"/>
    </row>
    <row r="2807" spans="1:27" x14ac:dyDescent="0.25">
      <c r="A2807" t="s">
        <v>31</v>
      </c>
      <c r="B2807" t="str">
        <f t="shared" si="45"/>
        <v>85</v>
      </c>
      <c r="C2807" s="35">
        <v>2019</v>
      </c>
      <c r="D2807" s="35">
        <v>2019</v>
      </c>
      <c r="E2807" s="36">
        <v>13602</v>
      </c>
      <c r="F2807" s="36">
        <v>4952</v>
      </c>
      <c r="G2807" s="36">
        <v>8650</v>
      </c>
      <c r="H2807" s="1" t="s">
        <v>2</v>
      </c>
      <c r="I2807" s="1"/>
      <c r="J2807" s="1"/>
      <c r="K2807" s="1"/>
      <c r="AA2807" s="1"/>
    </row>
    <row r="2808" spans="1:27" x14ac:dyDescent="0.25">
      <c r="A2808" t="s">
        <v>31</v>
      </c>
      <c r="B2808" t="str">
        <f t="shared" si="45"/>
        <v>85</v>
      </c>
      <c r="C2808" s="35">
        <v>2020</v>
      </c>
      <c r="D2808" s="1" t="s">
        <v>4</v>
      </c>
      <c r="E2808" s="36">
        <v>17813</v>
      </c>
      <c r="F2808" s="36">
        <v>7225</v>
      </c>
      <c r="G2808" s="36">
        <v>10588</v>
      </c>
      <c r="H2808" s="1" t="s">
        <v>2</v>
      </c>
      <c r="I2808" s="1"/>
      <c r="J2808" s="1"/>
      <c r="K2808" s="1"/>
      <c r="AA2808" s="1"/>
    </row>
    <row r="2809" spans="1:27" x14ac:dyDescent="0.25">
      <c r="A2809" t="s">
        <v>31</v>
      </c>
      <c r="B2809" t="str">
        <f t="shared" si="45"/>
        <v>85</v>
      </c>
      <c r="C2809" s="35">
        <v>2020</v>
      </c>
      <c r="D2809" s="35">
        <v>2019</v>
      </c>
      <c r="E2809" s="35">
        <v>61</v>
      </c>
      <c r="F2809" s="35">
        <v>25</v>
      </c>
      <c r="G2809" s="35">
        <v>36</v>
      </c>
      <c r="H2809" s="1" t="s">
        <v>2</v>
      </c>
      <c r="I2809" s="1"/>
      <c r="J2809" s="1"/>
      <c r="K2809" s="1"/>
      <c r="AA2809" s="1"/>
    </row>
    <row r="2810" spans="1:27" x14ac:dyDescent="0.25">
      <c r="A2810" t="s">
        <v>31</v>
      </c>
      <c r="B2810" t="str">
        <f t="shared" si="45"/>
        <v>85</v>
      </c>
      <c r="C2810" s="35">
        <v>2020</v>
      </c>
      <c r="D2810" s="35">
        <v>2020</v>
      </c>
      <c r="E2810" s="36">
        <v>17752</v>
      </c>
      <c r="F2810" s="36">
        <v>7200</v>
      </c>
      <c r="G2810" s="36">
        <v>10552</v>
      </c>
      <c r="H2810" s="1" t="s">
        <v>2</v>
      </c>
      <c r="I2810" s="1"/>
      <c r="J2810" s="1"/>
      <c r="K2810" s="1"/>
      <c r="AA2810" s="1"/>
    </row>
    <row r="2811" spans="1:27" x14ac:dyDescent="0.25">
      <c r="A2811" t="s">
        <v>31</v>
      </c>
      <c r="B2811" t="str">
        <f t="shared" si="45"/>
        <v>85</v>
      </c>
      <c r="C2811" s="35">
        <v>2021</v>
      </c>
      <c r="D2811" s="1" t="s">
        <v>4</v>
      </c>
      <c r="E2811" s="36">
        <v>17472</v>
      </c>
      <c r="F2811" s="36">
        <v>6886</v>
      </c>
      <c r="G2811" s="36">
        <v>10586</v>
      </c>
      <c r="H2811" s="1" t="s">
        <v>2</v>
      </c>
      <c r="I2811" s="1"/>
      <c r="J2811" s="1"/>
      <c r="K2811" s="1"/>
      <c r="AA2811" s="1"/>
    </row>
    <row r="2812" spans="1:27" x14ac:dyDescent="0.25">
      <c r="A2812" t="s">
        <v>31</v>
      </c>
      <c r="B2812" t="str">
        <f t="shared" si="45"/>
        <v>85</v>
      </c>
      <c r="C2812" s="35">
        <v>2021</v>
      </c>
      <c r="D2812" s="35">
        <v>2013</v>
      </c>
      <c r="E2812" s="35">
        <v>1</v>
      </c>
      <c r="F2812" s="1" t="s">
        <v>2</v>
      </c>
      <c r="G2812" s="35">
        <v>1</v>
      </c>
      <c r="H2812" s="1" t="s">
        <v>2</v>
      </c>
      <c r="I2812" s="1"/>
      <c r="J2812" s="1"/>
      <c r="K2812" s="1"/>
      <c r="AA2812" s="1"/>
    </row>
    <row r="2813" spans="1:27" x14ac:dyDescent="0.25">
      <c r="A2813" t="s">
        <v>31</v>
      </c>
      <c r="B2813" t="str">
        <f t="shared" si="45"/>
        <v>85</v>
      </c>
      <c r="C2813" s="35">
        <v>2021</v>
      </c>
      <c r="D2813" s="35">
        <v>2020</v>
      </c>
      <c r="E2813" s="35">
        <v>94</v>
      </c>
      <c r="F2813" s="35">
        <v>50</v>
      </c>
      <c r="G2813" s="35">
        <v>44</v>
      </c>
      <c r="H2813" s="1" t="s">
        <v>2</v>
      </c>
      <c r="I2813" s="1"/>
      <c r="J2813" s="1"/>
      <c r="K2813" s="1"/>
      <c r="AA2813" s="1"/>
    </row>
    <row r="2814" spans="1:27" x14ac:dyDescent="0.25">
      <c r="A2814" t="s">
        <v>31</v>
      </c>
      <c r="B2814" t="str">
        <f t="shared" si="45"/>
        <v>85</v>
      </c>
      <c r="C2814" s="35">
        <v>2021</v>
      </c>
      <c r="D2814" s="35">
        <v>2021</v>
      </c>
      <c r="E2814" s="36">
        <v>17377</v>
      </c>
      <c r="F2814" s="36">
        <v>6836</v>
      </c>
      <c r="G2814" s="36">
        <v>10541</v>
      </c>
      <c r="H2814" s="1" t="s">
        <v>2</v>
      </c>
      <c r="I2814" s="1"/>
      <c r="J2814" s="1"/>
      <c r="K2814" s="1"/>
      <c r="AA2814" s="1"/>
    </row>
    <row r="2815" spans="1:27" x14ac:dyDescent="0.25">
      <c r="A2815" t="s">
        <v>31</v>
      </c>
      <c r="B2815" t="str">
        <f t="shared" si="45"/>
        <v>85</v>
      </c>
      <c r="C2815" s="35">
        <v>2022</v>
      </c>
      <c r="D2815" s="1" t="s">
        <v>4</v>
      </c>
      <c r="E2815" s="36">
        <v>16154</v>
      </c>
      <c r="F2815" s="36">
        <v>5954</v>
      </c>
      <c r="G2815" s="36">
        <v>10200</v>
      </c>
      <c r="H2815" s="1" t="s">
        <v>2</v>
      </c>
      <c r="I2815" s="1"/>
      <c r="J2815" s="1"/>
      <c r="K2815" s="1"/>
      <c r="AA2815" s="1"/>
    </row>
    <row r="2816" spans="1:27" x14ac:dyDescent="0.25">
      <c r="A2816" t="s">
        <v>31</v>
      </c>
      <c r="B2816" t="str">
        <f t="shared" si="45"/>
        <v>85</v>
      </c>
      <c r="C2816" s="35">
        <v>2022</v>
      </c>
      <c r="D2816" s="35">
        <v>2006</v>
      </c>
      <c r="E2816" s="35">
        <v>3</v>
      </c>
      <c r="F2816" s="35">
        <v>3</v>
      </c>
      <c r="G2816" s="1" t="s">
        <v>2</v>
      </c>
      <c r="H2816" s="1" t="s">
        <v>2</v>
      </c>
      <c r="I2816" s="1"/>
      <c r="J2816" s="1"/>
      <c r="K2816" s="1"/>
      <c r="AA2816" s="1"/>
    </row>
    <row r="2817" spans="1:27" x14ac:dyDescent="0.25">
      <c r="A2817" t="s">
        <v>31</v>
      </c>
      <c r="B2817" t="str">
        <f t="shared" si="45"/>
        <v>85</v>
      </c>
      <c r="C2817" s="35">
        <v>2022</v>
      </c>
      <c r="D2817" s="35">
        <v>2007</v>
      </c>
      <c r="E2817" s="35">
        <v>3</v>
      </c>
      <c r="F2817" s="35">
        <v>2</v>
      </c>
      <c r="G2817" s="35">
        <v>1</v>
      </c>
      <c r="H2817" s="1" t="s">
        <v>2</v>
      </c>
      <c r="I2817" s="1"/>
      <c r="J2817" s="1"/>
      <c r="K2817" s="1"/>
      <c r="AA2817" s="1"/>
    </row>
    <row r="2818" spans="1:27" x14ac:dyDescent="0.25">
      <c r="A2818" t="s">
        <v>31</v>
      </c>
      <c r="B2818" t="str">
        <f t="shared" si="45"/>
        <v>85</v>
      </c>
      <c r="C2818" s="35">
        <v>2022</v>
      </c>
      <c r="D2818" s="35">
        <v>2008</v>
      </c>
      <c r="E2818" s="35">
        <v>2</v>
      </c>
      <c r="F2818" s="35">
        <v>2</v>
      </c>
      <c r="G2818" s="1" t="s">
        <v>2</v>
      </c>
      <c r="H2818" s="1" t="s">
        <v>2</v>
      </c>
      <c r="I2818" s="1"/>
      <c r="J2818" s="1"/>
      <c r="K2818" s="1"/>
      <c r="AA2818" s="1"/>
    </row>
    <row r="2819" spans="1:27" x14ac:dyDescent="0.25">
      <c r="A2819" t="s">
        <v>31</v>
      </c>
      <c r="B2819" t="str">
        <f t="shared" si="45"/>
        <v>85</v>
      </c>
      <c r="C2819" s="35">
        <v>2022</v>
      </c>
      <c r="D2819" s="35">
        <v>2009</v>
      </c>
      <c r="E2819" s="35">
        <v>9</v>
      </c>
      <c r="F2819" s="35">
        <v>3</v>
      </c>
      <c r="G2819" s="35">
        <v>6</v>
      </c>
      <c r="H2819" s="1" t="s">
        <v>2</v>
      </c>
      <c r="I2819" s="1"/>
      <c r="J2819" s="1"/>
      <c r="K2819" s="1"/>
      <c r="AA2819" s="1"/>
    </row>
    <row r="2820" spans="1:27" x14ac:dyDescent="0.25">
      <c r="A2820" t="s">
        <v>31</v>
      </c>
      <c r="B2820" t="str">
        <f t="shared" si="45"/>
        <v>85</v>
      </c>
      <c r="C2820" s="35">
        <v>2022</v>
      </c>
      <c r="D2820" s="35">
        <v>2010</v>
      </c>
      <c r="E2820" s="35">
        <v>4</v>
      </c>
      <c r="F2820" s="35">
        <v>2</v>
      </c>
      <c r="G2820" s="35">
        <v>2</v>
      </c>
      <c r="H2820" s="1" t="s">
        <v>2</v>
      </c>
      <c r="I2820" s="1"/>
      <c r="J2820" s="1"/>
      <c r="K2820" s="1"/>
      <c r="AA2820" s="1"/>
    </row>
    <row r="2821" spans="1:27" x14ac:dyDescent="0.25">
      <c r="A2821" t="s">
        <v>31</v>
      </c>
      <c r="B2821" t="str">
        <f t="shared" si="45"/>
        <v>85</v>
      </c>
      <c r="C2821" s="35">
        <v>2022</v>
      </c>
      <c r="D2821" s="35">
        <v>2019</v>
      </c>
      <c r="E2821" s="35">
        <v>4</v>
      </c>
      <c r="F2821" s="35">
        <v>2</v>
      </c>
      <c r="G2821" s="35">
        <v>2</v>
      </c>
      <c r="H2821" s="1" t="s">
        <v>2</v>
      </c>
      <c r="I2821" s="1"/>
      <c r="J2821" s="1"/>
      <c r="K2821" s="1"/>
      <c r="AA2821" s="1"/>
    </row>
    <row r="2822" spans="1:27" x14ac:dyDescent="0.25">
      <c r="A2822" t="s">
        <v>31</v>
      </c>
      <c r="B2822" t="str">
        <f t="shared" si="45"/>
        <v>85</v>
      </c>
      <c r="C2822" s="35">
        <v>2022</v>
      </c>
      <c r="D2822" s="35">
        <v>2020</v>
      </c>
      <c r="E2822" s="35">
        <v>3</v>
      </c>
      <c r="F2822" s="1" t="s">
        <v>2</v>
      </c>
      <c r="G2822" s="35">
        <v>3</v>
      </c>
      <c r="H2822" s="1" t="s">
        <v>2</v>
      </c>
      <c r="I2822" s="1"/>
      <c r="J2822" s="1"/>
      <c r="K2822" s="1"/>
      <c r="AA2822" s="1"/>
    </row>
    <row r="2823" spans="1:27" x14ac:dyDescent="0.25">
      <c r="A2823" t="s">
        <v>31</v>
      </c>
      <c r="B2823" t="str">
        <f t="shared" ref="B2823:B2886" si="46">IF(A2823="Menores de 1 año",0,LEFT(A2823,2))</f>
        <v>85</v>
      </c>
      <c r="C2823" s="35">
        <v>2022</v>
      </c>
      <c r="D2823" s="35">
        <v>2021</v>
      </c>
      <c r="E2823" s="35">
        <v>45</v>
      </c>
      <c r="F2823" s="35">
        <v>20</v>
      </c>
      <c r="G2823" s="35">
        <v>25</v>
      </c>
      <c r="H2823" s="1" t="s">
        <v>2</v>
      </c>
      <c r="I2823" s="1"/>
      <c r="J2823" s="1"/>
      <c r="K2823" s="1"/>
      <c r="AA2823" s="1"/>
    </row>
    <row r="2824" spans="1:27" x14ac:dyDescent="0.25">
      <c r="A2824" t="s">
        <v>31</v>
      </c>
      <c r="B2824" t="str">
        <f t="shared" si="46"/>
        <v>85</v>
      </c>
      <c r="C2824" s="35">
        <v>2022</v>
      </c>
      <c r="D2824" s="35">
        <v>2022</v>
      </c>
      <c r="E2824" s="36">
        <v>16081</v>
      </c>
      <c r="F2824" s="36">
        <v>5920</v>
      </c>
      <c r="G2824" s="36">
        <v>10161</v>
      </c>
      <c r="H2824" s="1" t="s">
        <v>2</v>
      </c>
      <c r="I2824" s="1"/>
      <c r="J2824" s="1"/>
      <c r="K2824" s="1"/>
      <c r="AA2824" s="1"/>
    </row>
    <row r="2825" spans="1:27" x14ac:dyDescent="0.25">
      <c r="A2825" t="s">
        <v>31</v>
      </c>
      <c r="B2825" t="str">
        <f t="shared" si="46"/>
        <v>85</v>
      </c>
      <c r="C2825" s="35">
        <v>2023</v>
      </c>
      <c r="D2825" s="1" t="s">
        <v>4</v>
      </c>
      <c r="E2825" s="36">
        <v>14698</v>
      </c>
      <c r="F2825" s="36">
        <v>5330</v>
      </c>
      <c r="G2825" s="36">
        <v>9368</v>
      </c>
      <c r="H2825" s="1" t="s">
        <v>2</v>
      </c>
      <c r="I2825" s="1"/>
      <c r="J2825" s="1"/>
      <c r="K2825" s="1"/>
      <c r="AA2825" s="1"/>
    </row>
    <row r="2826" spans="1:27" x14ac:dyDescent="0.25">
      <c r="A2826" t="s">
        <v>31</v>
      </c>
      <c r="B2826" t="str">
        <f t="shared" si="46"/>
        <v>85</v>
      </c>
      <c r="C2826" s="35">
        <v>2023</v>
      </c>
      <c r="D2826" s="35">
        <v>2019</v>
      </c>
      <c r="E2826" s="35">
        <v>1</v>
      </c>
      <c r="F2826" s="35">
        <v>1</v>
      </c>
      <c r="G2826" s="1" t="s">
        <v>2</v>
      </c>
      <c r="H2826" s="1" t="s">
        <v>2</v>
      </c>
      <c r="I2826" s="1"/>
      <c r="J2826" s="1"/>
      <c r="K2826" s="1"/>
      <c r="AA2826" s="1"/>
    </row>
    <row r="2827" spans="1:27" x14ac:dyDescent="0.25">
      <c r="A2827" t="s">
        <v>31</v>
      </c>
      <c r="B2827" t="str">
        <f t="shared" si="46"/>
        <v>85</v>
      </c>
      <c r="C2827" s="35">
        <v>2023</v>
      </c>
      <c r="D2827" s="35">
        <v>2022</v>
      </c>
      <c r="E2827" s="35">
        <v>52</v>
      </c>
      <c r="F2827" s="35">
        <v>16</v>
      </c>
      <c r="G2827" s="35">
        <v>36</v>
      </c>
      <c r="H2827" s="1" t="s">
        <v>2</v>
      </c>
      <c r="I2827" s="1"/>
      <c r="J2827" s="1"/>
      <c r="K2827" s="1"/>
      <c r="AA2827" s="1"/>
    </row>
    <row r="2828" spans="1:27" x14ac:dyDescent="0.25">
      <c r="A2828" t="s">
        <v>31</v>
      </c>
      <c r="B2828" t="str">
        <f t="shared" si="46"/>
        <v>85</v>
      </c>
      <c r="C2828" s="35">
        <v>2023</v>
      </c>
      <c r="D2828" s="35">
        <v>2023</v>
      </c>
      <c r="E2828" s="36">
        <v>14645</v>
      </c>
      <c r="F2828" s="36">
        <v>5313</v>
      </c>
      <c r="G2828" s="36">
        <v>9332</v>
      </c>
      <c r="H2828" s="1" t="s">
        <v>2</v>
      </c>
      <c r="I2828" s="1"/>
      <c r="J2828" s="1"/>
      <c r="K2828" s="1"/>
      <c r="AA2828" s="1"/>
    </row>
    <row r="2829" spans="1:27" x14ac:dyDescent="0.25">
      <c r="A2829" t="s">
        <v>31</v>
      </c>
      <c r="B2829" t="str">
        <f t="shared" si="46"/>
        <v>85</v>
      </c>
      <c r="C2829" s="35">
        <v>2024</v>
      </c>
      <c r="D2829" s="1" t="s">
        <v>4</v>
      </c>
      <c r="E2829" s="36">
        <v>15334</v>
      </c>
      <c r="F2829" s="36">
        <v>5372</v>
      </c>
      <c r="G2829" s="36">
        <v>9962</v>
      </c>
      <c r="H2829" s="1" t="s">
        <v>2</v>
      </c>
      <c r="I2829" s="1"/>
      <c r="J2829" s="1"/>
      <c r="K2829" s="1"/>
      <c r="AA2829" s="1"/>
    </row>
    <row r="2830" spans="1:27" x14ac:dyDescent="0.25">
      <c r="A2830" t="s">
        <v>31</v>
      </c>
      <c r="B2830" t="str">
        <f t="shared" si="46"/>
        <v>85</v>
      </c>
      <c r="C2830" s="35">
        <v>2024</v>
      </c>
      <c r="D2830" s="35">
        <v>2023</v>
      </c>
      <c r="E2830" s="35">
        <v>61</v>
      </c>
      <c r="F2830" s="35">
        <v>24</v>
      </c>
      <c r="G2830" s="35">
        <v>37</v>
      </c>
      <c r="H2830" s="1" t="s">
        <v>2</v>
      </c>
      <c r="I2830" s="1"/>
      <c r="J2830" s="1"/>
      <c r="K2830" s="1"/>
      <c r="AA2830" s="1"/>
    </row>
    <row r="2831" spans="1:27" x14ac:dyDescent="0.25">
      <c r="A2831" t="s">
        <v>31</v>
      </c>
      <c r="B2831" t="str">
        <f t="shared" si="46"/>
        <v>85</v>
      </c>
      <c r="C2831" s="35">
        <v>2024</v>
      </c>
      <c r="D2831" s="35">
        <v>2024</v>
      </c>
      <c r="E2831" s="36">
        <v>15272</v>
      </c>
      <c r="F2831" s="36">
        <v>5347</v>
      </c>
      <c r="G2831" s="36">
        <v>9925</v>
      </c>
      <c r="H2831" s="1" t="s">
        <v>2</v>
      </c>
      <c r="I2831" s="1"/>
      <c r="J2831" s="1"/>
      <c r="K2831" s="1"/>
      <c r="AA2831" s="1"/>
    </row>
    <row r="2832" spans="1:27" x14ac:dyDescent="0.25">
      <c r="A2832" t="s">
        <v>31</v>
      </c>
      <c r="B2832" t="str">
        <f t="shared" si="46"/>
        <v>85</v>
      </c>
      <c r="C2832" s="35">
        <v>2024</v>
      </c>
      <c r="D2832" s="1" t="s">
        <v>24</v>
      </c>
      <c r="E2832" s="35">
        <v>1</v>
      </c>
      <c r="F2832" s="35">
        <v>1</v>
      </c>
      <c r="G2832" s="1" t="s">
        <v>2</v>
      </c>
      <c r="H2832" s="1" t="s">
        <v>2</v>
      </c>
      <c r="I2832" s="1"/>
      <c r="J2832" s="1"/>
      <c r="K2832" s="1"/>
      <c r="AA2832" s="1"/>
    </row>
    <row r="2833" spans="1:27" x14ac:dyDescent="0.25">
      <c r="A2833" t="s">
        <v>24</v>
      </c>
      <c r="B2833" t="str">
        <f t="shared" si="46"/>
        <v>No</v>
      </c>
      <c r="C2833" s="35">
        <v>1990</v>
      </c>
      <c r="D2833" s="1" t="s">
        <v>4</v>
      </c>
      <c r="E2833" s="35">
        <v>44</v>
      </c>
      <c r="F2833" s="35">
        <v>23</v>
      </c>
      <c r="G2833" s="35">
        <v>21</v>
      </c>
      <c r="H2833" s="1" t="s">
        <v>2</v>
      </c>
      <c r="I2833" s="1"/>
      <c r="J2833" s="1"/>
      <c r="K2833" s="1"/>
      <c r="AA2833" s="1"/>
    </row>
    <row r="2834" spans="1:27" x14ac:dyDescent="0.25">
      <c r="A2834" t="s">
        <v>24</v>
      </c>
      <c r="B2834" t="str">
        <f t="shared" si="46"/>
        <v>No</v>
      </c>
      <c r="C2834" s="35">
        <v>1990</v>
      </c>
      <c r="D2834" s="35">
        <v>1990</v>
      </c>
      <c r="E2834" s="35">
        <v>42</v>
      </c>
      <c r="F2834" s="35">
        <v>21</v>
      </c>
      <c r="G2834" s="35">
        <v>21</v>
      </c>
      <c r="H2834" s="1" t="s">
        <v>2</v>
      </c>
      <c r="I2834" s="1"/>
      <c r="J2834" s="1"/>
      <c r="K2834" s="1"/>
      <c r="AA2834" s="1"/>
    </row>
    <row r="2835" spans="1:27" x14ac:dyDescent="0.25">
      <c r="A2835" t="s">
        <v>24</v>
      </c>
      <c r="B2835" t="str">
        <f t="shared" si="46"/>
        <v>No</v>
      </c>
      <c r="C2835" s="35">
        <v>1990</v>
      </c>
      <c r="D2835" s="1" t="s">
        <v>24</v>
      </c>
      <c r="E2835" s="35">
        <v>2</v>
      </c>
      <c r="F2835" s="35">
        <v>2</v>
      </c>
      <c r="G2835" s="1" t="s">
        <v>2</v>
      </c>
      <c r="H2835" s="1" t="s">
        <v>2</v>
      </c>
      <c r="I2835" s="1"/>
      <c r="J2835" s="1"/>
      <c r="K2835" s="1"/>
      <c r="AA2835" s="1"/>
    </row>
    <row r="2836" spans="1:27" x14ac:dyDescent="0.25">
      <c r="A2836" t="s">
        <v>24</v>
      </c>
      <c r="B2836" t="str">
        <f t="shared" si="46"/>
        <v>No</v>
      </c>
      <c r="C2836" s="35">
        <v>1991</v>
      </c>
      <c r="D2836" s="1" t="s">
        <v>4</v>
      </c>
      <c r="E2836" s="35">
        <v>28</v>
      </c>
      <c r="F2836" s="35">
        <v>10</v>
      </c>
      <c r="G2836" s="35">
        <v>18</v>
      </c>
      <c r="H2836" s="1" t="s">
        <v>2</v>
      </c>
      <c r="I2836" s="1"/>
      <c r="J2836" s="1"/>
      <c r="K2836" s="1"/>
      <c r="AA2836" s="1"/>
    </row>
    <row r="2837" spans="1:27" x14ac:dyDescent="0.25">
      <c r="A2837" t="s">
        <v>24</v>
      </c>
      <c r="B2837" t="str">
        <f t="shared" si="46"/>
        <v>No</v>
      </c>
      <c r="C2837" s="35">
        <v>1991</v>
      </c>
      <c r="D2837" s="35">
        <v>1991</v>
      </c>
      <c r="E2837" s="35">
        <v>26</v>
      </c>
      <c r="F2837" s="35">
        <v>8</v>
      </c>
      <c r="G2837" s="35">
        <v>18</v>
      </c>
      <c r="H2837" s="1" t="s">
        <v>2</v>
      </c>
      <c r="I2837" s="1"/>
      <c r="J2837" s="1"/>
      <c r="K2837" s="1"/>
      <c r="AA2837" s="1"/>
    </row>
    <row r="2838" spans="1:27" x14ac:dyDescent="0.25">
      <c r="A2838" t="s">
        <v>24</v>
      </c>
      <c r="B2838" t="str">
        <f t="shared" si="46"/>
        <v>No</v>
      </c>
      <c r="C2838" s="35">
        <v>1991</v>
      </c>
      <c r="D2838" s="1" t="s">
        <v>24</v>
      </c>
      <c r="E2838" s="35">
        <v>2</v>
      </c>
      <c r="F2838" s="35">
        <v>2</v>
      </c>
      <c r="G2838" s="1" t="s">
        <v>2</v>
      </c>
      <c r="H2838" s="1" t="s">
        <v>2</v>
      </c>
      <c r="I2838" s="1"/>
      <c r="J2838" s="1"/>
      <c r="K2838" s="1"/>
      <c r="AA2838" s="1"/>
    </row>
    <row r="2839" spans="1:27" x14ac:dyDescent="0.25">
      <c r="A2839" t="s">
        <v>24</v>
      </c>
      <c r="B2839" t="str">
        <f t="shared" si="46"/>
        <v>No</v>
      </c>
      <c r="C2839" s="35">
        <v>1992</v>
      </c>
      <c r="D2839" s="1" t="s">
        <v>4</v>
      </c>
      <c r="E2839" s="35">
        <v>27</v>
      </c>
      <c r="F2839" s="35">
        <v>16</v>
      </c>
      <c r="G2839" s="35">
        <v>11</v>
      </c>
      <c r="H2839" s="1" t="s">
        <v>2</v>
      </c>
      <c r="I2839" s="1"/>
      <c r="J2839" s="1"/>
      <c r="K2839" s="1"/>
      <c r="AA2839" s="1"/>
    </row>
    <row r="2840" spans="1:27" x14ac:dyDescent="0.25">
      <c r="A2840" t="s">
        <v>24</v>
      </c>
      <c r="B2840" t="str">
        <f t="shared" si="46"/>
        <v>No</v>
      </c>
      <c r="C2840" s="35">
        <v>1992</v>
      </c>
      <c r="D2840" s="35">
        <v>1992</v>
      </c>
      <c r="E2840" s="35">
        <v>25</v>
      </c>
      <c r="F2840" s="35">
        <v>14</v>
      </c>
      <c r="G2840" s="35">
        <v>11</v>
      </c>
      <c r="H2840" s="1" t="s">
        <v>2</v>
      </c>
      <c r="I2840" s="1"/>
      <c r="J2840" s="1"/>
      <c r="K2840" s="1"/>
      <c r="AA2840" s="1"/>
    </row>
    <row r="2841" spans="1:27" x14ac:dyDescent="0.25">
      <c r="A2841" t="s">
        <v>24</v>
      </c>
      <c r="B2841" t="str">
        <f t="shared" si="46"/>
        <v>No</v>
      </c>
      <c r="C2841" s="35">
        <v>1992</v>
      </c>
      <c r="D2841" s="1" t="s">
        <v>24</v>
      </c>
      <c r="E2841" s="35">
        <v>2</v>
      </c>
      <c r="F2841" s="35">
        <v>2</v>
      </c>
      <c r="G2841" s="1" t="s">
        <v>2</v>
      </c>
      <c r="H2841" s="1" t="s">
        <v>2</v>
      </c>
      <c r="I2841" s="1"/>
      <c r="J2841" s="1"/>
      <c r="K2841" s="1"/>
      <c r="AA2841" s="1"/>
    </row>
    <row r="2842" spans="1:27" x14ac:dyDescent="0.25">
      <c r="A2842" t="s">
        <v>24</v>
      </c>
      <c r="B2842" t="str">
        <f t="shared" si="46"/>
        <v>No</v>
      </c>
      <c r="C2842" s="35">
        <v>1993</v>
      </c>
      <c r="D2842" s="1" t="s">
        <v>4</v>
      </c>
      <c r="E2842" s="35">
        <v>26</v>
      </c>
      <c r="F2842" s="35">
        <v>12</v>
      </c>
      <c r="G2842" s="35">
        <v>14</v>
      </c>
      <c r="H2842" s="1" t="s">
        <v>2</v>
      </c>
      <c r="I2842" s="1"/>
      <c r="J2842" s="1"/>
      <c r="K2842" s="1"/>
      <c r="AA2842" s="1"/>
    </row>
    <row r="2843" spans="1:27" x14ac:dyDescent="0.25">
      <c r="A2843" t="s">
        <v>24</v>
      </c>
      <c r="B2843" t="str">
        <f t="shared" si="46"/>
        <v>No</v>
      </c>
      <c r="C2843" s="35">
        <v>1993</v>
      </c>
      <c r="D2843" s="35">
        <v>1993</v>
      </c>
      <c r="E2843" s="35">
        <v>26</v>
      </c>
      <c r="F2843" s="35">
        <v>12</v>
      </c>
      <c r="G2843" s="35">
        <v>14</v>
      </c>
      <c r="H2843" s="1" t="s">
        <v>2</v>
      </c>
      <c r="I2843" s="1"/>
      <c r="J2843" s="1"/>
      <c r="K2843" s="1"/>
      <c r="AA2843" s="1"/>
    </row>
    <row r="2844" spans="1:27" x14ac:dyDescent="0.25">
      <c r="A2844" t="s">
        <v>24</v>
      </c>
      <c r="B2844" t="str">
        <f t="shared" si="46"/>
        <v>No</v>
      </c>
      <c r="C2844" s="35">
        <v>1994</v>
      </c>
      <c r="D2844" s="1" t="s">
        <v>4</v>
      </c>
      <c r="E2844" s="35">
        <v>29</v>
      </c>
      <c r="F2844" s="35">
        <v>15</v>
      </c>
      <c r="G2844" s="35">
        <v>14</v>
      </c>
      <c r="H2844" s="1" t="s">
        <v>2</v>
      </c>
      <c r="I2844" s="1"/>
      <c r="J2844" s="1"/>
      <c r="K2844" s="1"/>
      <c r="AA2844" s="1"/>
    </row>
    <row r="2845" spans="1:27" x14ac:dyDescent="0.25">
      <c r="A2845" t="s">
        <v>24</v>
      </c>
      <c r="B2845" t="str">
        <f t="shared" si="46"/>
        <v>No</v>
      </c>
      <c r="C2845" s="35">
        <v>1994</v>
      </c>
      <c r="D2845" s="35">
        <v>1993</v>
      </c>
      <c r="E2845" s="35">
        <v>1</v>
      </c>
      <c r="F2845" s="35">
        <v>1</v>
      </c>
      <c r="G2845" s="1" t="s">
        <v>2</v>
      </c>
      <c r="H2845" s="1" t="s">
        <v>2</v>
      </c>
      <c r="I2845" s="1"/>
      <c r="J2845" s="1"/>
      <c r="K2845" s="1"/>
      <c r="AA2845" s="1"/>
    </row>
    <row r="2846" spans="1:27" x14ac:dyDescent="0.25">
      <c r="A2846" t="s">
        <v>24</v>
      </c>
      <c r="B2846" t="str">
        <f t="shared" si="46"/>
        <v>No</v>
      </c>
      <c r="C2846" s="35">
        <v>1994</v>
      </c>
      <c r="D2846" s="35">
        <v>1994</v>
      </c>
      <c r="E2846" s="35">
        <v>28</v>
      </c>
      <c r="F2846" s="35">
        <v>14</v>
      </c>
      <c r="G2846" s="35">
        <v>14</v>
      </c>
      <c r="H2846" s="1" t="s">
        <v>2</v>
      </c>
      <c r="I2846" s="1"/>
      <c r="J2846" s="1"/>
      <c r="K2846" s="1"/>
      <c r="AA2846" s="1"/>
    </row>
    <row r="2847" spans="1:27" x14ac:dyDescent="0.25">
      <c r="A2847" t="s">
        <v>24</v>
      </c>
      <c r="B2847" t="str">
        <f t="shared" si="46"/>
        <v>No</v>
      </c>
      <c r="C2847" s="35">
        <v>1995</v>
      </c>
      <c r="D2847" s="1" t="s">
        <v>4</v>
      </c>
      <c r="E2847" s="35">
        <v>28</v>
      </c>
      <c r="F2847" s="35">
        <v>9</v>
      </c>
      <c r="G2847" s="35">
        <v>19</v>
      </c>
      <c r="H2847" s="1" t="s">
        <v>2</v>
      </c>
      <c r="I2847" s="1"/>
      <c r="J2847" s="1"/>
      <c r="K2847" s="1"/>
      <c r="AA2847" s="1"/>
    </row>
    <row r="2848" spans="1:27" x14ac:dyDescent="0.25">
      <c r="A2848" t="s">
        <v>24</v>
      </c>
      <c r="B2848" t="str">
        <f t="shared" si="46"/>
        <v>No</v>
      </c>
      <c r="C2848" s="35">
        <v>1995</v>
      </c>
      <c r="D2848" s="35">
        <v>1995</v>
      </c>
      <c r="E2848" s="35">
        <v>28</v>
      </c>
      <c r="F2848" s="35">
        <v>9</v>
      </c>
      <c r="G2848" s="35">
        <v>19</v>
      </c>
      <c r="H2848" s="1" t="s">
        <v>2</v>
      </c>
      <c r="I2848" s="1"/>
      <c r="J2848" s="1"/>
      <c r="K2848" s="1"/>
      <c r="AA2848" s="1"/>
    </row>
    <row r="2849" spans="1:27" x14ac:dyDescent="0.25">
      <c r="A2849" t="s">
        <v>24</v>
      </c>
      <c r="B2849" t="str">
        <f t="shared" si="46"/>
        <v>No</v>
      </c>
      <c r="C2849" s="35">
        <v>1996</v>
      </c>
      <c r="D2849" s="1" t="s">
        <v>4</v>
      </c>
      <c r="E2849" s="35">
        <v>20</v>
      </c>
      <c r="F2849" s="35">
        <v>9</v>
      </c>
      <c r="G2849" s="35">
        <v>11</v>
      </c>
      <c r="H2849" s="1" t="s">
        <v>2</v>
      </c>
      <c r="I2849" s="1"/>
      <c r="J2849" s="1"/>
      <c r="K2849" s="1"/>
      <c r="AA2849" s="1"/>
    </row>
    <row r="2850" spans="1:27" x14ac:dyDescent="0.25">
      <c r="A2850" t="s">
        <v>24</v>
      </c>
      <c r="B2850" t="str">
        <f t="shared" si="46"/>
        <v>No</v>
      </c>
      <c r="C2850" s="35">
        <v>1996</v>
      </c>
      <c r="D2850" s="35">
        <v>1996</v>
      </c>
      <c r="E2850" s="35">
        <v>20</v>
      </c>
      <c r="F2850" s="35">
        <v>9</v>
      </c>
      <c r="G2850" s="35">
        <v>11</v>
      </c>
      <c r="H2850" s="1" t="s">
        <v>2</v>
      </c>
      <c r="I2850" s="1"/>
      <c r="J2850" s="1"/>
      <c r="K2850" s="1"/>
      <c r="AA2850" s="1"/>
    </row>
    <row r="2851" spans="1:27" x14ac:dyDescent="0.25">
      <c r="A2851" t="s">
        <v>24</v>
      </c>
      <c r="B2851" t="str">
        <f t="shared" si="46"/>
        <v>No</v>
      </c>
      <c r="C2851" s="35">
        <v>1997</v>
      </c>
      <c r="D2851" s="1" t="s">
        <v>4</v>
      </c>
      <c r="E2851" s="35">
        <v>21</v>
      </c>
      <c r="F2851" s="35">
        <v>12</v>
      </c>
      <c r="G2851" s="35">
        <v>9</v>
      </c>
      <c r="H2851" s="1" t="s">
        <v>2</v>
      </c>
      <c r="I2851" s="1"/>
      <c r="J2851" s="1"/>
      <c r="K2851" s="1"/>
      <c r="AA2851" s="1"/>
    </row>
    <row r="2852" spans="1:27" x14ac:dyDescent="0.25">
      <c r="A2852" t="s">
        <v>24</v>
      </c>
      <c r="B2852" t="str">
        <f t="shared" si="46"/>
        <v>No</v>
      </c>
      <c r="C2852" s="35">
        <v>1997</v>
      </c>
      <c r="D2852" s="35">
        <v>1997</v>
      </c>
      <c r="E2852" s="35">
        <v>21</v>
      </c>
      <c r="F2852" s="35">
        <v>12</v>
      </c>
      <c r="G2852" s="35">
        <v>9</v>
      </c>
      <c r="H2852" s="1" t="s">
        <v>2</v>
      </c>
      <c r="I2852" s="1"/>
      <c r="J2852" s="1"/>
      <c r="K2852" s="1"/>
      <c r="AA2852" s="1"/>
    </row>
    <row r="2853" spans="1:27" x14ac:dyDescent="0.25">
      <c r="A2853" t="s">
        <v>24</v>
      </c>
      <c r="B2853" t="str">
        <f t="shared" si="46"/>
        <v>No</v>
      </c>
      <c r="C2853" s="35">
        <v>1998</v>
      </c>
      <c r="D2853" s="1" t="s">
        <v>4</v>
      </c>
      <c r="E2853" s="35">
        <v>13</v>
      </c>
      <c r="F2853" s="35">
        <v>8</v>
      </c>
      <c r="G2853" s="35">
        <v>5</v>
      </c>
      <c r="H2853" s="1" t="s">
        <v>2</v>
      </c>
      <c r="I2853" s="1"/>
      <c r="J2853" s="1"/>
      <c r="K2853" s="1"/>
      <c r="AA2853" s="1"/>
    </row>
    <row r="2854" spans="1:27" x14ac:dyDescent="0.25">
      <c r="A2854" t="s">
        <v>24</v>
      </c>
      <c r="B2854" t="str">
        <f t="shared" si="46"/>
        <v>No</v>
      </c>
      <c r="C2854" s="35">
        <v>1998</v>
      </c>
      <c r="D2854" s="35">
        <v>1998</v>
      </c>
      <c r="E2854" s="35">
        <v>13</v>
      </c>
      <c r="F2854" s="35">
        <v>8</v>
      </c>
      <c r="G2854" s="35">
        <v>5</v>
      </c>
      <c r="H2854" s="1" t="s">
        <v>2</v>
      </c>
      <c r="I2854" s="1"/>
      <c r="J2854" s="1"/>
      <c r="K2854" s="1"/>
      <c r="AA2854" s="1"/>
    </row>
    <row r="2855" spans="1:27" x14ac:dyDescent="0.25">
      <c r="A2855" t="s">
        <v>24</v>
      </c>
      <c r="B2855" t="str">
        <f t="shared" si="46"/>
        <v>No</v>
      </c>
      <c r="C2855" s="35">
        <v>1999</v>
      </c>
      <c r="D2855" s="1" t="s">
        <v>4</v>
      </c>
      <c r="E2855" s="35">
        <v>17</v>
      </c>
      <c r="F2855" s="35">
        <v>11</v>
      </c>
      <c r="G2855" s="35">
        <v>6</v>
      </c>
      <c r="H2855" s="1" t="s">
        <v>2</v>
      </c>
      <c r="I2855" s="1"/>
      <c r="J2855" s="1"/>
      <c r="K2855" s="1"/>
      <c r="AA2855" s="1"/>
    </row>
    <row r="2856" spans="1:27" x14ac:dyDescent="0.25">
      <c r="A2856" t="s">
        <v>24</v>
      </c>
      <c r="B2856" t="str">
        <f t="shared" si="46"/>
        <v>No</v>
      </c>
      <c r="C2856" s="35">
        <v>1999</v>
      </c>
      <c r="D2856" s="35">
        <v>1999</v>
      </c>
      <c r="E2856" s="35">
        <v>17</v>
      </c>
      <c r="F2856" s="35">
        <v>11</v>
      </c>
      <c r="G2856" s="35">
        <v>6</v>
      </c>
      <c r="H2856" s="1" t="s">
        <v>2</v>
      </c>
      <c r="I2856" s="1"/>
      <c r="J2856" s="1"/>
      <c r="K2856" s="1"/>
      <c r="AA2856" s="1"/>
    </row>
    <row r="2857" spans="1:27" x14ac:dyDescent="0.25">
      <c r="A2857" t="s">
        <v>24</v>
      </c>
      <c r="B2857" t="str">
        <f t="shared" si="46"/>
        <v>No</v>
      </c>
      <c r="C2857" s="35">
        <v>2000</v>
      </c>
      <c r="D2857" s="1" t="s">
        <v>4</v>
      </c>
      <c r="E2857" s="35">
        <v>33</v>
      </c>
      <c r="F2857" s="35">
        <v>19</v>
      </c>
      <c r="G2857" s="35">
        <v>14</v>
      </c>
      <c r="H2857" s="1" t="s">
        <v>2</v>
      </c>
      <c r="I2857" s="1"/>
      <c r="J2857" s="1"/>
      <c r="K2857" s="1"/>
      <c r="AA2857" s="1"/>
    </row>
    <row r="2858" spans="1:27" x14ac:dyDescent="0.25">
      <c r="A2858" t="s">
        <v>24</v>
      </c>
      <c r="B2858" t="str">
        <f t="shared" si="46"/>
        <v>No</v>
      </c>
      <c r="C2858" s="35">
        <v>2000</v>
      </c>
      <c r="D2858" s="35">
        <v>2000</v>
      </c>
      <c r="E2858" s="35">
        <v>33</v>
      </c>
      <c r="F2858" s="35">
        <v>19</v>
      </c>
      <c r="G2858" s="35">
        <v>14</v>
      </c>
      <c r="H2858" s="1" t="s">
        <v>2</v>
      </c>
      <c r="I2858" s="1"/>
      <c r="J2858" s="1"/>
      <c r="K2858" s="1"/>
      <c r="AA2858" s="1"/>
    </row>
    <row r="2859" spans="1:27" x14ac:dyDescent="0.25">
      <c r="A2859" t="s">
        <v>24</v>
      </c>
      <c r="B2859" t="str">
        <f t="shared" si="46"/>
        <v>No</v>
      </c>
      <c r="C2859" s="35">
        <v>2001</v>
      </c>
      <c r="D2859" s="1" t="s">
        <v>4</v>
      </c>
      <c r="E2859" s="35">
        <v>19</v>
      </c>
      <c r="F2859" s="35">
        <v>11</v>
      </c>
      <c r="G2859" s="35">
        <v>8</v>
      </c>
      <c r="H2859" s="1" t="s">
        <v>2</v>
      </c>
      <c r="I2859" s="1"/>
      <c r="J2859" s="1"/>
      <c r="K2859" s="1"/>
      <c r="AA2859" s="1"/>
    </row>
    <row r="2860" spans="1:27" x14ac:dyDescent="0.25">
      <c r="A2860" t="s">
        <v>24</v>
      </c>
      <c r="B2860" t="str">
        <f t="shared" si="46"/>
        <v>No</v>
      </c>
      <c r="C2860" s="35">
        <v>2001</v>
      </c>
      <c r="D2860" s="35">
        <v>2001</v>
      </c>
      <c r="E2860" s="35">
        <v>19</v>
      </c>
      <c r="F2860" s="35">
        <v>11</v>
      </c>
      <c r="G2860" s="35">
        <v>8</v>
      </c>
      <c r="H2860" s="1" t="s">
        <v>2</v>
      </c>
      <c r="I2860" s="1"/>
      <c r="J2860" s="1"/>
      <c r="K2860" s="1"/>
      <c r="AA2860" s="1"/>
    </row>
    <row r="2861" spans="1:27" x14ac:dyDescent="0.25">
      <c r="A2861" t="s">
        <v>24</v>
      </c>
      <c r="B2861" t="str">
        <f t="shared" si="46"/>
        <v>No</v>
      </c>
      <c r="C2861" s="35">
        <v>2002</v>
      </c>
      <c r="D2861" s="1" t="s">
        <v>4</v>
      </c>
      <c r="E2861" s="35">
        <v>15</v>
      </c>
      <c r="F2861" s="35">
        <v>10</v>
      </c>
      <c r="G2861" s="35">
        <v>5</v>
      </c>
      <c r="H2861" s="1" t="s">
        <v>2</v>
      </c>
      <c r="I2861" s="1"/>
      <c r="J2861" s="1"/>
      <c r="K2861" s="1"/>
      <c r="AA2861" s="1"/>
    </row>
    <row r="2862" spans="1:27" x14ac:dyDescent="0.25">
      <c r="A2862" t="s">
        <v>24</v>
      </c>
      <c r="B2862" t="str">
        <f t="shared" si="46"/>
        <v>No</v>
      </c>
      <c r="C2862" s="35">
        <v>2002</v>
      </c>
      <c r="D2862" s="35">
        <v>2002</v>
      </c>
      <c r="E2862" s="35">
        <v>14</v>
      </c>
      <c r="F2862" s="35">
        <v>9</v>
      </c>
      <c r="G2862" s="35">
        <v>5</v>
      </c>
      <c r="H2862" s="1" t="s">
        <v>2</v>
      </c>
      <c r="I2862" s="1"/>
      <c r="J2862" s="1"/>
      <c r="K2862" s="1"/>
      <c r="AA2862" s="1"/>
    </row>
    <row r="2863" spans="1:27" x14ac:dyDescent="0.25">
      <c r="A2863" t="s">
        <v>24</v>
      </c>
      <c r="B2863" t="str">
        <f t="shared" si="46"/>
        <v>No</v>
      </c>
      <c r="C2863" s="35">
        <v>2002</v>
      </c>
      <c r="D2863" s="1" t="s">
        <v>24</v>
      </c>
      <c r="E2863" s="35">
        <v>1</v>
      </c>
      <c r="F2863" s="35">
        <v>1</v>
      </c>
      <c r="G2863" s="1" t="s">
        <v>2</v>
      </c>
      <c r="H2863" s="1" t="s">
        <v>2</v>
      </c>
      <c r="I2863" s="1"/>
      <c r="J2863" s="1"/>
      <c r="K2863" s="1"/>
      <c r="AA2863" s="1"/>
    </row>
    <row r="2864" spans="1:27" x14ac:dyDescent="0.25">
      <c r="A2864" t="s">
        <v>24</v>
      </c>
      <c r="B2864" t="str">
        <f t="shared" si="46"/>
        <v>No</v>
      </c>
      <c r="C2864" s="35">
        <v>2003</v>
      </c>
      <c r="D2864" s="1" t="s">
        <v>4</v>
      </c>
      <c r="E2864" s="35">
        <v>26</v>
      </c>
      <c r="F2864" s="35">
        <v>20</v>
      </c>
      <c r="G2864" s="35">
        <v>6</v>
      </c>
      <c r="H2864" s="1" t="s">
        <v>2</v>
      </c>
      <c r="I2864" s="1"/>
      <c r="J2864" s="1"/>
      <c r="K2864" s="1"/>
      <c r="AA2864" s="1"/>
    </row>
    <row r="2865" spans="1:27" x14ac:dyDescent="0.25">
      <c r="A2865" t="s">
        <v>24</v>
      </c>
      <c r="B2865" t="str">
        <f t="shared" si="46"/>
        <v>No</v>
      </c>
      <c r="C2865" s="35">
        <v>2003</v>
      </c>
      <c r="D2865" s="35">
        <v>2002</v>
      </c>
      <c r="E2865" s="35">
        <v>4</v>
      </c>
      <c r="F2865" s="35">
        <v>3</v>
      </c>
      <c r="G2865" s="35">
        <v>1</v>
      </c>
      <c r="H2865" s="1" t="s">
        <v>2</v>
      </c>
      <c r="I2865" s="1"/>
      <c r="J2865" s="1"/>
      <c r="K2865" s="1"/>
      <c r="AA2865" s="1"/>
    </row>
    <row r="2866" spans="1:27" x14ac:dyDescent="0.25">
      <c r="A2866" t="s">
        <v>24</v>
      </c>
      <c r="B2866" t="str">
        <f t="shared" si="46"/>
        <v>No</v>
      </c>
      <c r="C2866" s="35">
        <v>2003</v>
      </c>
      <c r="D2866" s="35">
        <v>2003</v>
      </c>
      <c r="E2866" s="35">
        <v>22</v>
      </c>
      <c r="F2866" s="35">
        <v>17</v>
      </c>
      <c r="G2866" s="35">
        <v>5</v>
      </c>
      <c r="H2866" s="1" t="s">
        <v>2</v>
      </c>
      <c r="I2866" s="1"/>
      <c r="J2866" s="1"/>
      <c r="K2866" s="1"/>
      <c r="AA2866" s="1"/>
    </row>
    <row r="2867" spans="1:27" x14ac:dyDescent="0.25">
      <c r="A2867" t="s">
        <v>24</v>
      </c>
      <c r="B2867" t="str">
        <f t="shared" si="46"/>
        <v>No</v>
      </c>
      <c r="C2867" s="35">
        <v>2004</v>
      </c>
      <c r="D2867" s="1" t="s">
        <v>4</v>
      </c>
      <c r="E2867" s="35">
        <v>18</v>
      </c>
      <c r="F2867" s="35">
        <v>12</v>
      </c>
      <c r="G2867" s="35">
        <v>6</v>
      </c>
      <c r="H2867" s="1" t="s">
        <v>2</v>
      </c>
      <c r="I2867" s="1"/>
      <c r="J2867" s="1"/>
      <c r="K2867" s="1"/>
      <c r="AA2867" s="1"/>
    </row>
    <row r="2868" spans="1:27" x14ac:dyDescent="0.25">
      <c r="A2868" t="s">
        <v>24</v>
      </c>
      <c r="B2868" t="str">
        <f t="shared" si="46"/>
        <v>No</v>
      </c>
      <c r="C2868" s="35">
        <v>2004</v>
      </c>
      <c r="D2868" s="35">
        <v>2001</v>
      </c>
      <c r="E2868" s="35">
        <v>1</v>
      </c>
      <c r="F2868" s="35">
        <v>1</v>
      </c>
      <c r="G2868" s="1" t="s">
        <v>2</v>
      </c>
      <c r="H2868" s="1" t="s">
        <v>2</v>
      </c>
      <c r="I2868" s="1"/>
      <c r="J2868" s="1"/>
      <c r="K2868" s="1"/>
      <c r="AA2868" s="1"/>
    </row>
    <row r="2869" spans="1:27" x14ac:dyDescent="0.25">
      <c r="A2869" t="s">
        <v>24</v>
      </c>
      <c r="B2869" t="str">
        <f t="shared" si="46"/>
        <v>No</v>
      </c>
      <c r="C2869" s="35">
        <v>2004</v>
      </c>
      <c r="D2869" s="35">
        <v>2004</v>
      </c>
      <c r="E2869" s="35">
        <v>17</v>
      </c>
      <c r="F2869" s="35">
        <v>11</v>
      </c>
      <c r="G2869" s="35">
        <v>6</v>
      </c>
      <c r="H2869" s="1" t="s">
        <v>2</v>
      </c>
      <c r="I2869" s="1"/>
      <c r="J2869" s="1"/>
      <c r="K2869" s="1"/>
      <c r="AA2869" s="1"/>
    </row>
    <row r="2870" spans="1:27" x14ac:dyDescent="0.25">
      <c r="A2870" t="s">
        <v>24</v>
      </c>
      <c r="B2870" t="str">
        <f t="shared" si="46"/>
        <v>No</v>
      </c>
      <c r="C2870" s="35">
        <v>2005</v>
      </c>
      <c r="D2870" s="1" t="s">
        <v>4</v>
      </c>
      <c r="E2870" s="35">
        <v>31</v>
      </c>
      <c r="F2870" s="35">
        <v>19</v>
      </c>
      <c r="G2870" s="35">
        <v>12</v>
      </c>
      <c r="H2870" s="1" t="s">
        <v>2</v>
      </c>
      <c r="I2870" s="1"/>
      <c r="J2870" s="1"/>
      <c r="K2870" s="1"/>
      <c r="AA2870" s="1"/>
    </row>
    <row r="2871" spans="1:27" x14ac:dyDescent="0.25">
      <c r="A2871" t="s">
        <v>24</v>
      </c>
      <c r="B2871" t="str">
        <f t="shared" si="46"/>
        <v>No</v>
      </c>
      <c r="C2871" s="35">
        <v>2005</v>
      </c>
      <c r="D2871" s="35">
        <v>2005</v>
      </c>
      <c r="E2871" s="35">
        <v>31</v>
      </c>
      <c r="F2871" s="35">
        <v>19</v>
      </c>
      <c r="G2871" s="35">
        <v>12</v>
      </c>
      <c r="H2871" s="1" t="s">
        <v>2</v>
      </c>
      <c r="I2871" s="1"/>
      <c r="J2871" s="1"/>
      <c r="K2871" s="1"/>
      <c r="AA2871" s="1"/>
    </row>
    <row r="2872" spans="1:27" x14ac:dyDescent="0.25">
      <c r="A2872" t="s">
        <v>24</v>
      </c>
      <c r="B2872" t="str">
        <f t="shared" si="46"/>
        <v>No</v>
      </c>
      <c r="C2872" s="35">
        <v>2006</v>
      </c>
      <c r="D2872" s="1" t="s">
        <v>4</v>
      </c>
      <c r="E2872" s="35">
        <v>36</v>
      </c>
      <c r="F2872" s="35">
        <v>23</v>
      </c>
      <c r="G2872" s="35">
        <v>13</v>
      </c>
      <c r="H2872" s="1" t="s">
        <v>2</v>
      </c>
      <c r="I2872" s="1"/>
      <c r="J2872" s="1"/>
      <c r="K2872" s="1"/>
      <c r="AA2872" s="1"/>
    </row>
    <row r="2873" spans="1:27" x14ac:dyDescent="0.25">
      <c r="A2873" t="s">
        <v>24</v>
      </c>
      <c r="B2873" t="str">
        <f t="shared" si="46"/>
        <v>No</v>
      </c>
      <c r="C2873" s="35">
        <v>2006</v>
      </c>
      <c r="D2873" s="35">
        <v>2005</v>
      </c>
      <c r="E2873" s="35">
        <v>26</v>
      </c>
      <c r="F2873" s="35">
        <v>18</v>
      </c>
      <c r="G2873" s="35">
        <v>8</v>
      </c>
      <c r="H2873" s="1" t="s">
        <v>2</v>
      </c>
      <c r="I2873" s="1"/>
      <c r="J2873" s="1"/>
      <c r="K2873" s="1"/>
      <c r="AA2873" s="1"/>
    </row>
    <row r="2874" spans="1:27" x14ac:dyDescent="0.25">
      <c r="A2874" t="s">
        <v>24</v>
      </c>
      <c r="B2874" t="str">
        <f t="shared" si="46"/>
        <v>No</v>
      </c>
      <c r="C2874" s="35">
        <v>2006</v>
      </c>
      <c r="D2874" s="35">
        <v>2006</v>
      </c>
      <c r="E2874" s="35">
        <v>10</v>
      </c>
      <c r="F2874" s="35">
        <v>5</v>
      </c>
      <c r="G2874" s="35">
        <v>5</v>
      </c>
      <c r="H2874" s="1" t="s">
        <v>2</v>
      </c>
      <c r="I2874" s="1"/>
      <c r="J2874" s="1"/>
      <c r="K2874" s="1"/>
      <c r="AA2874" s="1"/>
    </row>
    <row r="2875" spans="1:27" x14ac:dyDescent="0.25">
      <c r="A2875" t="s">
        <v>24</v>
      </c>
      <c r="B2875" t="str">
        <f t="shared" si="46"/>
        <v>No</v>
      </c>
      <c r="C2875" s="35">
        <v>2007</v>
      </c>
      <c r="D2875" s="1" t="s">
        <v>4</v>
      </c>
      <c r="E2875" s="35">
        <v>49</v>
      </c>
      <c r="F2875" s="35">
        <v>41</v>
      </c>
      <c r="G2875" s="35">
        <v>7</v>
      </c>
      <c r="H2875" s="35">
        <v>1</v>
      </c>
      <c r="I2875" s="1"/>
      <c r="J2875" s="1"/>
      <c r="K2875" s="1"/>
      <c r="AA2875" s="1"/>
    </row>
    <row r="2876" spans="1:27" x14ac:dyDescent="0.25">
      <c r="A2876" t="s">
        <v>24</v>
      </c>
      <c r="B2876" t="str">
        <f t="shared" si="46"/>
        <v>No</v>
      </c>
      <c r="C2876" s="35">
        <v>2007</v>
      </c>
      <c r="D2876" s="35">
        <v>2006</v>
      </c>
      <c r="E2876" s="35">
        <v>30</v>
      </c>
      <c r="F2876" s="35">
        <v>27</v>
      </c>
      <c r="G2876" s="35">
        <v>2</v>
      </c>
      <c r="H2876" s="35">
        <v>1</v>
      </c>
      <c r="I2876" s="1"/>
      <c r="J2876" s="1"/>
      <c r="K2876" s="1"/>
      <c r="AA2876" s="1"/>
    </row>
    <row r="2877" spans="1:27" x14ac:dyDescent="0.25">
      <c r="A2877" t="s">
        <v>24</v>
      </c>
      <c r="B2877" t="str">
        <f t="shared" si="46"/>
        <v>No</v>
      </c>
      <c r="C2877" s="35">
        <v>2007</v>
      </c>
      <c r="D2877" s="35">
        <v>2007</v>
      </c>
      <c r="E2877" s="35">
        <v>19</v>
      </c>
      <c r="F2877" s="35">
        <v>14</v>
      </c>
      <c r="G2877" s="35">
        <v>5</v>
      </c>
      <c r="H2877" s="1" t="s">
        <v>2</v>
      </c>
      <c r="I2877" s="1"/>
      <c r="J2877" s="1"/>
      <c r="K2877" s="1"/>
      <c r="AA2877" s="1"/>
    </row>
    <row r="2878" spans="1:27" x14ac:dyDescent="0.25">
      <c r="A2878" t="s">
        <v>24</v>
      </c>
      <c r="B2878" t="str">
        <f t="shared" si="46"/>
        <v>No</v>
      </c>
      <c r="C2878" s="35">
        <v>2008</v>
      </c>
      <c r="D2878" s="1" t="s">
        <v>4</v>
      </c>
      <c r="E2878" s="35">
        <v>61</v>
      </c>
      <c r="F2878" s="35">
        <v>46</v>
      </c>
      <c r="G2878" s="35">
        <v>13</v>
      </c>
      <c r="H2878" s="35">
        <v>2</v>
      </c>
      <c r="I2878" s="1"/>
      <c r="J2878" s="1"/>
      <c r="K2878" s="1"/>
      <c r="AA2878" s="1"/>
    </row>
    <row r="2879" spans="1:27" x14ac:dyDescent="0.25">
      <c r="A2879" t="s">
        <v>24</v>
      </c>
      <c r="B2879" t="str">
        <f t="shared" si="46"/>
        <v>No</v>
      </c>
      <c r="C2879" s="35">
        <v>2008</v>
      </c>
      <c r="D2879" s="35">
        <v>2004</v>
      </c>
      <c r="E2879" s="35">
        <v>14</v>
      </c>
      <c r="F2879" s="35">
        <v>12</v>
      </c>
      <c r="G2879" s="35">
        <v>2</v>
      </c>
      <c r="H2879" s="1" t="s">
        <v>2</v>
      </c>
      <c r="I2879" s="1"/>
      <c r="J2879" s="1"/>
      <c r="K2879" s="1"/>
      <c r="AA2879" s="1"/>
    </row>
    <row r="2880" spans="1:27" x14ac:dyDescent="0.25">
      <c r="A2880" t="s">
        <v>24</v>
      </c>
      <c r="B2880" t="str">
        <f t="shared" si="46"/>
        <v>No</v>
      </c>
      <c r="C2880" s="35">
        <v>2008</v>
      </c>
      <c r="D2880" s="35">
        <v>2005</v>
      </c>
      <c r="E2880" s="35">
        <v>11</v>
      </c>
      <c r="F2880" s="35">
        <v>9</v>
      </c>
      <c r="G2880" s="35">
        <v>2</v>
      </c>
      <c r="H2880" s="1" t="s">
        <v>2</v>
      </c>
      <c r="I2880" s="1"/>
      <c r="J2880" s="1"/>
      <c r="K2880" s="1"/>
      <c r="AA2880" s="1"/>
    </row>
    <row r="2881" spans="1:27" x14ac:dyDescent="0.25">
      <c r="A2881" t="s">
        <v>24</v>
      </c>
      <c r="B2881" t="str">
        <f t="shared" si="46"/>
        <v>No</v>
      </c>
      <c r="C2881" s="35">
        <v>2008</v>
      </c>
      <c r="D2881" s="35">
        <v>2006</v>
      </c>
      <c r="E2881" s="35">
        <v>1</v>
      </c>
      <c r="F2881" s="1" t="s">
        <v>2</v>
      </c>
      <c r="G2881" s="35">
        <v>1</v>
      </c>
      <c r="H2881" s="1" t="s">
        <v>2</v>
      </c>
      <c r="I2881" s="1"/>
      <c r="J2881" s="1"/>
      <c r="K2881" s="1"/>
      <c r="AA2881" s="1"/>
    </row>
    <row r="2882" spans="1:27" x14ac:dyDescent="0.25">
      <c r="A2882" t="s">
        <v>24</v>
      </c>
      <c r="B2882" t="str">
        <f t="shared" si="46"/>
        <v>No</v>
      </c>
      <c r="C2882" s="35">
        <v>2008</v>
      </c>
      <c r="D2882" s="35">
        <v>2007</v>
      </c>
      <c r="E2882" s="35">
        <v>22</v>
      </c>
      <c r="F2882" s="35">
        <v>17</v>
      </c>
      <c r="G2882" s="35">
        <v>5</v>
      </c>
      <c r="H2882" s="1" t="s">
        <v>2</v>
      </c>
      <c r="I2882" s="1"/>
      <c r="J2882" s="1"/>
      <c r="K2882" s="1"/>
      <c r="AA2882" s="1"/>
    </row>
    <row r="2883" spans="1:27" x14ac:dyDescent="0.25">
      <c r="A2883" t="s">
        <v>24</v>
      </c>
      <c r="B2883" t="str">
        <f t="shared" si="46"/>
        <v>No</v>
      </c>
      <c r="C2883" s="35">
        <v>2008</v>
      </c>
      <c r="D2883" s="35">
        <v>2008</v>
      </c>
      <c r="E2883" s="35">
        <v>13</v>
      </c>
      <c r="F2883" s="35">
        <v>8</v>
      </c>
      <c r="G2883" s="35">
        <v>3</v>
      </c>
      <c r="H2883" s="35">
        <v>2</v>
      </c>
      <c r="I2883" s="1"/>
      <c r="J2883" s="1"/>
      <c r="K2883" s="1"/>
      <c r="AA2883" s="1"/>
    </row>
    <row r="2884" spans="1:27" x14ac:dyDescent="0.25">
      <c r="A2884" t="s">
        <v>24</v>
      </c>
      <c r="B2884" t="str">
        <f t="shared" si="46"/>
        <v>No</v>
      </c>
      <c r="C2884" s="35">
        <v>2009</v>
      </c>
      <c r="D2884" s="1" t="s">
        <v>4</v>
      </c>
      <c r="E2884" s="35">
        <v>29</v>
      </c>
      <c r="F2884" s="35">
        <v>22</v>
      </c>
      <c r="G2884" s="35">
        <v>7</v>
      </c>
      <c r="H2884" s="1" t="s">
        <v>2</v>
      </c>
      <c r="I2884" s="1"/>
      <c r="J2884" s="1"/>
      <c r="K2884" s="1"/>
      <c r="AA2884" s="1"/>
    </row>
    <row r="2885" spans="1:27" x14ac:dyDescent="0.25">
      <c r="A2885" t="s">
        <v>24</v>
      </c>
      <c r="B2885" t="str">
        <f t="shared" si="46"/>
        <v>No</v>
      </c>
      <c r="C2885" s="35">
        <v>2009</v>
      </c>
      <c r="D2885" s="35">
        <v>2004</v>
      </c>
      <c r="E2885" s="35">
        <v>3</v>
      </c>
      <c r="F2885" s="35">
        <v>1</v>
      </c>
      <c r="G2885" s="35">
        <v>2</v>
      </c>
      <c r="H2885" s="1" t="s">
        <v>2</v>
      </c>
      <c r="I2885" s="1"/>
      <c r="J2885" s="1"/>
      <c r="K2885" s="1"/>
      <c r="AA2885" s="1"/>
    </row>
    <row r="2886" spans="1:27" x14ac:dyDescent="0.25">
      <c r="A2886" t="s">
        <v>24</v>
      </c>
      <c r="B2886" t="str">
        <f t="shared" si="46"/>
        <v>No</v>
      </c>
      <c r="C2886" s="35">
        <v>2009</v>
      </c>
      <c r="D2886" s="35">
        <v>2006</v>
      </c>
      <c r="E2886" s="35">
        <v>1</v>
      </c>
      <c r="F2886" s="1" t="s">
        <v>2</v>
      </c>
      <c r="G2886" s="35">
        <v>1</v>
      </c>
      <c r="H2886" s="1" t="s">
        <v>2</v>
      </c>
      <c r="I2886" s="1"/>
      <c r="J2886" s="1"/>
      <c r="K2886" s="1"/>
      <c r="AA2886" s="1"/>
    </row>
    <row r="2887" spans="1:27" x14ac:dyDescent="0.25">
      <c r="A2887" t="s">
        <v>24</v>
      </c>
      <c r="B2887" t="str">
        <f t="shared" ref="B2887:B2936" si="47">IF(A2887="Menores de 1 año",0,LEFT(A2887,2))</f>
        <v>No</v>
      </c>
      <c r="C2887" s="35">
        <v>2009</v>
      </c>
      <c r="D2887" s="35">
        <v>2008</v>
      </c>
      <c r="E2887" s="35">
        <v>19</v>
      </c>
      <c r="F2887" s="35">
        <v>16</v>
      </c>
      <c r="G2887" s="35">
        <v>3</v>
      </c>
      <c r="H2887" s="1" t="s">
        <v>2</v>
      </c>
      <c r="I2887" s="1"/>
      <c r="J2887" s="1"/>
      <c r="K2887" s="1"/>
      <c r="AA2887" s="1"/>
    </row>
    <row r="2888" spans="1:27" x14ac:dyDescent="0.25">
      <c r="A2888" t="s">
        <v>24</v>
      </c>
      <c r="B2888" t="str">
        <f t="shared" si="47"/>
        <v>No</v>
      </c>
      <c r="C2888" s="35">
        <v>2009</v>
      </c>
      <c r="D2888" s="35">
        <v>2009</v>
      </c>
      <c r="E2888" s="35">
        <v>6</v>
      </c>
      <c r="F2888" s="35">
        <v>5</v>
      </c>
      <c r="G2888" s="35">
        <v>1</v>
      </c>
      <c r="H2888" s="1" t="s">
        <v>2</v>
      </c>
      <c r="I2888" s="1"/>
      <c r="J2888" s="1"/>
      <c r="K2888" s="1"/>
      <c r="AA2888" s="1"/>
    </row>
    <row r="2889" spans="1:27" x14ac:dyDescent="0.25">
      <c r="A2889" t="s">
        <v>24</v>
      </c>
      <c r="B2889" t="str">
        <f t="shared" si="47"/>
        <v>No</v>
      </c>
      <c r="C2889" s="35">
        <v>2010</v>
      </c>
      <c r="D2889" s="1" t="s">
        <v>4</v>
      </c>
      <c r="E2889" s="35">
        <v>15</v>
      </c>
      <c r="F2889" s="35">
        <v>11</v>
      </c>
      <c r="G2889" s="35">
        <v>3</v>
      </c>
      <c r="H2889" s="35">
        <v>1</v>
      </c>
      <c r="I2889" s="1"/>
      <c r="J2889" s="1"/>
      <c r="K2889" s="1"/>
      <c r="AA2889" s="1"/>
    </row>
    <row r="2890" spans="1:27" x14ac:dyDescent="0.25">
      <c r="A2890" t="s">
        <v>24</v>
      </c>
      <c r="B2890" t="str">
        <f t="shared" si="47"/>
        <v>No</v>
      </c>
      <c r="C2890" s="35">
        <v>2010</v>
      </c>
      <c r="D2890" s="35">
        <v>2009</v>
      </c>
      <c r="E2890" s="35">
        <v>4</v>
      </c>
      <c r="F2890" s="35">
        <v>1</v>
      </c>
      <c r="G2890" s="35">
        <v>2</v>
      </c>
      <c r="H2890" s="35">
        <v>1</v>
      </c>
      <c r="I2890" s="1"/>
      <c r="J2890" s="1"/>
      <c r="K2890" s="1"/>
      <c r="AA2890" s="1"/>
    </row>
    <row r="2891" spans="1:27" x14ac:dyDescent="0.25">
      <c r="A2891" t="s">
        <v>24</v>
      </c>
      <c r="B2891" t="str">
        <f t="shared" si="47"/>
        <v>No</v>
      </c>
      <c r="C2891" s="35">
        <v>2010</v>
      </c>
      <c r="D2891" s="35">
        <v>2010</v>
      </c>
      <c r="E2891" s="35">
        <v>11</v>
      </c>
      <c r="F2891" s="35">
        <v>10</v>
      </c>
      <c r="G2891" s="35">
        <v>1</v>
      </c>
      <c r="H2891" s="1" t="s">
        <v>2</v>
      </c>
      <c r="I2891" s="1"/>
      <c r="J2891" s="1"/>
      <c r="K2891" s="1"/>
      <c r="AA2891" s="1"/>
    </row>
    <row r="2892" spans="1:27" x14ac:dyDescent="0.25">
      <c r="A2892" t="s">
        <v>24</v>
      </c>
      <c r="B2892" t="str">
        <f t="shared" si="47"/>
        <v>No</v>
      </c>
      <c r="C2892" s="35">
        <v>2011</v>
      </c>
      <c r="D2892" s="1" t="s">
        <v>4</v>
      </c>
      <c r="E2892" s="35">
        <v>41</v>
      </c>
      <c r="F2892" s="35">
        <v>30</v>
      </c>
      <c r="G2892" s="35">
        <v>11</v>
      </c>
      <c r="H2892" s="1" t="s">
        <v>2</v>
      </c>
      <c r="I2892" s="1"/>
      <c r="J2892" s="1"/>
      <c r="K2892" s="1"/>
      <c r="AA2892" s="1"/>
    </row>
    <row r="2893" spans="1:27" x14ac:dyDescent="0.25">
      <c r="A2893" t="s">
        <v>24</v>
      </c>
      <c r="B2893" t="str">
        <f t="shared" si="47"/>
        <v>No</v>
      </c>
      <c r="C2893" s="35">
        <v>2011</v>
      </c>
      <c r="D2893" s="35">
        <v>2010</v>
      </c>
      <c r="E2893" s="35">
        <v>20</v>
      </c>
      <c r="F2893" s="35">
        <v>15</v>
      </c>
      <c r="G2893" s="35">
        <v>5</v>
      </c>
      <c r="H2893" s="1" t="s">
        <v>2</v>
      </c>
      <c r="I2893" s="1"/>
      <c r="J2893" s="1"/>
      <c r="K2893" s="1"/>
      <c r="AA2893" s="1"/>
    </row>
    <row r="2894" spans="1:27" x14ac:dyDescent="0.25">
      <c r="A2894" t="s">
        <v>24</v>
      </c>
      <c r="B2894" t="str">
        <f t="shared" si="47"/>
        <v>No</v>
      </c>
      <c r="C2894" s="35">
        <v>2011</v>
      </c>
      <c r="D2894" s="35">
        <v>2011</v>
      </c>
      <c r="E2894" s="35">
        <v>21</v>
      </c>
      <c r="F2894" s="35">
        <v>15</v>
      </c>
      <c r="G2894" s="35">
        <v>6</v>
      </c>
      <c r="H2894" s="1" t="s">
        <v>2</v>
      </c>
      <c r="I2894" s="1"/>
      <c r="J2894" s="1"/>
      <c r="K2894" s="1"/>
      <c r="AA2894" s="1"/>
    </row>
    <row r="2895" spans="1:27" x14ac:dyDescent="0.25">
      <c r="A2895" t="s">
        <v>24</v>
      </c>
      <c r="B2895" t="str">
        <f t="shared" si="47"/>
        <v>No</v>
      </c>
      <c r="C2895" s="35">
        <v>2012</v>
      </c>
      <c r="D2895" s="1" t="s">
        <v>4</v>
      </c>
      <c r="E2895" s="35">
        <v>76</v>
      </c>
      <c r="F2895" s="35">
        <v>66</v>
      </c>
      <c r="G2895" s="35">
        <v>8</v>
      </c>
      <c r="H2895" s="35">
        <v>2</v>
      </c>
      <c r="I2895" s="1"/>
      <c r="J2895" s="1"/>
      <c r="K2895" s="1"/>
      <c r="AA2895" s="1"/>
    </row>
    <row r="2896" spans="1:27" x14ac:dyDescent="0.25">
      <c r="A2896" t="s">
        <v>24</v>
      </c>
      <c r="B2896" t="str">
        <f t="shared" si="47"/>
        <v>No</v>
      </c>
      <c r="C2896" s="35">
        <v>2012</v>
      </c>
      <c r="D2896" s="35">
        <v>2011</v>
      </c>
      <c r="E2896" s="35">
        <v>33</v>
      </c>
      <c r="F2896" s="35">
        <v>29</v>
      </c>
      <c r="G2896" s="35">
        <v>4</v>
      </c>
      <c r="H2896" s="1" t="s">
        <v>2</v>
      </c>
      <c r="I2896" s="1"/>
      <c r="J2896" s="1"/>
      <c r="K2896" s="1"/>
      <c r="AA2896" s="1"/>
    </row>
    <row r="2897" spans="1:27" x14ac:dyDescent="0.25">
      <c r="A2897" t="s">
        <v>24</v>
      </c>
      <c r="B2897" t="str">
        <f t="shared" si="47"/>
        <v>No</v>
      </c>
      <c r="C2897" s="35">
        <v>2012</v>
      </c>
      <c r="D2897" s="35">
        <v>2012</v>
      </c>
      <c r="E2897" s="35">
        <v>43</v>
      </c>
      <c r="F2897" s="35">
        <v>37</v>
      </c>
      <c r="G2897" s="35">
        <v>4</v>
      </c>
      <c r="H2897" s="35">
        <v>2</v>
      </c>
      <c r="I2897" s="1"/>
      <c r="J2897" s="1"/>
      <c r="K2897" s="1"/>
      <c r="AA2897" s="1"/>
    </row>
    <row r="2898" spans="1:27" x14ac:dyDescent="0.25">
      <c r="A2898" t="s">
        <v>24</v>
      </c>
      <c r="B2898" t="str">
        <f t="shared" si="47"/>
        <v>No</v>
      </c>
      <c r="C2898" s="35">
        <v>2013</v>
      </c>
      <c r="D2898" s="1" t="s">
        <v>4</v>
      </c>
      <c r="E2898" s="35">
        <v>42</v>
      </c>
      <c r="F2898" s="35">
        <v>34</v>
      </c>
      <c r="G2898" s="35">
        <v>6</v>
      </c>
      <c r="H2898" s="35">
        <v>2</v>
      </c>
      <c r="I2898" s="1"/>
      <c r="J2898" s="1"/>
      <c r="K2898" s="1"/>
      <c r="AA2898" s="1"/>
    </row>
    <row r="2899" spans="1:27" x14ac:dyDescent="0.25">
      <c r="A2899" t="s">
        <v>24</v>
      </c>
      <c r="B2899" t="str">
        <f t="shared" si="47"/>
        <v>No</v>
      </c>
      <c r="C2899" s="35">
        <v>2013</v>
      </c>
      <c r="D2899" s="35">
        <v>2012</v>
      </c>
      <c r="E2899" s="35">
        <v>23</v>
      </c>
      <c r="F2899" s="35">
        <v>19</v>
      </c>
      <c r="G2899" s="35">
        <v>3</v>
      </c>
      <c r="H2899" s="35">
        <v>1</v>
      </c>
      <c r="I2899" s="1"/>
      <c r="J2899" s="1"/>
      <c r="K2899" s="1"/>
      <c r="AA2899" s="1"/>
    </row>
    <row r="2900" spans="1:27" x14ac:dyDescent="0.25">
      <c r="A2900" t="s">
        <v>24</v>
      </c>
      <c r="B2900" t="str">
        <f t="shared" si="47"/>
        <v>No</v>
      </c>
      <c r="C2900" s="35">
        <v>2013</v>
      </c>
      <c r="D2900" s="35">
        <v>2013</v>
      </c>
      <c r="E2900" s="35">
        <v>19</v>
      </c>
      <c r="F2900" s="35">
        <v>15</v>
      </c>
      <c r="G2900" s="35">
        <v>3</v>
      </c>
      <c r="H2900" s="35">
        <v>1</v>
      </c>
      <c r="I2900" s="1"/>
      <c r="J2900" s="1"/>
      <c r="K2900" s="1"/>
      <c r="AA2900" s="1"/>
    </row>
    <row r="2901" spans="1:27" x14ac:dyDescent="0.25">
      <c r="A2901" t="s">
        <v>24</v>
      </c>
      <c r="B2901" t="str">
        <f t="shared" si="47"/>
        <v>No</v>
      </c>
      <c r="C2901" s="35">
        <v>2014</v>
      </c>
      <c r="D2901" s="1" t="s">
        <v>4</v>
      </c>
      <c r="E2901" s="35">
        <v>31</v>
      </c>
      <c r="F2901" s="35">
        <v>27</v>
      </c>
      <c r="G2901" s="35">
        <v>3</v>
      </c>
      <c r="H2901" s="35">
        <v>1</v>
      </c>
      <c r="I2901" s="1"/>
      <c r="J2901" s="1"/>
      <c r="K2901" s="1"/>
      <c r="AA2901" s="1"/>
    </row>
    <row r="2902" spans="1:27" x14ac:dyDescent="0.25">
      <c r="A2902" t="s">
        <v>24</v>
      </c>
      <c r="B2902" t="str">
        <f t="shared" si="47"/>
        <v>No</v>
      </c>
      <c r="C2902" s="35">
        <v>2014</v>
      </c>
      <c r="D2902" s="35">
        <v>2013</v>
      </c>
      <c r="E2902" s="35">
        <v>13</v>
      </c>
      <c r="F2902" s="35">
        <v>12</v>
      </c>
      <c r="G2902" s="35">
        <v>1</v>
      </c>
      <c r="H2902" s="1" t="s">
        <v>2</v>
      </c>
      <c r="I2902" s="1"/>
      <c r="J2902" s="1"/>
      <c r="K2902" s="1"/>
      <c r="AA2902" s="1"/>
    </row>
    <row r="2903" spans="1:27" x14ac:dyDescent="0.25">
      <c r="A2903" t="s">
        <v>24</v>
      </c>
      <c r="B2903" t="str">
        <f t="shared" si="47"/>
        <v>No</v>
      </c>
      <c r="C2903" s="35">
        <v>2014</v>
      </c>
      <c r="D2903" s="35">
        <v>2014</v>
      </c>
      <c r="E2903" s="35">
        <v>18</v>
      </c>
      <c r="F2903" s="35">
        <v>15</v>
      </c>
      <c r="G2903" s="35">
        <v>2</v>
      </c>
      <c r="H2903" s="35">
        <v>1</v>
      </c>
      <c r="I2903" s="1"/>
      <c r="J2903" s="1"/>
      <c r="K2903" s="1"/>
      <c r="AA2903" s="1"/>
    </row>
    <row r="2904" spans="1:27" x14ac:dyDescent="0.25">
      <c r="A2904" t="s">
        <v>24</v>
      </c>
      <c r="B2904" t="str">
        <f t="shared" si="47"/>
        <v>No</v>
      </c>
      <c r="C2904" s="35">
        <v>2015</v>
      </c>
      <c r="D2904" s="1" t="s">
        <v>4</v>
      </c>
      <c r="E2904" s="35">
        <v>18</v>
      </c>
      <c r="F2904" s="35">
        <v>15</v>
      </c>
      <c r="G2904" s="35">
        <v>2</v>
      </c>
      <c r="H2904" s="35">
        <v>1</v>
      </c>
      <c r="I2904" s="1"/>
      <c r="J2904" s="1"/>
      <c r="K2904" s="1"/>
      <c r="AA2904" s="1"/>
    </row>
    <row r="2905" spans="1:27" x14ac:dyDescent="0.25">
      <c r="A2905" t="s">
        <v>24</v>
      </c>
      <c r="B2905" t="str">
        <f t="shared" si="47"/>
        <v>No</v>
      </c>
      <c r="C2905" s="35">
        <v>2015</v>
      </c>
      <c r="D2905" s="35">
        <v>2014</v>
      </c>
      <c r="E2905" s="35">
        <v>5</v>
      </c>
      <c r="F2905" s="35">
        <v>3</v>
      </c>
      <c r="G2905" s="35">
        <v>1</v>
      </c>
      <c r="H2905" s="35">
        <v>1</v>
      </c>
      <c r="I2905" s="1"/>
      <c r="J2905" s="1"/>
      <c r="K2905" s="1"/>
      <c r="AA2905" s="1"/>
    </row>
    <row r="2906" spans="1:27" x14ac:dyDescent="0.25">
      <c r="A2906" t="s">
        <v>24</v>
      </c>
      <c r="B2906" t="str">
        <f t="shared" si="47"/>
        <v>No</v>
      </c>
      <c r="C2906" s="35">
        <v>2015</v>
      </c>
      <c r="D2906" s="35">
        <v>2015</v>
      </c>
      <c r="E2906" s="35">
        <v>13</v>
      </c>
      <c r="F2906" s="35">
        <v>12</v>
      </c>
      <c r="G2906" s="35">
        <v>1</v>
      </c>
      <c r="H2906" s="1" t="s">
        <v>2</v>
      </c>
      <c r="I2906" s="1"/>
      <c r="J2906" s="1"/>
      <c r="K2906" s="1"/>
      <c r="AA2906" s="1"/>
    </row>
    <row r="2907" spans="1:27" x14ac:dyDescent="0.25">
      <c r="A2907" t="s">
        <v>24</v>
      </c>
      <c r="B2907" t="str">
        <f t="shared" si="47"/>
        <v>No</v>
      </c>
      <c r="C2907" s="35">
        <v>2016</v>
      </c>
      <c r="D2907" s="1" t="s">
        <v>4</v>
      </c>
      <c r="E2907" s="35">
        <v>41</v>
      </c>
      <c r="F2907" s="35">
        <v>35</v>
      </c>
      <c r="G2907" s="35">
        <v>6</v>
      </c>
      <c r="H2907" s="1" t="s">
        <v>2</v>
      </c>
      <c r="I2907" s="1"/>
      <c r="J2907" s="1"/>
      <c r="K2907" s="1"/>
      <c r="AA2907" s="1"/>
    </row>
    <row r="2908" spans="1:27" x14ac:dyDescent="0.25">
      <c r="A2908" t="s">
        <v>24</v>
      </c>
      <c r="B2908" t="str">
        <f t="shared" si="47"/>
        <v>No</v>
      </c>
      <c r="C2908" s="35">
        <v>2016</v>
      </c>
      <c r="D2908" s="35">
        <v>2006</v>
      </c>
      <c r="E2908" s="35">
        <v>1</v>
      </c>
      <c r="F2908" s="35">
        <v>1</v>
      </c>
      <c r="G2908" s="1" t="s">
        <v>2</v>
      </c>
      <c r="H2908" s="1" t="s">
        <v>2</v>
      </c>
      <c r="I2908" s="1"/>
      <c r="J2908" s="1"/>
      <c r="K2908" s="1"/>
      <c r="AA2908" s="1"/>
    </row>
    <row r="2909" spans="1:27" x14ac:dyDescent="0.25">
      <c r="A2909" t="s">
        <v>24</v>
      </c>
      <c r="B2909" t="str">
        <f t="shared" si="47"/>
        <v>No</v>
      </c>
      <c r="C2909" s="35">
        <v>2016</v>
      </c>
      <c r="D2909" s="35">
        <v>2007</v>
      </c>
      <c r="E2909" s="35">
        <v>3</v>
      </c>
      <c r="F2909" s="35">
        <v>3</v>
      </c>
      <c r="G2909" s="1" t="s">
        <v>2</v>
      </c>
      <c r="H2909" s="1" t="s">
        <v>2</v>
      </c>
      <c r="I2909" s="1"/>
      <c r="J2909" s="1"/>
      <c r="K2909" s="1"/>
      <c r="AA2909" s="1"/>
    </row>
    <row r="2910" spans="1:27" x14ac:dyDescent="0.25">
      <c r="A2910" t="s">
        <v>24</v>
      </c>
      <c r="B2910" t="str">
        <f t="shared" si="47"/>
        <v>No</v>
      </c>
      <c r="C2910" s="35">
        <v>2016</v>
      </c>
      <c r="D2910" s="35">
        <v>2009</v>
      </c>
      <c r="E2910" s="35">
        <v>3</v>
      </c>
      <c r="F2910" s="35">
        <v>3</v>
      </c>
      <c r="G2910" s="1" t="s">
        <v>2</v>
      </c>
      <c r="H2910" s="1" t="s">
        <v>2</v>
      </c>
      <c r="I2910" s="1"/>
      <c r="J2910" s="1"/>
      <c r="K2910" s="1"/>
      <c r="AA2910" s="1"/>
    </row>
    <row r="2911" spans="1:27" x14ac:dyDescent="0.25">
      <c r="A2911" t="s">
        <v>24</v>
      </c>
      <c r="B2911" t="str">
        <f t="shared" si="47"/>
        <v>No</v>
      </c>
      <c r="C2911" s="35">
        <v>2016</v>
      </c>
      <c r="D2911" s="35">
        <v>2015</v>
      </c>
      <c r="E2911" s="35">
        <v>13</v>
      </c>
      <c r="F2911" s="35">
        <v>11</v>
      </c>
      <c r="G2911" s="35">
        <v>2</v>
      </c>
      <c r="H2911" s="1" t="s">
        <v>2</v>
      </c>
      <c r="I2911" s="1"/>
      <c r="J2911" s="1"/>
      <c r="K2911" s="1"/>
      <c r="AA2911" s="1"/>
    </row>
    <row r="2912" spans="1:27" x14ac:dyDescent="0.25">
      <c r="A2912" t="s">
        <v>24</v>
      </c>
      <c r="B2912" t="str">
        <f t="shared" si="47"/>
        <v>No</v>
      </c>
      <c r="C2912" s="35">
        <v>2016</v>
      </c>
      <c r="D2912" s="35">
        <v>2016</v>
      </c>
      <c r="E2912" s="35">
        <v>20</v>
      </c>
      <c r="F2912" s="35">
        <v>16</v>
      </c>
      <c r="G2912" s="35">
        <v>4</v>
      </c>
      <c r="H2912" s="1" t="s">
        <v>2</v>
      </c>
      <c r="I2912" s="1"/>
      <c r="J2912" s="1"/>
      <c r="K2912" s="1"/>
      <c r="AA2912" s="1"/>
    </row>
    <row r="2913" spans="1:27" x14ac:dyDescent="0.25">
      <c r="A2913" t="s">
        <v>24</v>
      </c>
      <c r="B2913" t="str">
        <f t="shared" si="47"/>
        <v>No</v>
      </c>
      <c r="C2913" s="35">
        <v>2016</v>
      </c>
      <c r="D2913" s="1" t="s">
        <v>24</v>
      </c>
      <c r="E2913" s="35">
        <v>1</v>
      </c>
      <c r="F2913" s="35">
        <v>1</v>
      </c>
      <c r="G2913" s="1" t="s">
        <v>2</v>
      </c>
      <c r="H2913" s="1" t="s">
        <v>2</v>
      </c>
      <c r="I2913" s="1"/>
      <c r="J2913" s="1"/>
      <c r="K2913" s="1"/>
      <c r="AA2913" s="1"/>
    </row>
    <row r="2914" spans="1:27" x14ac:dyDescent="0.25">
      <c r="A2914" t="s">
        <v>24</v>
      </c>
      <c r="B2914" t="str">
        <f t="shared" si="47"/>
        <v>No</v>
      </c>
      <c r="C2914" s="35">
        <v>2017</v>
      </c>
      <c r="D2914" s="1" t="s">
        <v>4</v>
      </c>
      <c r="E2914" s="35">
        <v>5</v>
      </c>
      <c r="F2914" s="35">
        <v>4</v>
      </c>
      <c r="G2914" s="35">
        <v>1</v>
      </c>
      <c r="H2914" s="1" t="s">
        <v>2</v>
      </c>
      <c r="I2914" s="1"/>
      <c r="J2914" s="1"/>
      <c r="K2914" s="1"/>
      <c r="AA2914" s="1"/>
    </row>
    <row r="2915" spans="1:27" x14ac:dyDescent="0.25">
      <c r="A2915" t="s">
        <v>24</v>
      </c>
      <c r="B2915" t="str">
        <f t="shared" si="47"/>
        <v>No</v>
      </c>
      <c r="C2915" s="35">
        <v>2017</v>
      </c>
      <c r="D2915" s="35">
        <v>2016</v>
      </c>
      <c r="E2915" s="35">
        <v>4</v>
      </c>
      <c r="F2915" s="35">
        <v>3</v>
      </c>
      <c r="G2915" s="35">
        <v>1</v>
      </c>
      <c r="H2915" s="1" t="s">
        <v>2</v>
      </c>
      <c r="I2915" s="1"/>
      <c r="J2915" s="1"/>
      <c r="K2915" s="1"/>
      <c r="AA2915" s="1"/>
    </row>
    <row r="2916" spans="1:27" x14ac:dyDescent="0.25">
      <c r="A2916" t="s">
        <v>24</v>
      </c>
      <c r="B2916" t="str">
        <f t="shared" si="47"/>
        <v>No</v>
      </c>
      <c r="C2916" s="35">
        <v>2017</v>
      </c>
      <c r="D2916" s="35">
        <v>2017</v>
      </c>
      <c r="E2916" s="35">
        <v>1</v>
      </c>
      <c r="F2916" s="35">
        <v>1</v>
      </c>
      <c r="G2916" s="1" t="s">
        <v>2</v>
      </c>
      <c r="H2916" s="1" t="s">
        <v>2</v>
      </c>
      <c r="I2916" s="1"/>
      <c r="J2916" s="1"/>
      <c r="K2916" s="1"/>
      <c r="AA2916" s="1"/>
    </row>
    <row r="2917" spans="1:27" x14ac:dyDescent="0.25">
      <c r="A2917" t="s">
        <v>24</v>
      </c>
      <c r="B2917" t="str">
        <f t="shared" si="47"/>
        <v>No</v>
      </c>
      <c r="C2917" s="35">
        <v>2018</v>
      </c>
      <c r="D2917" s="1" t="s">
        <v>4</v>
      </c>
      <c r="E2917" s="35">
        <v>11</v>
      </c>
      <c r="F2917" s="35">
        <v>10</v>
      </c>
      <c r="G2917" s="35">
        <v>1</v>
      </c>
      <c r="H2917" s="1" t="s">
        <v>2</v>
      </c>
      <c r="I2917" s="1"/>
      <c r="J2917" s="1"/>
      <c r="K2917" s="1"/>
      <c r="AA2917" s="1"/>
    </row>
    <row r="2918" spans="1:27" x14ac:dyDescent="0.25">
      <c r="A2918" t="s">
        <v>24</v>
      </c>
      <c r="B2918" t="str">
        <f t="shared" si="47"/>
        <v>No</v>
      </c>
      <c r="C2918" s="35">
        <v>2018</v>
      </c>
      <c r="D2918" s="35">
        <v>2017</v>
      </c>
      <c r="E2918" s="35">
        <v>6</v>
      </c>
      <c r="F2918" s="35">
        <v>6</v>
      </c>
      <c r="G2918" s="1" t="s">
        <v>2</v>
      </c>
      <c r="H2918" s="1" t="s">
        <v>2</v>
      </c>
      <c r="I2918" s="1"/>
      <c r="J2918" s="1"/>
      <c r="K2918" s="1"/>
      <c r="AA2918" s="1"/>
    </row>
    <row r="2919" spans="1:27" x14ac:dyDescent="0.25">
      <c r="A2919" t="s">
        <v>24</v>
      </c>
      <c r="B2919" t="str">
        <f t="shared" si="47"/>
        <v>No</v>
      </c>
      <c r="C2919" s="35">
        <v>2018</v>
      </c>
      <c r="D2919" s="35">
        <v>2018</v>
      </c>
      <c r="E2919" s="35">
        <v>5</v>
      </c>
      <c r="F2919" s="35">
        <v>4</v>
      </c>
      <c r="G2919" s="35">
        <v>1</v>
      </c>
      <c r="H2919" s="1" t="s">
        <v>2</v>
      </c>
      <c r="I2919" s="1"/>
      <c r="J2919" s="1"/>
      <c r="K2919" s="1"/>
      <c r="AA2919" s="1"/>
    </row>
    <row r="2920" spans="1:27" x14ac:dyDescent="0.25">
      <c r="A2920" t="s">
        <v>24</v>
      </c>
      <c r="B2920" t="str">
        <f t="shared" si="47"/>
        <v>No</v>
      </c>
      <c r="C2920" s="35">
        <v>2019</v>
      </c>
      <c r="D2920" s="1" t="s">
        <v>4</v>
      </c>
      <c r="E2920" s="35">
        <v>11</v>
      </c>
      <c r="F2920" s="35">
        <v>6</v>
      </c>
      <c r="G2920" s="35">
        <v>5</v>
      </c>
      <c r="H2920" s="1" t="s">
        <v>2</v>
      </c>
      <c r="I2920" s="1"/>
      <c r="J2920" s="1"/>
      <c r="K2920" s="1"/>
      <c r="AA2920" s="1"/>
    </row>
    <row r="2921" spans="1:27" x14ac:dyDescent="0.25">
      <c r="A2921" t="s">
        <v>24</v>
      </c>
      <c r="B2921" t="str">
        <f t="shared" si="47"/>
        <v>No</v>
      </c>
      <c r="C2921" s="35">
        <v>2019</v>
      </c>
      <c r="D2921" s="35">
        <v>2018</v>
      </c>
      <c r="E2921" s="35">
        <v>10</v>
      </c>
      <c r="F2921" s="35">
        <v>5</v>
      </c>
      <c r="G2921" s="35">
        <v>5</v>
      </c>
      <c r="H2921" s="1" t="s">
        <v>2</v>
      </c>
      <c r="I2921" s="1"/>
      <c r="J2921" s="1"/>
      <c r="K2921" s="1"/>
      <c r="AA2921" s="1"/>
    </row>
    <row r="2922" spans="1:27" x14ac:dyDescent="0.25">
      <c r="A2922" t="s">
        <v>24</v>
      </c>
      <c r="B2922" t="str">
        <f t="shared" si="47"/>
        <v>No</v>
      </c>
      <c r="C2922" s="35">
        <v>2019</v>
      </c>
      <c r="D2922" s="35">
        <v>2019</v>
      </c>
      <c r="E2922" s="35">
        <v>1</v>
      </c>
      <c r="F2922" s="35">
        <v>1</v>
      </c>
      <c r="G2922" s="1" t="s">
        <v>2</v>
      </c>
      <c r="H2922" s="1" t="s">
        <v>2</v>
      </c>
      <c r="I2922" s="1"/>
      <c r="J2922" s="1"/>
      <c r="K2922" s="1"/>
      <c r="AA2922" s="1"/>
    </row>
    <row r="2923" spans="1:27" x14ac:dyDescent="0.25">
      <c r="A2923" t="s">
        <v>24</v>
      </c>
      <c r="B2923" t="str">
        <f t="shared" si="47"/>
        <v>No</v>
      </c>
      <c r="C2923" s="35">
        <v>2020</v>
      </c>
      <c r="D2923" s="1" t="s">
        <v>4</v>
      </c>
      <c r="E2923" s="35">
        <v>7</v>
      </c>
      <c r="F2923" s="35">
        <v>5</v>
      </c>
      <c r="G2923" s="35">
        <v>2</v>
      </c>
      <c r="H2923" s="1" t="s">
        <v>2</v>
      </c>
      <c r="I2923" s="1"/>
      <c r="J2923" s="1"/>
      <c r="K2923" s="1"/>
      <c r="AA2923" s="1"/>
    </row>
    <row r="2924" spans="1:27" x14ac:dyDescent="0.25">
      <c r="A2924" t="s">
        <v>24</v>
      </c>
      <c r="B2924" t="str">
        <f t="shared" si="47"/>
        <v>No</v>
      </c>
      <c r="C2924" s="35">
        <v>2020</v>
      </c>
      <c r="D2924" s="35">
        <v>2019</v>
      </c>
      <c r="E2924" s="35">
        <v>4</v>
      </c>
      <c r="F2924" s="35">
        <v>3</v>
      </c>
      <c r="G2924" s="35">
        <v>1</v>
      </c>
      <c r="H2924" s="1" t="s">
        <v>2</v>
      </c>
      <c r="I2924" s="1"/>
      <c r="J2924" s="1"/>
      <c r="K2924" s="1"/>
      <c r="AA2924" s="1"/>
    </row>
    <row r="2925" spans="1:27" x14ac:dyDescent="0.25">
      <c r="A2925" t="s">
        <v>24</v>
      </c>
      <c r="B2925" t="str">
        <f t="shared" si="47"/>
        <v>No</v>
      </c>
      <c r="C2925" s="35">
        <v>2020</v>
      </c>
      <c r="D2925" s="35">
        <v>2020</v>
      </c>
      <c r="E2925" s="35">
        <v>3</v>
      </c>
      <c r="F2925" s="35">
        <v>2</v>
      </c>
      <c r="G2925" s="35">
        <v>1</v>
      </c>
      <c r="H2925" s="1" t="s">
        <v>2</v>
      </c>
      <c r="I2925" s="1"/>
      <c r="J2925" s="1"/>
      <c r="K2925" s="1"/>
      <c r="AA2925" s="1"/>
    </row>
    <row r="2926" spans="1:27" x14ac:dyDescent="0.25">
      <c r="A2926" t="s">
        <v>24</v>
      </c>
      <c r="B2926" t="str">
        <f t="shared" si="47"/>
        <v>No</v>
      </c>
      <c r="C2926" s="35">
        <v>2021</v>
      </c>
      <c r="D2926" s="1" t="s">
        <v>4</v>
      </c>
      <c r="E2926" s="35">
        <v>4</v>
      </c>
      <c r="F2926" s="35">
        <v>4</v>
      </c>
      <c r="G2926" s="1" t="s">
        <v>2</v>
      </c>
      <c r="H2926" s="1" t="s">
        <v>2</v>
      </c>
      <c r="I2926" s="1"/>
      <c r="J2926" s="1"/>
      <c r="K2926" s="1"/>
      <c r="AA2926" s="1"/>
    </row>
    <row r="2927" spans="1:27" x14ac:dyDescent="0.25">
      <c r="A2927" t="s">
        <v>24</v>
      </c>
      <c r="B2927" t="str">
        <f t="shared" si="47"/>
        <v>No</v>
      </c>
      <c r="C2927" s="35">
        <v>2021</v>
      </c>
      <c r="D2927" s="35">
        <v>2020</v>
      </c>
      <c r="E2927" s="35">
        <v>2</v>
      </c>
      <c r="F2927" s="35">
        <v>2</v>
      </c>
      <c r="G2927" s="1" t="s">
        <v>2</v>
      </c>
      <c r="H2927" s="1" t="s">
        <v>2</v>
      </c>
      <c r="I2927" s="1"/>
      <c r="J2927" s="1"/>
      <c r="K2927" s="1"/>
      <c r="AA2927" s="1"/>
    </row>
    <row r="2928" spans="1:27" x14ac:dyDescent="0.25">
      <c r="A2928" t="s">
        <v>24</v>
      </c>
      <c r="B2928" t="str">
        <f t="shared" si="47"/>
        <v>No</v>
      </c>
      <c r="C2928" s="35">
        <v>2021</v>
      </c>
      <c r="D2928" s="35">
        <v>2021</v>
      </c>
      <c r="E2928" s="35">
        <v>2</v>
      </c>
      <c r="F2928" s="35">
        <v>2</v>
      </c>
      <c r="G2928" s="1" t="s">
        <v>2</v>
      </c>
      <c r="H2928" s="1" t="s">
        <v>2</v>
      </c>
      <c r="I2928" s="1"/>
      <c r="J2928" s="1"/>
      <c r="K2928" s="1"/>
      <c r="AA2928" s="1"/>
    </row>
    <row r="2929" spans="1:27" x14ac:dyDescent="0.25">
      <c r="A2929" t="s">
        <v>24</v>
      </c>
      <c r="B2929" t="str">
        <f t="shared" si="47"/>
        <v>No</v>
      </c>
      <c r="C2929" s="35">
        <v>2022</v>
      </c>
      <c r="D2929" s="1" t="s">
        <v>4</v>
      </c>
      <c r="E2929" s="35">
        <v>10</v>
      </c>
      <c r="F2929" s="35">
        <v>8</v>
      </c>
      <c r="G2929" s="35">
        <v>2</v>
      </c>
      <c r="H2929" s="1" t="s">
        <v>2</v>
      </c>
      <c r="I2929" s="1"/>
      <c r="J2929" s="1"/>
      <c r="K2929" s="1"/>
      <c r="AA2929" s="1"/>
    </row>
    <row r="2930" spans="1:27" x14ac:dyDescent="0.25">
      <c r="A2930" t="s">
        <v>24</v>
      </c>
      <c r="B2930" t="str">
        <f t="shared" si="47"/>
        <v>No</v>
      </c>
      <c r="C2930" s="35">
        <v>2022</v>
      </c>
      <c r="D2930" s="35">
        <v>2007</v>
      </c>
      <c r="E2930" s="35">
        <v>5</v>
      </c>
      <c r="F2930" s="35">
        <v>3</v>
      </c>
      <c r="G2930" s="35">
        <v>2</v>
      </c>
      <c r="H2930" s="1" t="s">
        <v>2</v>
      </c>
      <c r="I2930" s="1"/>
      <c r="J2930" s="1"/>
      <c r="K2930" s="1"/>
      <c r="AA2930" s="1"/>
    </row>
    <row r="2931" spans="1:27" x14ac:dyDescent="0.25">
      <c r="A2931" t="s">
        <v>24</v>
      </c>
      <c r="B2931" t="str">
        <f t="shared" si="47"/>
        <v>No</v>
      </c>
      <c r="C2931" s="35">
        <v>2022</v>
      </c>
      <c r="D2931" s="35">
        <v>2010</v>
      </c>
      <c r="E2931" s="35">
        <v>2</v>
      </c>
      <c r="F2931" s="35">
        <v>2</v>
      </c>
      <c r="G2931" s="1" t="s">
        <v>2</v>
      </c>
      <c r="H2931" s="1" t="s">
        <v>2</v>
      </c>
      <c r="I2931" s="1"/>
      <c r="J2931" s="1"/>
      <c r="K2931" s="1"/>
      <c r="AA2931" s="1"/>
    </row>
    <row r="2932" spans="1:27" x14ac:dyDescent="0.25">
      <c r="A2932" t="s">
        <v>24</v>
      </c>
      <c r="B2932" t="str">
        <f t="shared" si="47"/>
        <v>No</v>
      </c>
      <c r="C2932" s="35">
        <v>2022</v>
      </c>
      <c r="D2932" s="35">
        <v>2022</v>
      </c>
      <c r="E2932" s="35">
        <v>3</v>
      </c>
      <c r="F2932" s="35">
        <v>3</v>
      </c>
      <c r="G2932" s="1" t="s">
        <v>2</v>
      </c>
      <c r="H2932" s="1" t="s">
        <v>2</v>
      </c>
      <c r="I2932" s="1"/>
      <c r="J2932" s="1"/>
      <c r="K2932" s="1"/>
      <c r="AA2932" s="1"/>
    </row>
    <row r="2933" spans="1:27" x14ac:dyDescent="0.25">
      <c r="A2933" t="s">
        <v>24</v>
      </c>
      <c r="B2933" t="str">
        <f t="shared" si="47"/>
        <v>No</v>
      </c>
      <c r="C2933" s="35">
        <v>2023</v>
      </c>
      <c r="D2933" s="1" t="s">
        <v>4</v>
      </c>
      <c r="E2933" s="35">
        <v>1</v>
      </c>
      <c r="F2933" s="1" t="s">
        <v>2</v>
      </c>
      <c r="G2933" s="35">
        <v>1</v>
      </c>
      <c r="H2933" s="1" t="s">
        <v>2</v>
      </c>
      <c r="I2933" s="1"/>
      <c r="J2933" s="1"/>
      <c r="K2933" s="1"/>
      <c r="AA2933" s="1"/>
    </row>
    <row r="2934" spans="1:27" x14ac:dyDescent="0.25">
      <c r="A2934" t="s">
        <v>24</v>
      </c>
      <c r="B2934" t="str">
        <f t="shared" si="47"/>
        <v>No</v>
      </c>
      <c r="C2934" s="35">
        <v>2023</v>
      </c>
      <c r="D2934" s="35">
        <v>2023</v>
      </c>
      <c r="E2934" s="35">
        <v>1</v>
      </c>
      <c r="F2934" s="1" t="s">
        <v>2</v>
      </c>
      <c r="G2934" s="35">
        <v>1</v>
      </c>
      <c r="H2934" s="1" t="s">
        <v>2</v>
      </c>
      <c r="I2934" s="1"/>
      <c r="J2934" s="1"/>
      <c r="K2934" s="1"/>
      <c r="AA2934" s="1"/>
    </row>
    <row r="2935" spans="1:27" x14ac:dyDescent="0.25">
      <c r="A2935" t="s">
        <v>24</v>
      </c>
      <c r="B2935" t="str">
        <f t="shared" si="47"/>
        <v>No</v>
      </c>
      <c r="C2935" s="35">
        <v>2024</v>
      </c>
      <c r="D2935" s="1" t="s">
        <v>4</v>
      </c>
      <c r="E2935" s="35">
        <v>2</v>
      </c>
      <c r="F2935" s="35">
        <v>2</v>
      </c>
      <c r="G2935" s="1" t="s">
        <v>2</v>
      </c>
      <c r="H2935" s="1" t="s">
        <v>2</v>
      </c>
      <c r="I2935" s="1"/>
      <c r="J2935" s="1"/>
      <c r="K2935" s="1"/>
      <c r="AA2935" s="1"/>
    </row>
    <row r="2936" spans="1:27" x14ac:dyDescent="0.25">
      <c r="A2936" t="s">
        <v>24</v>
      </c>
      <c r="B2936" t="str">
        <f t="shared" si="47"/>
        <v>No</v>
      </c>
      <c r="C2936" s="35">
        <v>2024</v>
      </c>
      <c r="D2936" s="35">
        <v>2024</v>
      </c>
      <c r="E2936" s="35">
        <v>2</v>
      </c>
      <c r="F2936" s="35">
        <v>2</v>
      </c>
      <c r="G2936" s="1" t="s">
        <v>2</v>
      </c>
      <c r="H2936" s="1" t="s">
        <v>2</v>
      </c>
      <c r="I2936" s="1"/>
      <c r="J2936" s="1"/>
      <c r="K2936" s="1"/>
      <c r="AA2936" s="1"/>
    </row>
    <row r="2937" spans="1:27" x14ac:dyDescent="0.25">
      <c r="C2937" s="1"/>
      <c r="D2937" s="1"/>
      <c r="E2937" s="1"/>
      <c r="F2937" s="1"/>
      <c r="G2937" s="1"/>
      <c r="H2937" s="1"/>
      <c r="I2937" s="1"/>
      <c r="J2937" s="1"/>
      <c r="K2937" s="1"/>
      <c r="AA2937" s="1"/>
    </row>
    <row r="2938" spans="1:27" x14ac:dyDescent="0.25">
      <c r="C2938" s="1"/>
      <c r="D2938" s="1"/>
      <c r="E2938" s="1"/>
      <c r="F2938" s="1"/>
      <c r="G2938" s="1"/>
      <c r="H2938" s="1"/>
      <c r="I2938" s="1"/>
      <c r="J2938" s="1"/>
      <c r="K2938" s="1"/>
      <c r="AA2938" s="1"/>
    </row>
    <row r="2939" spans="1:27" x14ac:dyDescent="0.25">
      <c r="C2939" s="1"/>
      <c r="D2939" s="1"/>
      <c r="E2939" s="1"/>
      <c r="F2939" s="1"/>
      <c r="G2939" s="1"/>
      <c r="H2939" s="1"/>
      <c r="I2939" s="1"/>
      <c r="J2939" s="1"/>
      <c r="K2939" s="1"/>
      <c r="AA2939" s="1"/>
    </row>
    <row r="2940" spans="1:27" x14ac:dyDescent="0.25">
      <c r="A2940" t="s">
        <v>95</v>
      </c>
      <c r="C2940" s="1"/>
      <c r="D2940" s="1"/>
      <c r="E2940" s="1"/>
      <c r="F2940" s="1"/>
      <c r="G2940" s="1"/>
      <c r="H2940" s="1"/>
      <c r="I2940" s="1"/>
      <c r="J2940" s="1"/>
      <c r="K2940" s="48"/>
      <c r="AA2940" s="1"/>
    </row>
    <row r="2941" spans="1:27" x14ac:dyDescent="0.25">
      <c r="C2941" s="1"/>
      <c r="D2941" s="1"/>
      <c r="E2941" s="1"/>
      <c r="F2941" s="1"/>
      <c r="G2941" s="1"/>
      <c r="H2941" s="1"/>
      <c r="I2941" s="1"/>
      <c r="J2941" s="1"/>
      <c r="K2941" s="1"/>
      <c r="AA2941" s="1"/>
    </row>
  </sheetData>
  <autoFilter ref="A6:H2936" xr:uid="{00000000-0001-0000-0000-000000000000}"/>
  <mergeCells count="5">
    <mergeCell ref="K1"/>
    <mergeCell ref="K2"/>
    <mergeCell ref="K3"/>
    <mergeCell ref="K4"/>
    <mergeCell ref="K2940"/>
  </mergeCell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2010</vt:lpstr>
      <vt:lpstr>2020</vt:lpstr>
      <vt:lpstr>2010 y 2020</vt:lpstr>
      <vt:lpstr>Serie de defunciones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Ruíz</cp:lastModifiedBy>
  <dcterms:created xsi:type="dcterms:W3CDTF">2026-03-13T02:13:54Z</dcterms:created>
  <dcterms:modified xsi:type="dcterms:W3CDTF">2026-05-14T23:04:27Z</dcterms:modified>
</cp:coreProperties>
</file>