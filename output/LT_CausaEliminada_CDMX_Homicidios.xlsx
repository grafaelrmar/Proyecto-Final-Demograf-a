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Rafa\Proyecto final demografía\Demography_9219\output\"/>
    </mc:Choice>
  </mc:AlternateContent>
  <xr:revisionPtr revIDLastSave="0" documentId="13_ncr:1_{C1CE6945-03D9-4C55-B2F9-8AF7B8E3386C}" xr6:coauthVersionLast="47" xr6:coauthVersionMax="47" xr10:uidLastSave="{00000000-0000-0000-0000-000000000000}"/>
  <bookViews>
    <workbookView xWindow="-120" yWindow="-120" windowWidth="20730" windowHeight="11310" activeTab="3" xr2:uid="{00000000-000D-0000-FFFF-FFFF00000000}"/>
  </bookViews>
  <sheets>
    <sheet name="Introduction" sheetId="2" state="hidden" r:id="rId1"/>
    <sheet name="Coefficients" sheetId="1" state="hidden" r:id="rId2"/>
    <sheet name="Model LTs" sheetId="4" state="hidden" r:id="rId3"/>
    <sheet name="Decrementos Múltiples" sheetId="10" r:id="rId4"/>
    <sheet name="LT" sheetId="11" r:id="rId5"/>
    <sheet name="Homicidios" sheetId="12" r:id="rId6"/>
    <sheet name="Defunciones generales" sheetId="13" r:id="rId7"/>
  </sheets>
  <externalReferences>
    <externalReference r:id="rId8"/>
  </externalReferences>
  <definedNames>
    <definedName name="Coeffs_111">Coefficients!$C$6</definedName>
    <definedName name="Coeffs_112">Coefficients!$N$6</definedName>
    <definedName name="Coeffs_113">Coefficients!$Y$6</definedName>
    <definedName name="Coeffs_121">Coefficients!$C$17</definedName>
    <definedName name="Coeffs_122">Coefficients!$N$17</definedName>
    <definedName name="Coeffs_123">Coefficients!$Y$17</definedName>
    <definedName name="Coeffs_131">Coefficients!$C$28</definedName>
    <definedName name="Coeffs_132">Coefficients!$N$28</definedName>
    <definedName name="Coeffs_133">Coefficients!$Y$28</definedName>
    <definedName name="Coeffs_141">Coefficients!$C$39</definedName>
    <definedName name="Coeffs_142">Coefficients!$N$39</definedName>
    <definedName name="Coeffs_143">Coefficients!$Y$39</definedName>
    <definedName name="Coeffs_211">Coefficients!$C$50</definedName>
    <definedName name="Coeffs_221">Coefficients!$C$61</definedName>
    <definedName name="Coeffs_231">Coefficients!$C$72</definedName>
    <definedName name="Coeffs_241">Coefficients!$C$83</definedName>
    <definedName name="Coeffs_251">Coefficients!$C$94</definedName>
    <definedName name="Family">Coefficients!$AI$9:$AI$10</definedName>
    <definedName name="FamSelect">Coefficients!$AJ$8</definedName>
    <definedName name="Princeton">Coefficients!$AI$13:$AI$16</definedName>
    <definedName name="Sex">Coefficients!$AI$29:$AI$31</definedName>
    <definedName name="TypeSelect">Coefficients!$AJ$23</definedName>
    <definedName name="UN">Coefficients!$AI$17:$AI$21</definedName>
    <definedName name="Variant">Coefficients!$AI$24:$AI$26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5" i="10" l="1"/>
  <c r="K28" i="10"/>
  <c r="K29" i="10"/>
  <c r="K30" i="10"/>
  <c r="K31" i="10"/>
  <c r="K32" i="10"/>
  <c r="K33" i="10"/>
  <c r="K34" i="10"/>
  <c r="K35" i="10"/>
  <c r="K36" i="10"/>
  <c r="K37" i="10"/>
  <c r="K38" i="10"/>
  <c r="K39" i="10"/>
  <c r="K40" i="10"/>
  <c r="K41" i="10"/>
  <c r="K42" i="10"/>
  <c r="K43" i="10"/>
  <c r="K44" i="10"/>
  <c r="K45" i="10"/>
  <c r="K27" i="10"/>
  <c r="J28" i="10"/>
  <c r="J29" i="10"/>
  <c r="J30" i="10"/>
  <c r="J31" i="10"/>
  <c r="J32" i="10"/>
  <c r="J33" i="10"/>
  <c r="J34" i="10"/>
  <c r="J35" i="10"/>
  <c r="J36" i="10"/>
  <c r="J37" i="10"/>
  <c r="J38" i="10"/>
  <c r="J39" i="10"/>
  <c r="J40" i="10"/>
  <c r="J41" i="10"/>
  <c r="J42" i="10"/>
  <c r="J43" i="10"/>
  <c r="J44" i="10"/>
  <c r="J45" i="10"/>
  <c r="J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27" i="10"/>
  <c r="Q22" i="10"/>
  <c r="K5" i="10"/>
  <c r="K6" i="10"/>
  <c r="K7" i="10"/>
  <c r="K8" i="10"/>
  <c r="K9" i="10"/>
  <c r="K10" i="10"/>
  <c r="K11" i="10"/>
  <c r="K12" i="10"/>
  <c r="K13" i="10"/>
  <c r="K14" i="10"/>
  <c r="K15" i="10"/>
  <c r="K16" i="10"/>
  <c r="K17" i="10"/>
  <c r="K18" i="10"/>
  <c r="K19" i="10"/>
  <c r="K20" i="10"/>
  <c r="K21" i="10"/>
  <c r="K22" i="10"/>
  <c r="K4" i="10"/>
  <c r="J5" i="10"/>
  <c r="J6" i="10"/>
  <c r="J7" i="10"/>
  <c r="J8" i="10"/>
  <c r="J9" i="10"/>
  <c r="J10" i="10"/>
  <c r="J11" i="10"/>
  <c r="J12" i="10"/>
  <c r="J13" i="10"/>
  <c r="J14" i="10"/>
  <c r="J15" i="10"/>
  <c r="J16" i="10"/>
  <c r="J17" i="10"/>
  <c r="J18" i="10"/>
  <c r="J19" i="10"/>
  <c r="J20" i="10"/>
  <c r="J21" i="10"/>
  <c r="J22" i="10"/>
  <c r="J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4" i="10"/>
  <c r="I29" i="10" l="1"/>
  <c r="I32" i="10"/>
  <c r="I33" i="10"/>
  <c r="I35" i="10"/>
  <c r="I37" i="10"/>
  <c r="I39" i="10"/>
  <c r="I40" i="10"/>
  <c r="I43" i="10"/>
  <c r="I44" i="10"/>
  <c r="I45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27" i="10"/>
  <c r="I8" i="10"/>
  <c r="I9" i="10"/>
  <c r="I10" i="10"/>
  <c r="I11" i="10"/>
  <c r="I12" i="10"/>
  <c r="I13" i="10"/>
  <c r="I14" i="10"/>
  <c r="I16" i="10"/>
  <c r="I19" i="10"/>
  <c r="I20" i="10"/>
  <c r="I21" i="10"/>
  <c r="I22" i="10"/>
  <c r="I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4" i="10"/>
  <c r="F4" i="10" s="1"/>
  <c r="AA28" i="10"/>
  <c r="I5" i="10"/>
  <c r="V9" i="10"/>
  <c r="AB28" i="10"/>
  <c r="I30" i="10"/>
  <c r="V32" i="10"/>
  <c r="I34" i="10"/>
  <c r="I38" i="10"/>
  <c r="I42" i="10"/>
  <c r="AH5" i="1"/>
  <c r="AJ6" i="1"/>
  <c r="L4" i="10" l="1"/>
  <c r="F6" i="10"/>
  <c r="F28" i="10"/>
  <c r="F41" i="10"/>
  <c r="L41" i="10" s="1"/>
  <c r="M41" i="10" s="1"/>
  <c r="F42" i="10"/>
  <c r="L42" i="10" s="1"/>
  <c r="M42" i="10" s="1"/>
  <c r="F27" i="10"/>
  <c r="F34" i="10"/>
  <c r="L34" i="10" s="1"/>
  <c r="M34" i="10" s="1"/>
  <c r="F16" i="10"/>
  <c r="L16" i="10" s="1"/>
  <c r="M16" i="10" s="1"/>
  <c r="F35" i="10"/>
  <c r="L35" i="10" s="1"/>
  <c r="M35" i="10" s="1"/>
  <c r="F12" i="10"/>
  <c r="L12" i="10" s="1"/>
  <c r="M12" i="10" s="1"/>
  <c r="F31" i="10"/>
  <c r="L31" i="10" s="1"/>
  <c r="M31" i="10" s="1"/>
  <c r="F21" i="10"/>
  <c r="L21" i="10" s="1"/>
  <c r="M21" i="10" s="1"/>
  <c r="P21" i="10" s="1"/>
  <c r="F11" i="10"/>
  <c r="L11" i="10" s="1"/>
  <c r="M11" i="10" s="1"/>
  <c r="F17" i="10"/>
  <c r="L17" i="10" s="1"/>
  <c r="M17" i="10" s="1"/>
  <c r="F45" i="10"/>
  <c r="P45" i="10" s="1"/>
  <c r="F14" i="10"/>
  <c r="L14" i="10" s="1"/>
  <c r="M14" i="10" s="1"/>
  <c r="F19" i="10"/>
  <c r="L19" i="10" s="1"/>
  <c r="M19" i="10" s="1"/>
  <c r="F5" i="10"/>
  <c r="F43" i="10"/>
  <c r="L43" i="10" s="1"/>
  <c r="M43" i="10" s="1"/>
  <c r="F15" i="10"/>
  <c r="L15" i="10" s="1"/>
  <c r="M15" i="10" s="1"/>
  <c r="L6" i="10"/>
  <c r="M6" i="10" s="1"/>
  <c r="F37" i="10"/>
  <c r="L37" i="10" s="1"/>
  <c r="M37" i="10" s="1"/>
  <c r="F44" i="10"/>
  <c r="F30" i="10"/>
  <c r="L30" i="10" s="1"/>
  <c r="M30" i="10" s="1"/>
  <c r="F39" i="10"/>
  <c r="L39" i="10" s="1"/>
  <c r="M39" i="10" s="1"/>
  <c r="F32" i="10"/>
  <c r="L32" i="10" s="1"/>
  <c r="M32" i="10" s="1"/>
  <c r="F40" i="10"/>
  <c r="L40" i="10" s="1"/>
  <c r="M40" i="10" s="1"/>
  <c r="F10" i="10"/>
  <c r="L10" i="10" s="1"/>
  <c r="M10" i="10" s="1"/>
  <c r="F9" i="10"/>
  <c r="L9" i="10" s="1"/>
  <c r="M9" i="10" s="1"/>
  <c r="F33" i="10"/>
  <c r="L33" i="10" s="1"/>
  <c r="M33" i="10" s="1"/>
  <c r="F36" i="10"/>
  <c r="L36" i="10" s="1"/>
  <c r="M36" i="10" s="1"/>
  <c r="F29" i="10"/>
  <c r="F22" i="10"/>
  <c r="L22" i="10" s="1"/>
  <c r="M22" i="10" s="1"/>
  <c r="I41" i="10"/>
  <c r="F20" i="10"/>
  <c r="L20" i="10" s="1"/>
  <c r="M20" i="10" s="1"/>
  <c r="F38" i="10"/>
  <c r="L38" i="10" s="1"/>
  <c r="M38" i="10" s="1"/>
  <c r="L28" i="10"/>
  <c r="M28" i="10" s="1"/>
  <c r="I28" i="10"/>
  <c r="F18" i="10"/>
  <c r="L18" i="10" s="1"/>
  <c r="M18" i="10" s="1"/>
  <c r="I17" i="10"/>
  <c r="I36" i="10"/>
  <c r="F13" i="10"/>
  <c r="L13" i="10" s="1"/>
  <c r="M13" i="10" s="1"/>
  <c r="I15" i="10"/>
  <c r="I27" i="10"/>
  <c r="I7" i="10"/>
  <c r="I31" i="10"/>
  <c r="F7" i="10"/>
  <c r="L7" i="10" s="1"/>
  <c r="M7" i="10" s="1"/>
  <c r="I18" i="10"/>
  <c r="F8" i="10"/>
  <c r="L8" i="10" s="1"/>
  <c r="M8" i="10" s="1"/>
  <c r="I6" i="10"/>
  <c r="AJ28" i="1"/>
  <c r="L27" i="10" l="1"/>
  <c r="M27" i="10" s="1"/>
  <c r="P27" i="10" s="1"/>
  <c r="L29" i="10"/>
  <c r="M29" i="10" s="1"/>
  <c r="P29" i="10" s="1"/>
  <c r="L44" i="10"/>
  <c r="M44" i="10" s="1"/>
  <c r="P44" i="10" s="1"/>
  <c r="P28" i="10"/>
  <c r="L5" i="10"/>
  <c r="M5" i="10" s="1"/>
  <c r="P5" i="10" s="1"/>
  <c r="P22" i="10"/>
  <c r="L45" i="10"/>
  <c r="M45" i="10" s="1"/>
  <c r="P6" i="10"/>
  <c r="N5" i="10"/>
  <c r="M4" i="10"/>
  <c r="AJ8" i="1"/>
  <c r="AJ23" i="1"/>
  <c r="N28" i="10" l="1"/>
  <c r="O4" i="10"/>
  <c r="P4" i="10"/>
  <c r="O5" i="10"/>
  <c r="N6" i="10"/>
  <c r="O28" i="10"/>
  <c r="N29" i="10"/>
  <c r="O27" i="10"/>
  <c r="Q27" i="10" s="1"/>
  <c r="AJ12" i="1"/>
  <c r="Q4" i="10" l="1"/>
  <c r="Q5" i="10"/>
  <c r="O6" i="10"/>
  <c r="N7" i="10"/>
  <c r="Q28" i="10"/>
  <c r="N30" i="10"/>
  <c r="O29" i="10"/>
  <c r="AN25" i="1"/>
  <c r="AN23" i="1"/>
  <c r="AN19" i="1"/>
  <c r="AN22" i="1"/>
  <c r="AN21" i="1"/>
  <c r="AN24" i="1"/>
  <c r="AN20" i="1"/>
  <c r="AN18" i="1"/>
  <c r="AJ33" i="1"/>
  <c r="AM5" i="1"/>
  <c r="C23" i="2" s="1"/>
  <c r="AS10" i="1"/>
  <c r="AV13" i="1"/>
  <c r="AP7" i="1"/>
  <c r="AS8" i="1"/>
  <c r="AO7" i="1"/>
  <c r="AV11" i="1"/>
  <c r="AO11" i="1"/>
  <c r="AN9" i="1"/>
  <c r="AM12" i="1"/>
  <c r="AV12" i="1"/>
  <c r="AM10" i="1"/>
  <c r="AO10" i="1"/>
  <c r="AP11" i="1"/>
  <c r="AN13" i="1"/>
  <c r="AT13" i="1"/>
  <c r="AR8" i="1"/>
  <c r="AT11" i="1"/>
  <c r="AR10" i="1"/>
  <c r="AV8" i="1"/>
  <c r="AT10" i="1"/>
  <c r="AV9" i="1"/>
  <c r="AT8" i="1"/>
  <c r="AP13" i="1"/>
  <c r="AR12" i="1"/>
  <c r="AO9" i="1"/>
  <c r="AN8" i="1"/>
  <c r="AP8" i="1"/>
  <c r="AP9" i="1"/>
  <c r="AO13" i="1"/>
  <c r="AR7" i="1"/>
  <c r="AV7" i="1"/>
  <c r="AN12" i="1"/>
  <c r="AR9" i="1"/>
  <c r="AS13" i="1"/>
  <c r="AP12" i="1"/>
  <c r="AS12" i="1"/>
  <c r="AT12" i="1"/>
  <c r="AT9" i="1"/>
  <c r="AO8" i="1"/>
  <c r="AN10" i="1"/>
  <c r="AV10" i="1"/>
  <c r="AR11" i="1"/>
  <c r="AM9" i="1"/>
  <c r="AT7" i="1"/>
  <c r="AM13" i="1"/>
  <c r="AO12" i="1"/>
  <c r="AN11" i="1"/>
  <c r="AM8" i="1"/>
  <c r="AM11" i="1"/>
  <c r="AM7" i="1"/>
  <c r="AN7" i="1"/>
  <c r="AP10" i="1"/>
  <c r="AR13" i="1"/>
  <c r="AS9" i="1"/>
  <c r="AS11" i="1"/>
  <c r="AS7" i="1"/>
  <c r="O30" i="10" l="1"/>
  <c r="N31" i="10"/>
  <c r="Q29" i="10"/>
  <c r="N8" i="10"/>
  <c r="Q6" i="10"/>
  <c r="O7" i="10"/>
  <c r="N32" i="10" l="1"/>
  <c r="O31" i="10"/>
  <c r="P30" i="10" s="1"/>
  <c r="O8" i="10"/>
  <c r="N9" i="10"/>
  <c r="N33" i="10" l="1"/>
  <c r="O32" i="10"/>
  <c r="P31" i="10" s="1"/>
  <c r="O9" i="10"/>
  <c r="N10" i="10"/>
  <c r="Q30" i="10"/>
  <c r="P7" i="10"/>
  <c r="Q7" i="10" s="1"/>
  <c r="O10" i="10" l="1"/>
  <c r="P9" i="10" s="1"/>
  <c r="Q9" i="10" s="1"/>
  <c r="N11" i="10"/>
  <c r="Q31" i="10"/>
  <c r="N34" i="10"/>
  <c r="O33" i="10"/>
  <c r="P32" i="10" s="1"/>
  <c r="P8" i="10"/>
  <c r="Q8" i="10" s="1"/>
  <c r="Q32" i="10" l="1"/>
  <c r="O34" i="10"/>
  <c r="P33" i="10" s="1"/>
  <c r="Q33" i="10" s="1"/>
  <c r="N35" i="10"/>
  <c r="N12" i="10"/>
  <c r="O11" i="10"/>
  <c r="P10" i="10" l="1"/>
  <c r="Q10" i="10" s="1"/>
  <c r="O12" i="10"/>
  <c r="N13" i="10"/>
  <c r="O35" i="10"/>
  <c r="N36" i="10"/>
  <c r="N37" i="10" l="1"/>
  <c r="O36" i="10"/>
  <c r="P34" i="10"/>
  <c r="Q34" i="10" s="1"/>
  <c r="P11" i="10"/>
  <c r="Q11" i="10" s="1"/>
  <c r="O13" i="10"/>
  <c r="N14" i="10"/>
  <c r="P35" i="10" l="1"/>
  <c r="Q35" i="10" s="1"/>
  <c r="P12" i="10"/>
  <c r="Q12" i="10" s="1"/>
  <c r="O14" i="10"/>
  <c r="N15" i="10"/>
  <c r="O37" i="10"/>
  <c r="N38" i="10"/>
  <c r="O38" i="10" l="1"/>
  <c r="P37" i="10" s="1"/>
  <c r="Q37" i="10" s="1"/>
  <c r="N39" i="10"/>
  <c r="P36" i="10"/>
  <c r="Q36" i="10" s="1"/>
  <c r="O15" i="10"/>
  <c r="P14" i="10" s="1"/>
  <c r="Q14" i="10" s="1"/>
  <c r="N16" i="10"/>
  <c r="P13" i="10"/>
  <c r="Q13" i="10" s="1"/>
  <c r="O39" i="10" l="1"/>
  <c r="N40" i="10"/>
  <c r="N17" i="10"/>
  <c r="O16" i="10"/>
  <c r="O17" i="10" l="1"/>
  <c r="P16" i="10" s="1"/>
  <c r="Q16" i="10" s="1"/>
  <c r="N18" i="10"/>
  <c r="P38" i="10"/>
  <c r="Q38" i="10" s="1"/>
  <c r="N41" i="10"/>
  <c r="O40" i="10"/>
  <c r="P15" i="10"/>
  <c r="Q15" i="10" s="1"/>
  <c r="N42" i="10" l="1"/>
  <c r="O41" i="10"/>
  <c r="P40" i="10" s="1"/>
  <c r="Q40" i="10" s="1"/>
  <c r="O18" i="10"/>
  <c r="P17" i="10" s="1"/>
  <c r="Q17" i="10" s="1"/>
  <c r="N19" i="10"/>
  <c r="P39" i="10"/>
  <c r="Q39" i="10" s="1"/>
  <c r="O19" i="10" l="1"/>
  <c r="N20" i="10"/>
  <c r="N43" i="10"/>
  <c r="O42" i="10"/>
  <c r="P41" i="10" l="1"/>
  <c r="Q41" i="10" s="1"/>
  <c r="O43" i="10"/>
  <c r="P42" i="10" s="1"/>
  <c r="Q42" i="10" s="1"/>
  <c r="N44" i="10"/>
  <c r="O20" i="10"/>
  <c r="P19" i="10" s="1"/>
  <c r="Q19" i="10" s="1"/>
  <c r="N21" i="10"/>
  <c r="P18" i="10"/>
  <c r="Q18" i="10" s="1"/>
  <c r="O21" i="10" l="1"/>
  <c r="P20" i="10" s="1"/>
  <c r="Q20" i="10" s="1"/>
  <c r="N22" i="10"/>
  <c r="O44" i="10"/>
  <c r="N45" i="10"/>
  <c r="P43" i="10" l="1"/>
  <c r="Q43" i="10" s="1"/>
  <c r="Q21" i="10"/>
  <c r="O22" i="10"/>
  <c r="Q44" i="10"/>
  <c r="O45" i="10"/>
  <c r="R45" i="10" s="1"/>
  <c r="R22" i="10" l="1"/>
  <c r="R21" i="10" s="1"/>
  <c r="R44" i="10"/>
  <c r="S45" i="10"/>
  <c r="T45" i="10" s="1"/>
  <c r="S22" i="10" l="1"/>
  <c r="T22" i="10" s="1"/>
  <c r="R43" i="10"/>
  <c r="S44" i="10"/>
  <c r="T44" i="10" s="1"/>
  <c r="R20" i="10"/>
  <c r="S21" i="10"/>
  <c r="T21" i="10" s="1"/>
  <c r="S43" i="10" l="1"/>
  <c r="T43" i="10" s="1"/>
  <c r="R42" i="10"/>
  <c r="R19" i="10"/>
  <c r="S20" i="10"/>
  <c r="T20" i="10" s="1"/>
  <c r="R18" i="10" l="1"/>
  <c r="S19" i="10"/>
  <c r="T19" i="10" s="1"/>
  <c r="S42" i="10"/>
  <c r="T42" i="10" s="1"/>
  <c r="R41" i="10"/>
  <c r="R40" i="10" l="1"/>
  <c r="S41" i="10"/>
  <c r="T41" i="10" s="1"/>
  <c r="R17" i="10"/>
  <c r="S18" i="10"/>
  <c r="T18" i="10" s="1"/>
  <c r="S17" i="10" l="1"/>
  <c r="T17" i="10" s="1"/>
  <c r="R16" i="10"/>
  <c r="S40" i="10"/>
  <c r="T40" i="10" s="1"/>
  <c r="R39" i="10"/>
  <c r="R38" i="10" l="1"/>
  <c r="S39" i="10"/>
  <c r="T39" i="10" s="1"/>
  <c r="S16" i="10"/>
  <c r="T16" i="10" s="1"/>
  <c r="R15" i="10"/>
  <c r="R14" i="10" l="1"/>
  <c r="S15" i="10"/>
  <c r="T15" i="10" s="1"/>
  <c r="R37" i="10"/>
  <c r="S38" i="10"/>
  <c r="T38" i="10" s="1"/>
  <c r="R36" i="10" l="1"/>
  <c r="S37" i="10"/>
  <c r="T37" i="10" s="1"/>
  <c r="S14" i="10"/>
  <c r="T14" i="10" s="1"/>
  <c r="R13" i="10"/>
  <c r="R12" i="10" l="1"/>
  <c r="S13" i="10"/>
  <c r="T13" i="10" s="1"/>
  <c r="R35" i="10"/>
  <c r="S36" i="10"/>
  <c r="T36" i="10" s="1"/>
  <c r="S12" i="10" l="1"/>
  <c r="T12" i="10" s="1"/>
  <c r="R11" i="10"/>
  <c r="S35" i="10"/>
  <c r="T35" i="10" s="1"/>
  <c r="R34" i="10"/>
  <c r="S34" i="10" l="1"/>
  <c r="T34" i="10" s="1"/>
  <c r="R33" i="10"/>
  <c r="R10" i="10"/>
  <c r="S11" i="10"/>
  <c r="T11" i="10" s="1"/>
  <c r="S10" i="10" l="1"/>
  <c r="T10" i="10" s="1"/>
  <c r="R9" i="10"/>
  <c r="R32" i="10"/>
  <c r="S33" i="10"/>
  <c r="T33" i="10" s="1"/>
  <c r="R8" i="10" l="1"/>
  <c r="S9" i="10"/>
  <c r="T9" i="10" s="1"/>
  <c r="R31" i="10"/>
  <c r="S32" i="10"/>
  <c r="T32" i="10" s="1"/>
  <c r="R30" i="10" l="1"/>
  <c r="S31" i="10"/>
  <c r="T31" i="10" s="1"/>
  <c r="R7" i="10"/>
  <c r="S8" i="10"/>
  <c r="T8" i="10" s="1"/>
  <c r="S7" i="10" l="1"/>
  <c r="T7" i="10" s="1"/>
  <c r="R6" i="10"/>
  <c r="S30" i="10"/>
  <c r="T30" i="10" s="1"/>
  <c r="R29" i="10"/>
  <c r="S29" i="10" l="1"/>
  <c r="T29" i="10" s="1"/>
  <c r="R28" i="10"/>
  <c r="R5" i="10"/>
  <c r="S6" i="10"/>
  <c r="T6" i="10" s="1"/>
  <c r="R4" i="10" l="1"/>
  <c r="S5" i="10"/>
  <c r="T5" i="10" s="1"/>
  <c r="R27" i="10"/>
  <c r="S28" i="10"/>
  <c r="T28" i="10" s="1"/>
  <c r="S27" i="10" l="1"/>
  <c r="W32" i="10"/>
  <c r="W33" i="10" s="1"/>
  <c r="W9" i="10"/>
  <c r="W10" i="10" s="1"/>
  <c r="S4" i="10"/>
  <c r="T4" i="10" l="1"/>
  <c r="AA27" i="10"/>
  <c r="AA29" i="10" s="1"/>
  <c r="T27" i="10"/>
  <c r="AB27" i="10"/>
  <c r="AB29" i="10" s="1"/>
</calcChain>
</file>

<file path=xl/sharedStrings.xml><?xml version="1.0" encoding="utf-8"?>
<sst xmlns="http://schemas.openxmlformats.org/spreadsheetml/2006/main" count="6710" uniqueCount="136">
  <si>
    <t>15-19</t>
  </si>
  <si>
    <t>20-24</t>
  </si>
  <si>
    <t>25-29</t>
  </si>
  <si>
    <t>30-34</t>
  </si>
  <si>
    <t>35-39</t>
  </si>
  <si>
    <t>40-44</t>
  </si>
  <si>
    <t>45-49</t>
  </si>
  <si>
    <t>Princeton</t>
  </si>
  <si>
    <t>a(x,j)</t>
  </si>
  <si>
    <t>b(x,j)</t>
  </si>
  <si>
    <t>c(x,j)</t>
  </si>
  <si>
    <t>d(x,j)</t>
  </si>
  <si>
    <t>e(x,j)</t>
  </si>
  <si>
    <t>f(x,j)</t>
  </si>
  <si>
    <t>g(x,j)</t>
  </si>
  <si>
    <t>Conversion of D into q</t>
  </si>
  <si>
    <t>Time location</t>
  </si>
  <si>
    <t>Princeton - North</t>
  </si>
  <si>
    <t>Princeton - South</t>
  </si>
  <si>
    <t>Princeton - East</t>
  </si>
  <si>
    <t>Princeton - West</t>
  </si>
  <si>
    <t>UN - Latin America</t>
  </si>
  <si>
    <t>UN - Chile</t>
  </si>
  <si>
    <t>UN - South Asian</t>
  </si>
  <si>
    <t>UN - Far Eastern</t>
  </si>
  <si>
    <t>UN - General</t>
  </si>
  <si>
    <t>Age of mother</t>
  </si>
  <si>
    <t>BY AGE OF MOTHER</t>
  </si>
  <si>
    <t>x</t>
  </si>
  <si>
    <t>0-4</t>
  </si>
  <si>
    <t>5-9</t>
  </si>
  <si>
    <t>10-14</t>
  </si>
  <si>
    <t>Princeton North</t>
  </si>
  <si>
    <t>UN South Asian</t>
  </si>
  <si>
    <t>UN General</t>
  </si>
  <si>
    <t>Duration since first birth</t>
  </si>
  <si>
    <t>Duration since marriage</t>
  </si>
  <si>
    <t>Princeton South</t>
  </si>
  <si>
    <t>Princeton East</t>
  </si>
  <si>
    <t>Princeton West</t>
  </si>
  <si>
    <t>UN</t>
  </si>
  <si>
    <t>North</t>
  </si>
  <si>
    <t>South</t>
  </si>
  <si>
    <t>East</t>
  </si>
  <si>
    <t>West</t>
  </si>
  <si>
    <t>Latin America</t>
  </si>
  <si>
    <t>South Asian</t>
  </si>
  <si>
    <t>Far East</t>
  </si>
  <si>
    <t>General</t>
  </si>
  <si>
    <t>Census date</t>
  </si>
  <si>
    <t>Country</t>
  </si>
  <si>
    <t>Metric</t>
  </si>
  <si>
    <t>Model LTs</t>
  </si>
  <si>
    <t>Age</t>
  </si>
  <si>
    <t>Sex</t>
  </si>
  <si>
    <t>Male</t>
  </si>
  <si>
    <t>Female</t>
  </si>
  <si>
    <t>Both</t>
  </si>
  <si>
    <t>Females</t>
  </si>
  <si>
    <t>Males</t>
  </si>
  <si>
    <t>Combined</t>
  </si>
  <si>
    <t>Mean age of childbearing</t>
  </si>
  <si>
    <t>UN Latin American</t>
  </si>
  <si>
    <t>UN Chilean</t>
  </si>
  <si>
    <t>UN Far Eastern</t>
  </si>
  <si>
    <t>Selected LT</t>
  </si>
  <si>
    <t>Malawi</t>
  </si>
  <si>
    <t xml:space="preserve">This method is described at: </t>
  </si>
  <si>
    <t>Set input parameters</t>
  </si>
  <si>
    <t>This spreadsheet estimates child mortality from data on the mean number of children ever born and surviving by age of mother, the duration since first birth, or duration since marriage.</t>
  </si>
  <si>
    <t>Enter the country name and data descriptor in the green cell to the right.</t>
  </si>
  <si>
    <t>Record the date of the inquiry in the green cell to the right.</t>
  </si>
  <si>
    <t>Set the mortality parameters for the method in the green cells to the right.</t>
  </si>
  <si>
    <t>Variant of method</t>
  </si>
  <si>
    <t>Family of model life tables</t>
  </si>
  <si>
    <t>Mortality pattern</t>
  </si>
  <si>
    <t>Chile</t>
  </si>
  <si>
    <t xml:space="preserve">Specify the variant of the model to be fitted. </t>
  </si>
  <si>
    <t>Estimation of child mortality using data on children ever born and children surviving - Instructions</t>
  </si>
  <si>
    <t>Results</t>
  </si>
  <si>
    <r>
      <t xml:space="preserve">Estimates of infant mortality, </t>
    </r>
    <r>
      <rPr>
        <i/>
        <sz val="12"/>
        <rFont val="Arial"/>
        <family val="2"/>
      </rPr>
      <t>q(</t>
    </r>
    <r>
      <rPr>
        <sz val="12"/>
        <rFont val="Arial"/>
        <family val="2"/>
      </rPr>
      <t xml:space="preserve">1), and child mortality, </t>
    </r>
    <r>
      <rPr>
        <i/>
        <sz val="12"/>
        <rFont val="Arial"/>
        <family val="2"/>
      </rPr>
      <t>q</t>
    </r>
    <r>
      <rPr>
        <sz val="12"/>
        <rFont val="Arial"/>
        <family val="2"/>
      </rPr>
      <t xml:space="preserve">(5), are located in cells </t>
    </r>
    <r>
      <rPr>
        <b/>
        <sz val="12"/>
        <rFont val="Arial"/>
        <family val="2"/>
      </rPr>
      <t>L5:M10</t>
    </r>
    <r>
      <rPr>
        <sz val="12"/>
        <rFont val="Arial"/>
        <family val="2"/>
      </rPr>
      <t xml:space="preserve"> of the </t>
    </r>
    <r>
      <rPr>
        <b/>
        <i/>
        <sz val="12"/>
        <rFont val="Arial"/>
        <family val="2"/>
      </rPr>
      <t>Method</t>
    </r>
    <r>
      <rPr>
        <sz val="12"/>
        <rFont val="Arial"/>
        <family val="2"/>
      </rPr>
      <t xml:space="preserve"> sheet.</t>
    </r>
  </si>
  <si>
    <r>
      <t xml:space="preserve">Time locations of these estimates are located in cells </t>
    </r>
    <r>
      <rPr>
        <b/>
        <sz val="12"/>
        <rFont val="Arial"/>
        <family val="2"/>
      </rPr>
      <t>K5:K10</t>
    </r>
    <r>
      <rPr>
        <sz val="12"/>
        <rFont val="Arial"/>
        <family val="2"/>
      </rPr>
      <t xml:space="preserve"> of the </t>
    </r>
    <r>
      <rPr>
        <b/>
        <i/>
        <sz val="12"/>
        <rFont val="Arial"/>
        <family val="2"/>
      </rPr>
      <t xml:space="preserve"> Method</t>
    </r>
    <r>
      <rPr>
        <sz val="12"/>
        <rFont val="Arial"/>
        <family val="2"/>
      </rPr>
      <t xml:space="preserve"> sheet.</t>
    </r>
  </si>
  <si>
    <t>Duration</t>
  </si>
  <si>
    <t>BY DURATION SINCE FIRST BIRTH</t>
  </si>
  <si>
    <t>BY DURATION SINCE MARRIAGE</t>
  </si>
  <si>
    <t>Model variant</t>
  </si>
  <si>
    <t>Model family</t>
  </si>
  <si>
    <t>Model pattern</t>
  </si>
  <si>
    <t>Valid combinations</t>
  </si>
  <si>
    <t>logits with e0 = 60</t>
  </si>
  <si>
    <t>logit l(x)</t>
  </si>
  <si>
    <t>http://demographicestimation.iussp.org/content/indirect-estimation-child-mortality</t>
  </si>
  <si>
    <r>
      <t xml:space="preserve">Place the mean number of children ever born, tabulated according to the variant of the model in cells </t>
    </r>
    <r>
      <rPr>
        <b/>
        <sz val="12"/>
        <rFont val="Arial"/>
        <family val="2"/>
      </rPr>
      <t>B5:B11</t>
    </r>
    <r>
      <rPr>
        <sz val="12"/>
        <rFont val="Arial"/>
        <family val="2"/>
      </rPr>
      <t xml:space="preserve"> of the </t>
    </r>
    <r>
      <rPr>
        <b/>
        <i/>
        <sz val="12"/>
        <rFont val="Arial"/>
        <family val="2"/>
      </rPr>
      <t xml:space="preserve">Method </t>
    </r>
    <r>
      <rPr>
        <sz val="12"/>
        <rFont val="Arial"/>
        <family val="2"/>
      </rPr>
      <t>sheet.</t>
    </r>
  </si>
  <si>
    <r>
      <t xml:space="preserve">Place the mean number of children surviving, tabulated according to the variant of the model in cells </t>
    </r>
    <r>
      <rPr>
        <b/>
        <sz val="12"/>
        <rFont val="Arial"/>
        <family val="2"/>
      </rPr>
      <t>C5:C11</t>
    </r>
    <r>
      <rPr>
        <sz val="12"/>
        <rFont val="Arial"/>
        <family val="2"/>
      </rPr>
      <t xml:space="preserve"> of the </t>
    </r>
    <r>
      <rPr>
        <b/>
        <i/>
        <sz val="12"/>
        <rFont val="Arial"/>
        <family val="2"/>
      </rPr>
      <t xml:space="preserve">Method </t>
    </r>
    <r>
      <rPr>
        <sz val="12"/>
        <rFont val="Arial"/>
        <family val="2"/>
      </rPr>
      <t>sheet.</t>
    </r>
  </si>
  <si>
    <t>México</t>
  </si>
  <si>
    <t>Diff</t>
  </si>
  <si>
    <t>Con COVID</t>
  </si>
  <si>
    <t>Sin COVID</t>
  </si>
  <si>
    <t>Número de años que se espera 
que viva una mujer de 0 años 
hasta llegar a los 85 años.</t>
  </si>
  <si>
    <t>diff</t>
  </si>
  <si>
    <t>e0_i</t>
  </si>
  <si>
    <t>T</t>
  </si>
  <si>
    <t>L</t>
  </si>
  <si>
    <t>ndx_i</t>
  </si>
  <si>
    <t>nqx_i</t>
  </si>
  <si>
    <t>e0</t>
  </si>
  <si>
    <t>nqx</t>
  </si>
  <si>
    <t>nDxi</t>
  </si>
  <si>
    <t>nDx</t>
  </si>
  <si>
    <t>n</t>
  </si>
  <si>
    <t>Age x</t>
  </si>
  <si>
    <t>Número de años que se espera 
que viva un hombre de 0 años 
hasta llegar a los 85 años.</t>
  </si>
  <si>
    <t>Mujeres</t>
  </si>
  <si>
    <t>Hombres</t>
  </si>
  <si>
    <t>Hombres, 2019</t>
  </si>
  <si>
    <t>Mujeres, 2019</t>
  </si>
  <si>
    <t>year</t>
  </si>
  <si>
    <t>sex</t>
  </si>
  <si>
    <t>age</t>
  </si>
  <si>
    <t>deaths</t>
  </si>
  <si>
    <t>male</t>
  </si>
  <si>
    <t>female</t>
  </si>
  <si>
    <t>mx</t>
  </si>
  <si>
    <t>qx</t>
  </si>
  <si>
    <t>ax</t>
  </si>
  <si>
    <t>lx</t>
  </si>
  <si>
    <t>dx</t>
  </si>
  <si>
    <t>Lx</t>
  </si>
  <si>
    <t>Tx</t>
  </si>
  <si>
    <t>ex</t>
  </si>
  <si>
    <t>m</t>
  </si>
  <si>
    <t>NA</t>
  </si>
  <si>
    <t>Sin homicidios</t>
  </si>
  <si>
    <t>Con homicidios</t>
  </si>
  <si>
    <t xml:space="preserve"> 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</si>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</sst>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000"/>
    <numFmt numFmtId="165" formatCode="0.000"/>
    <numFmt numFmtId="166" formatCode="General_)"/>
    <numFmt numFmtId="167" formatCode="0_)"/>
    <numFmt numFmtId="168" formatCode="0.0000_)"/>
    <numFmt numFmtId="169" formatCode="0.000_)"/>
    <numFmt numFmtId="170" formatCode="0.00000_)"/>
    <numFmt numFmtId="171" formatCode="0.00000"/>
    <numFmt numFmtId="172" formatCode="#,##0.0000"/>
  </numFmts>
  <fonts count="29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2"/>
      <name val="Courier"/>
      <family val="3"/>
    </font>
    <font>
      <b/>
      <sz val="11"/>
      <name val="Arial Narrow"/>
      <family val="2"/>
    </font>
    <font>
      <sz val="12"/>
      <name val="Helv"/>
    </font>
    <font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u/>
      <sz val="10"/>
      <color theme="10"/>
      <name val="Arial"/>
      <family val="2"/>
    </font>
    <font>
      <u/>
      <sz val="12"/>
      <color theme="10"/>
      <name val="Arial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  <font>
      <b/>
      <sz val="12"/>
      <color rgb="FF006100"/>
      <name val="Arial"/>
      <family val="2"/>
    </font>
    <font>
      <sz val="12"/>
      <color rgb="FF006100"/>
      <name val="Arial"/>
      <family val="2"/>
    </font>
    <font>
      <sz val="10"/>
      <color theme="1"/>
      <name val="Arial"/>
      <family val="2"/>
    </font>
    <font>
      <b/>
      <sz val="11"/>
      <color theme="1"/>
      <name val="Arial Narrow"/>
      <family val="2"/>
    </font>
    <font>
      <b/>
      <i/>
      <sz val="11"/>
      <color theme="1"/>
      <name val="Arial Narrow"/>
      <family val="2"/>
    </font>
    <font>
      <b/>
      <i/>
      <sz val="12"/>
      <name val="Arial"/>
      <family val="2"/>
    </font>
    <font>
      <i/>
      <sz val="12"/>
      <name val="Arial"/>
      <family val="2"/>
    </font>
    <font>
      <i/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Georgia"/>
      <family val="1"/>
    </font>
    <font>
      <sz val="11"/>
      <name val="Calibri"/>
      <family val="2"/>
    </font>
    <font>
      <sz val="11"/>
      <color theme="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Georgia"/>
      <family val="1"/>
    </font>
    <font>
      <sz val="8"/>
      <color rgb="FF000000"/>
      <name val="Segoe UI"/>
      <family val="2"/>
    </font>
    <font>
      <i/>
      <sz val="8"/>
      <color rgb="FFB0B0B0"/>
      <name val="Segoe UI"/>
      <family val="2"/>
    </font>
  </fonts>
  <fills count="1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rgb="FFFFFF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rgb="FFFFFF00"/>
      </patternFill>
    </fill>
    <fill>
      <patternFill patternType="solid">
        <fgColor theme="8" tint="0.39997558519241921"/>
        <bgColor rgb="FFFFFF00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/>
        <bgColor rgb="FFFFFF00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9" tint="-0.249977111117893"/>
      </left>
      <right/>
      <top style="thin">
        <color theme="9" tint="-0.249977111117893"/>
      </top>
      <bottom style="thin">
        <color theme="9" tint="-0.249977111117893"/>
      </bottom>
      <diagonal/>
    </border>
    <border>
      <left/>
      <right style="thin">
        <color theme="9" tint="-0.249977111117893"/>
      </right>
      <top style="thin">
        <color theme="9" tint="-0.249977111117893"/>
      </top>
      <bottom style="thin">
        <color theme="9" tint="-0.249977111117893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D6DADC"/>
      </right>
      <top/>
      <bottom style="medium">
        <color rgb="FFD6DADC"/>
      </bottom>
      <diagonal/>
    </border>
  </borders>
  <cellStyleXfs count="6">
    <xf numFmtId="0" fontId="0" fillId="0" borderId="0"/>
    <xf numFmtId="0" fontId="1" fillId="2" borderId="0" applyNumberFormat="0" applyBorder="0" applyAlignment="0" applyProtection="0"/>
    <xf numFmtId="166" fontId="2" fillId="0" borderId="0"/>
    <xf numFmtId="167" fontId="4" fillId="0" borderId="0"/>
    <xf numFmtId="0" fontId="5" fillId="0" borderId="0"/>
    <xf numFmtId="0" fontId="8" fillId="0" borderId="0" applyNumberFormat="0" applyFill="0" applyBorder="0" applyAlignment="0" applyProtection="0">
      <alignment vertical="top"/>
      <protection locked="0"/>
    </xf>
  </cellStyleXfs>
  <cellXfs count="179">
    <xf numFmtId="0" fontId="0" fillId="0" borderId="0" xfId="0"/>
    <xf numFmtId="0" fontId="7" fillId="0" borderId="0" xfId="4" applyFont="1"/>
    <xf numFmtId="0" fontId="7" fillId="0" borderId="0" xfId="4" applyFont="1" applyAlignment="1">
      <alignment wrapText="1"/>
    </xf>
    <xf numFmtId="0" fontId="6" fillId="0" borderId="0" xfId="4" applyFont="1"/>
    <xf numFmtId="0" fontId="7" fillId="0" borderId="0" xfId="4" applyFont="1" applyAlignment="1">
      <alignment vertical="center"/>
    </xf>
    <xf numFmtId="0" fontId="7" fillId="0" borderId="0" xfId="4" applyFont="1" applyAlignment="1">
      <alignment vertical="top" wrapText="1"/>
    </xf>
    <xf numFmtId="0" fontId="7" fillId="0" borderId="0" xfId="4" applyFont="1" applyAlignment="1">
      <alignment vertical="top"/>
    </xf>
    <xf numFmtId="0" fontId="10" fillId="0" borderId="0" xfId="0" applyFont="1"/>
    <xf numFmtId="0" fontId="7" fillId="0" borderId="13" xfId="4" applyFont="1" applyBorder="1" applyAlignment="1">
      <alignment horizontal="right"/>
    </xf>
    <xf numFmtId="0" fontId="7" fillId="0" borderId="12" xfId="4" applyFont="1" applyBorder="1" applyAlignment="1">
      <alignment horizontal="right"/>
    </xf>
    <xf numFmtId="0" fontId="10" fillId="0" borderId="14" xfId="4" applyFont="1" applyBorder="1" applyAlignment="1">
      <alignment horizontal="right"/>
    </xf>
    <xf numFmtId="0" fontId="7" fillId="0" borderId="0" xfId="4" applyFont="1" applyAlignment="1">
      <alignment horizontal="left"/>
    </xf>
    <xf numFmtId="0" fontId="7" fillId="0" borderId="20" xfId="4" applyFont="1" applyBorder="1" applyAlignment="1">
      <alignment horizontal="right"/>
    </xf>
    <xf numFmtId="0" fontId="10" fillId="0" borderId="12" xfId="0" applyFont="1" applyBorder="1"/>
    <xf numFmtId="0" fontId="10" fillId="0" borderId="0" xfId="0" applyFont="1" applyAlignment="1">
      <alignment horizontal="right"/>
    </xf>
    <xf numFmtId="0" fontId="10" fillId="0" borderId="12" xfId="0" applyFont="1" applyBorder="1" applyAlignment="1">
      <alignment horizontal="right"/>
    </xf>
    <xf numFmtId="0" fontId="10" fillId="0" borderId="14" xfId="0" applyFont="1" applyBorder="1" applyAlignment="1">
      <alignment horizontal="right"/>
    </xf>
    <xf numFmtId="0" fontId="10" fillId="0" borderId="18" xfId="0" applyFont="1" applyBorder="1"/>
    <xf numFmtId="0" fontId="10" fillId="0" borderId="0" xfId="0" applyFont="1" applyProtection="1">
      <protection locked="0"/>
    </xf>
    <xf numFmtId="0" fontId="10" fillId="0" borderId="0" xfId="0" applyFont="1" applyAlignment="1">
      <alignment wrapText="1"/>
    </xf>
    <xf numFmtId="0" fontId="14" fillId="0" borderId="0" xfId="0" applyFont="1"/>
    <xf numFmtId="164" fontId="14" fillId="0" borderId="0" xfId="0" applyNumberFormat="1" applyFont="1"/>
    <xf numFmtId="1" fontId="14" fillId="0" borderId="0" xfId="0" applyNumberFormat="1" applyFont="1"/>
    <xf numFmtId="0" fontId="14" fillId="0" borderId="0" xfId="0" applyFont="1" applyAlignment="1">
      <alignment horizontal="right" vertical="center"/>
    </xf>
    <xf numFmtId="0" fontId="15" fillId="0" borderId="0" xfId="0" applyFont="1"/>
    <xf numFmtId="0" fontId="7" fillId="0" borderId="0" xfId="4" applyFont="1" applyAlignment="1">
      <alignment horizontal="right" vertical="top"/>
    </xf>
    <xf numFmtId="0" fontId="15" fillId="0" borderId="7" xfId="0" applyFont="1" applyBorder="1"/>
    <xf numFmtId="0" fontId="14" fillId="0" borderId="0" xfId="0" applyFont="1" applyAlignment="1">
      <alignment horizontal="right" vertical="center" wrapText="1"/>
    </xf>
    <xf numFmtId="164" fontId="14" fillId="0" borderId="0" xfId="0" applyNumberFormat="1" applyFont="1" applyAlignment="1">
      <alignment vertical="top" wrapText="1"/>
    </xf>
    <xf numFmtId="1" fontId="14" fillId="0" borderId="0" xfId="0" applyNumberFormat="1" applyFont="1" applyAlignment="1">
      <alignment vertical="top" wrapText="1"/>
    </xf>
    <xf numFmtId="0" fontId="15" fillId="0" borderId="0" xfId="0" applyFont="1" applyAlignment="1">
      <alignment vertical="center"/>
    </xf>
    <xf numFmtId="0" fontId="15" fillId="0" borderId="0" xfId="0" applyFont="1" applyAlignment="1">
      <alignment vertical="center" wrapText="1"/>
    </xf>
    <xf numFmtId="16" fontId="15" fillId="0" borderId="0" xfId="0" applyNumberFormat="1" applyFont="1" applyAlignment="1">
      <alignment vertical="center" wrapText="1"/>
    </xf>
    <xf numFmtId="17" fontId="15" fillId="0" borderId="0" xfId="0" applyNumberFormat="1" applyFont="1" applyAlignment="1">
      <alignment vertical="center" wrapText="1"/>
    </xf>
    <xf numFmtId="0" fontId="15" fillId="0" borderId="1" xfId="0" applyFont="1" applyBorder="1"/>
    <xf numFmtId="0" fontId="15" fillId="0" borderId="4" xfId="0" applyFont="1" applyBorder="1"/>
    <xf numFmtId="0" fontId="14" fillId="0" borderId="4" xfId="0" applyFont="1" applyBorder="1"/>
    <xf numFmtId="164" fontId="14" fillId="0" borderId="5" xfId="0" applyNumberFormat="1" applyFont="1" applyBorder="1"/>
    <xf numFmtId="0" fontId="14" fillId="0" borderId="4" xfId="0" applyFont="1" applyBorder="1" applyAlignment="1">
      <alignment vertical="top" wrapText="1"/>
    </xf>
    <xf numFmtId="0" fontId="19" fillId="0" borderId="0" xfId="0" applyFont="1" applyAlignment="1">
      <alignment vertical="center" wrapText="1"/>
    </xf>
    <xf numFmtId="0" fontId="14" fillId="0" borderId="5" xfId="0" applyFont="1" applyBorder="1" applyAlignment="1">
      <alignment horizontal="right" vertical="center" wrapText="1"/>
    </xf>
    <xf numFmtId="0" fontId="19" fillId="0" borderId="4" xfId="0" applyFont="1" applyBorder="1" applyAlignment="1">
      <alignment vertical="center" wrapText="1"/>
    </xf>
    <xf numFmtId="0" fontId="14" fillId="0" borderId="5" xfId="0" applyFont="1" applyBorder="1"/>
    <xf numFmtId="164" fontId="14" fillId="0" borderId="0" xfId="0" applyNumberFormat="1" applyFont="1" applyAlignment="1">
      <alignment horizontal="right" vertical="center" wrapText="1"/>
    </xf>
    <xf numFmtId="0" fontId="14" fillId="0" borderId="6" xfId="0" applyFont="1" applyBorder="1"/>
    <xf numFmtId="0" fontId="14" fillId="0" borderId="7" xfId="0" applyFont="1" applyBorder="1"/>
    <xf numFmtId="0" fontId="14" fillId="0" borderId="8" xfId="0" applyFont="1" applyBorder="1"/>
    <xf numFmtId="0" fontId="15" fillId="0" borderId="2" xfId="0" applyFont="1" applyBorder="1"/>
    <xf numFmtId="0" fontId="14" fillId="0" borderId="0" xfId="0" applyFont="1" applyAlignment="1">
      <alignment vertical="center"/>
    </xf>
    <xf numFmtId="0" fontId="14" fillId="0" borderId="0" xfId="0" applyFont="1" applyAlignment="1">
      <alignment vertical="top"/>
    </xf>
    <xf numFmtId="0" fontId="19" fillId="0" borderId="5" xfId="0" applyFont="1" applyBorder="1" applyAlignment="1">
      <alignment vertical="center"/>
    </xf>
    <xf numFmtId="0" fontId="15" fillId="0" borderId="6" xfId="0" applyFont="1" applyBorder="1"/>
    <xf numFmtId="0" fontId="16" fillId="0" borderId="7" xfId="0" applyFont="1" applyBorder="1" applyAlignment="1">
      <alignment horizontal="right"/>
    </xf>
    <xf numFmtId="0" fontId="15" fillId="0" borderId="8" xfId="0" applyFont="1" applyBorder="1"/>
    <xf numFmtId="167" fontId="5" fillId="6" borderId="0" xfId="3" applyFont="1" applyFill="1"/>
    <xf numFmtId="167" fontId="5" fillId="6" borderId="23" xfId="3" applyFont="1" applyFill="1" applyBorder="1"/>
    <xf numFmtId="167" fontId="5" fillId="6" borderId="24" xfId="3" applyFont="1" applyFill="1" applyBorder="1"/>
    <xf numFmtId="167" fontId="5" fillId="6" borderId="9" xfId="3" applyFont="1" applyFill="1" applyBorder="1"/>
    <xf numFmtId="169" fontId="5" fillId="6" borderId="0" xfId="3" applyNumberFormat="1" applyFont="1" applyFill="1"/>
    <xf numFmtId="0" fontId="14" fillId="0" borderId="7" xfId="0" applyFont="1" applyBorder="1" applyAlignment="1">
      <alignment vertical="center" wrapText="1"/>
    </xf>
    <xf numFmtId="0" fontId="19" fillId="0" borderId="7" xfId="0" applyFont="1" applyBorder="1" applyAlignment="1">
      <alignment vertical="center" wrapText="1"/>
    </xf>
    <xf numFmtId="0" fontId="14" fillId="0" borderId="7" xfId="0" applyFont="1" applyBorder="1" applyAlignment="1">
      <alignment horizontal="right" vertical="center" wrapText="1"/>
    </xf>
    <xf numFmtId="1" fontId="14" fillId="0" borderId="4" xfId="0" applyNumberFormat="1" applyFont="1" applyBorder="1"/>
    <xf numFmtId="1" fontId="14" fillId="0" borderId="5" xfId="0" applyNumberFormat="1" applyFont="1" applyBorder="1"/>
    <xf numFmtId="167" fontId="5" fillId="0" borderId="1" xfId="3" applyFont="1" applyBorder="1"/>
    <xf numFmtId="167" fontId="5" fillId="0" borderId="4" xfId="3" applyFont="1" applyBorder="1"/>
    <xf numFmtId="170" fontId="5" fillId="0" borderId="0" xfId="3" applyNumberFormat="1" applyFont="1"/>
    <xf numFmtId="167" fontId="5" fillId="0" borderId="6" xfId="3" applyFont="1" applyBorder="1"/>
    <xf numFmtId="171" fontId="14" fillId="0" borderId="4" xfId="0" applyNumberFormat="1" applyFont="1" applyBorder="1"/>
    <xf numFmtId="171" fontId="14" fillId="0" borderId="0" xfId="0" applyNumberFormat="1" applyFont="1"/>
    <xf numFmtId="171" fontId="14" fillId="0" borderId="5" xfId="0" applyNumberFormat="1" applyFont="1" applyBorder="1"/>
    <xf numFmtId="171" fontId="14" fillId="0" borderId="6" xfId="0" applyNumberFormat="1" applyFont="1" applyBorder="1"/>
    <xf numFmtId="171" fontId="14" fillId="0" borderId="7" xfId="0" applyNumberFormat="1" applyFont="1" applyBorder="1"/>
    <xf numFmtId="171" fontId="14" fillId="0" borderId="8" xfId="0" applyNumberFormat="1" applyFont="1" applyBorder="1"/>
    <xf numFmtId="0" fontId="15" fillId="0" borderId="25" xfId="0" applyFont="1" applyBorder="1"/>
    <xf numFmtId="0" fontId="15" fillId="0" borderId="26" xfId="0" applyFont="1" applyBorder="1"/>
    <xf numFmtId="0" fontId="15" fillId="0" borderId="27" xfId="0" applyFont="1" applyBorder="1"/>
    <xf numFmtId="0" fontId="16" fillId="0" borderId="0" xfId="0" applyFont="1" applyAlignment="1">
      <alignment horizontal="right"/>
    </xf>
    <xf numFmtId="168" fontId="5" fillId="0" borderId="0" xfId="3" applyNumberFormat="1" applyFont="1"/>
    <xf numFmtId="0" fontId="16" fillId="0" borderId="0" xfId="0" applyFont="1"/>
    <xf numFmtId="0" fontId="14" fillId="0" borderId="3" xfId="0" applyFont="1" applyBorder="1"/>
    <xf numFmtId="170" fontId="5" fillId="0" borderId="5" xfId="3" applyNumberFormat="1" applyFont="1" applyBorder="1"/>
    <xf numFmtId="170" fontId="5" fillId="0" borderId="8" xfId="3" applyNumberFormat="1" applyFont="1" applyBorder="1"/>
    <xf numFmtId="164" fontId="14" fillId="0" borderId="0" xfId="0" applyNumberFormat="1" applyFont="1" applyAlignment="1">
      <alignment vertical="center"/>
    </xf>
    <xf numFmtId="0" fontId="21" fillId="0" borderId="0" xfId="0" applyFont="1"/>
    <xf numFmtId="2" fontId="0" fillId="0" borderId="0" xfId="0" applyNumberFormat="1"/>
    <xf numFmtId="2" fontId="0" fillId="0" borderId="28" xfId="0" applyNumberFormat="1" applyBorder="1"/>
    <xf numFmtId="2" fontId="20" fillId="0" borderId="8" xfId="0" applyNumberFormat="1" applyFont="1" applyBorder="1"/>
    <xf numFmtId="2" fontId="22" fillId="0" borderId="7" xfId="0" applyNumberFormat="1" applyFont="1" applyBorder="1" applyAlignment="1">
      <alignment horizontal="center"/>
    </xf>
    <xf numFmtId="3" fontId="22" fillId="0" borderId="7" xfId="0" applyNumberFormat="1" applyFont="1" applyBorder="1" applyAlignment="1">
      <alignment horizontal="center"/>
    </xf>
    <xf numFmtId="165" fontId="22" fillId="0" borderId="7" xfId="0" applyNumberFormat="1" applyFont="1" applyBorder="1" applyAlignment="1">
      <alignment horizontal="center"/>
    </xf>
    <xf numFmtId="172" fontId="22" fillId="0" borderId="7" xfId="0" applyNumberFormat="1" applyFont="1" applyBorder="1" applyAlignment="1">
      <alignment horizontal="center"/>
    </xf>
    <xf numFmtId="164" fontId="22" fillId="0" borderId="7" xfId="0" applyNumberFormat="1" applyFont="1" applyBorder="1" applyAlignment="1">
      <alignment horizontal="center"/>
    </xf>
    <xf numFmtId="0" fontId="22" fillId="0" borderId="7" xfId="0" applyFont="1" applyBorder="1" applyAlignment="1">
      <alignment horizontal="center"/>
    </xf>
    <xf numFmtId="0" fontId="22" fillId="0" borderId="6" xfId="0" applyFont="1" applyBorder="1" applyAlignment="1">
      <alignment horizontal="center"/>
    </xf>
    <xf numFmtId="2" fontId="20" fillId="0" borderId="5" xfId="0" applyNumberFormat="1" applyFont="1" applyBorder="1"/>
    <xf numFmtId="2" fontId="22" fillId="0" borderId="0" xfId="0" applyNumberFormat="1" applyFont="1" applyAlignment="1">
      <alignment horizontal="center"/>
    </xf>
    <xf numFmtId="3" fontId="22" fillId="0" borderId="0" xfId="0" applyNumberFormat="1" applyFont="1" applyAlignment="1">
      <alignment horizontal="center"/>
    </xf>
    <xf numFmtId="165" fontId="22" fillId="0" borderId="0" xfId="0" applyNumberFormat="1" applyFont="1" applyAlignment="1">
      <alignment horizontal="center"/>
    </xf>
    <xf numFmtId="172" fontId="22" fillId="0" borderId="0" xfId="0" applyNumberFormat="1" applyFont="1" applyAlignment="1">
      <alignment horizontal="center"/>
    </xf>
    <xf numFmtId="164" fontId="22" fillId="0" borderId="0" xfId="0" applyNumberFormat="1" applyFont="1" applyAlignment="1">
      <alignment horizontal="center"/>
    </xf>
    <xf numFmtId="0" fontId="22" fillId="0" borderId="0" xfId="0" applyFont="1" applyAlignment="1">
      <alignment horizontal="center"/>
    </xf>
    <xf numFmtId="0" fontId="22" fillId="0" borderId="4" xfId="0" applyFont="1" applyBorder="1" applyAlignment="1">
      <alignment horizontal="center"/>
    </xf>
    <xf numFmtId="2" fontId="20" fillId="0" borderId="29" xfId="0" applyNumberFormat="1" applyFont="1" applyBorder="1"/>
    <xf numFmtId="0" fontId="21" fillId="0" borderId="29" xfId="0" applyFont="1" applyBorder="1"/>
    <xf numFmtId="2" fontId="20" fillId="0" borderId="0" xfId="0" applyNumberFormat="1" applyFont="1"/>
    <xf numFmtId="0" fontId="21" fillId="0" borderId="29" xfId="0" applyFont="1" applyBorder="1" applyAlignment="1">
      <alignment horizontal="center" vertical="center"/>
    </xf>
    <xf numFmtId="0" fontId="20" fillId="0" borderId="0" xfId="0" applyFont="1" applyAlignment="1">
      <alignment horizontal="center"/>
    </xf>
    <xf numFmtId="0" fontId="20" fillId="0" borderId="27" xfId="0" applyFont="1" applyBorder="1" applyAlignment="1">
      <alignment horizontal="center" vertical="center"/>
    </xf>
    <xf numFmtId="0" fontId="24" fillId="0" borderId="26" xfId="0" applyFont="1" applyBorder="1" applyAlignment="1">
      <alignment horizontal="center" vertical="center"/>
    </xf>
    <xf numFmtId="0" fontId="25" fillId="0" borderId="26" xfId="0" applyFon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2" fillId="0" borderId="25" xfId="0" applyFont="1" applyBorder="1" applyAlignment="1">
      <alignment horizontal="center" vertical="center"/>
    </xf>
    <xf numFmtId="0" fontId="25" fillId="0" borderId="0" xfId="0" applyFont="1" applyAlignment="1">
      <alignment horizontal="left"/>
    </xf>
    <xf numFmtId="3" fontId="22" fillId="8" borderId="0" xfId="0" applyNumberFormat="1" applyFont="1" applyFill="1" applyAlignment="1">
      <alignment horizontal="center"/>
    </xf>
    <xf numFmtId="3" fontId="22" fillId="8" borderId="7" xfId="0" applyNumberFormat="1" applyFont="1" applyFill="1" applyBorder="1" applyAlignment="1">
      <alignment horizontal="center"/>
    </xf>
    <xf numFmtId="3" fontId="22" fillId="9" borderId="0" xfId="0" applyNumberFormat="1" applyFont="1" applyFill="1" applyAlignment="1">
      <alignment horizontal="center"/>
    </xf>
    <xf numFmtId="164" fontId="22" fillId="8" borderId="0" xfId="0" applyNumberFormat="1" applyFont="1" applyFill="1" applyAlignment="1">
      <alignment horizontal="center"/>
    </xf>
    <xf numFmtId="0" fontId="22" fillId="8" borderId="0" xfId="0" applyFont="1" applyFill="1" applyAlignment="1">
      <alignment horizontal="center"/>
    </xf>
    <xf numFmtId="2" fontId="22" fillId="8" borderId="7" xfId="0" applyNumberFormat="1" applyFont="1" applyFill="1" applyBorder="1" applyAlignment="1">
      <alignment horizontal="center"/>
    </xf>
    <xf numFmtId="3" fontId="22" fillId="10" borderId="0" xfId="0" applyNumberFormat="1" applyFont="1" applyFill="1" applyAlignment="1">
      <alignment horizontal="center"/>
    </xf>
    <xf numFmtId="3" fontId="22" fillId="10" borderId="7" xfId="0" applyNumberFormat="1" applyFont="1" applyFill="1" applyBorder="1" applyAlignment="1">
      <alignment horizontal="center"/>
    </xf>
    <xf numFmtId="3" fontId="22" fillId="11" borderId="0" xfId="0" applyNumberFormat="1" applyFont="1" applyFill="1" applyAlignment="1">
      <alignment horizontal="center"/>
    </xf>
    <xf numFmtId="164" fontId="22" fillId="10" borderId="0" xfId="0" applyNumberFormat="1" applyFont="1" applyFill="1" applyAlignment="1">
      <alignment horizontal="center"/>
    </xf>
    <xf numFmtId="0" fontId="22" fillId="10" borderId="0" xfId="0" applyFont="1" applyFill="1" applyAlignment="1">
      <alignment horizontal="center"/>
    </xf>
    <xf numFmtId="2" fontId="22" fillId="10" borderId="7" xfId="0" applyNumberFormat="1" applyFont="1" applyFill="1" applyBorder="1" applyAlignment="1">
      <alignment horizontal="center"/>
    </xf>
    <xf numFmtId="2" fontId="26" fillId="12" borderId="0" xfId="0" applyNumberFormat="1" applyFont="1" applyFill="1" applyAlignment="1">
      <alignment horizontal="center"/>
    </xf>
    <xf numFmtId="2" fontId="26" fillId="13" borderId="0" xfId="0" applyNumberFormat="1" applyFont="1" applyFill="1" applyAlignment="1">
      <alignment horizontal="center"/>
    </xf>
    <xf numFmtId="2" fontId="26" fillId="14" borderId="0" xfId="0" applyNumberFormat="1" applyFont="1" applyFill="1" applyAlignment="1">
      <alignment horizontal="center"/>
    </xf>
    <xf numFmtId="2" fontId="26" fillId="15" borderId="0" xfId="0" applyNumberFormat="1" applyFont="1" applyFill="1" applyAlignment="1">
      <alignment horizontal="center"/>
    </xf>
    <xf numFmtId="0" fontId="0" fillId="13" borderId="0" xfId="0" applyFill="1"/>
    <xf numFmtId="0" fontId="0" fillId="10" borderId="0" xfId="0" applyFill="1"/>
    <xf numFmtId="0" fontId="20" fillId="0" borderId="28" xfId="0" applyFont="1" applyBorder="1"/>
    <xf numFmtId="1" fontId="0" fillId="17" borderId="0" xfId="0" applyNumberFormat="1" applyFill="1" applyAlignment="1">
      <alignment horizontal="left" vertical="top"/>
    </xf>
    <xf numFmtId="1" fontId="0" fillId="7" borderId="0" xfId="0" applyNumberFormat="1" applyFill="1" applyAlignment="1">
      <alignment horizontal="left" vertical="top"/>
    </xf>
    <xf numFmtId="0" fontId="0" fillId="17" borderId="0" xfId="0" applyFill="1" applyAlignment="1">
      <alignment horizontal="left" vertical="top"/>
    </xf>
    <xf numFmtId="0" fontId="0" fillId="7" borderId="0" xfId="0" applyFill="1" applyAlignment="1">
      <alignment horizontal="left" vertical="top"/>
    </xf>
    <xf numFmtId="0" fontId="0" fillId="18" borderId="0" xfId="0" applyFill="1"/>
    <xf numFmtId="0" fontId="27" fillId="18" borderId="36" xfId="0" applyFont="1" applyFill="1" applyBorder="1" applyAlignment="1">
      <alignment horizontal="right" vertical="center"/>
    </xf>
    <xf numFmtId="0" fontId="28" fillId="18" borderId="36" xfId="0" applyFont="1" applyFill="1" applyBorder="1" applyAlignment="1">
      <alignment horizontal="right" vertical="center"/>
    </xf>
    <xf numFmtId="0" fontId="0" fillId="7" borderId="0" xfId="0" applyFill="1"/>
    <xf numFmtId="0" fontId="28" fillId="7" borderId="36" xfId="0" applyFont="1" applyFill="1" applyBorder="1" applyAlignment="1">
      <alignment horizontal="right" vertical="center"/>
    </xf>
    <xf numFmtId="0" fontId="27" fillId="7" borderId="36" xfId="0" applyFont="1" applyFill="1" applyBorder="1" applyAlignment="1">
      <alignment horizontal="right" vertical="center"/>
    </xf>
    <xf numFmtId="0" fontId="20" fillId="0" borderId="35" xfId="0" applyFont="1" applyBorder="1" applyAlignment="1">
      <alignment horizontal="center" vertical="center" wrapText="1"/>
    </xf>
    <xf numFmtId="0" fontId="23" fillId="0" borderId="34" xfId="0" applyFont="1" applyBorder="1" applyAlignment="1">
      <alignment vertical="center" wrapText="1"/>
    </xf>
    <xf numFmtId="0" fontId="23" fillId="0" borderId="33" xfId="0" applyFont="1" applyBorder="1" applyAlignment="1">
      <alignment vertical="center" wrapText="1"/>
    </xf>
    <xf numFmtId="0" fontId="23" fillId="0" borderId="32" xfId="0" applyFont="1" applyBorder="1" applyAlignment="1">
      <alignment vertical="center" wrapText="1"/>
    </xf>
    <xf numFmtId="0" fontId="23" fillId="0" borderId="31" xfId="0" applyFont="1" applyBorder="1" applyAlignment="1">
      <alignment vertical="center" wrapText="1"/>
    </xf>
    <xf numFmtId="0" fontId="23" fillId="0" borderId="30" xfId="0" applyFont="1" applyBorder="1" applyAlignment="1">
      <alignment vertical="center" wrapText="1"/>
    </xf>
    <xf numFmtId="0" fontId="21" fillId="16" borderId="0" xfId="0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11" fillId="0" borderId="0" xfId="0" applyFont="1" applyAlignment="1">
      <alignment horizontal="center" vertical="top" wrapText="1"/>
    </xf>
    <xf numFmtId="165" fontId="12" fillId="2" borderId="15" xfId="1" applyNumberFormat="1" applyFont="1" applyBorder="1" applyAlignment="1" applyProtection="1">
      <alignment horizontal="center"/>
      <protection locked="0"/>
    </xf>
    <xf numFmtId="165" fontId="12" fillId="2" borderId="17" xfId="1" applyNumberFormat="1" applyFont="1" applyBorder="1" applyAlignment="1" applyProtection="1">
      <alignment horizontal="center"/>
      <protection locked="0"/>
    </xf>
    <xf numFmtId="0" fontId="13" fillId="3" borderId="0" xfId="1" applyFont="1" applyFill="1" applyBorder="1" applyAlignment="1" applyProtection="1">
      <alignment horizontal="center"/>
    </xf>
    <xf numFmtId="0" fontId="13" fillId="3" borderId="18" xfId="1" applyFont="1" applyFill="1" applyBorder="1" applyAlignment="1" applyProtection="1">
      <alignment horizontal="center"/>
    </xf>
    <xf numFmtId="14" fontId="13" fillId="2" borderId="16" xfId="1" applyNumberFormat="1" applyFont="1" applyBorder="1" applyAlignment="1" applyProtection="1">
      <alignment horizontal="center"/>
      <protection locked="0"/>
    </xf>
    <xf numFmtId="14" fontId="13" fillId="2" borderId="19" xfId="1" applyNumberFormat="1" applyFont="1" applyBorder="1" applyAlignment="1" applyProtection="1">
      <alignment horizontal="center"/>
      <protection locked="0"/>
    </xf>
    <xf numFmtId="165" fontId="13" fillId="2" borderId="21" xfId="1" applyNumberFormat="1" applyFont="1" applyBorder="1" applyAlignment="1" applyProtection="1">
      <alignment horizontal="right"/>
      <protection locked="0"/>
    </xf>
    <xf numFmtId="165" fontId="13" fillId="2" borderId="22" xfId="1" applyNumberFormat="1" applyFont="1" applyBorder="1" applyAlignment="1" applyProtection="1">
      <alignment horizontal="right"/>
      <protection locked="0"/>
    </xf>
    <xf numFmtId="165" fontId="13" fillId="2" borderId="15" xfId="1" applyNumberFormat="1" applyFont="1" applyBorder="1" applyAlignment="1" applyProtection="1">
      <alignment horizontal="right"/>
      <protection locked="0"/>
    </xf>
    <xf numFmtId="165" fontId="13" fillId="2" borderId="17" xfId="1" applyNumberFormat="1" applyFont="1" applyBorder="1" applyAlignment="1" applyProtection="1">
      <alignment horizontal="right"/>
      <protection locked="0"/>
    </xf>
    <xf numFmtId="0" fontId="6" fillId="4" borderId="10" xfId="4" applyFont="1" applyFill="1" applyBorder="1" applyAlignment="1">
      <alignment horizontal="center" wrapText="1"/>
    </xf>
    <xf numFmtId="0" fontId="6" fillId="4" borderId="11" xfId="4" applyFont="1" applyFill="1" applyBorder="1" applyAlignment="1">
      <alignment horizontal="center" wrapText="1"/>
    </xf>
    <xf numFmtId="0" fontId="7" fillId="0" borderId="0" xfId="4" applyFont="1" applyAlignment="1">
      <alignment horizontal="left" vertical="top" wrapText="1"/>
    </xf>
    <xf numFmtId="165" fontId="13" fillId="2" borderId="0" xfId="1" applyNumberFormat="1" applyFont="1" applyBorder="1" applyAlignment="1" applyProtection="1">
      <alignment horizontal="right"/>
      <protection locked="0"/>
    </xf>
    <xf numFmtId="165" fontId="13" fillId="2" borderId="18" xfId="1" applyNumberFormat="1" applyFont="1" applyBorder="1" applyAlignment="1" applyProtection="1">
      <alignment horizontal="right"/>
      <protection locked="0"/>
    </xf>
    <xf numFmtId="0" fontId="13" fillId="5" borderId="16" xfId="0" applyFont="1" applyFill="1" applyBorder="1" applyAlignment="1" applyProtection="1">
      <alignment horizontal="right"/>
      <protection locked="0"/>
    </xf>
    <xf numFmtId="0" fontId="13" fillId="5" borderId="19" xfId="0" applyFont="1" applyFill="1" applyBorder="1" applyAlignment="1" applyProtection="1">
      <alignment horizontal="right"/>
      <protection locked="0"/>
    </xf>
    <xf numFmtId="0" fontId="13" fillId="2" borderId="0" xfId="1" applyFont="1" applyBorder="1" applyAlignment="1" applyProtection="1">
      <alignment horizontal="right"/>
      <protection locked="0"/>
    </xf>
    <xf numFmtId="0" fontId="13" fillId="2" borderId="18" xfId="1" applyFont="1" applyBorder="1" applyAlignment="1" applyProtection="1">
      <alignment horizontal="right"/>
      <protection locked="0"/>
    </xf>
    <xf numFmtId="166" fontId="9" fillId="0" borderId="12" xfId="5" applyNumberFormat="1" applyFont="1" applyFill="1" applyBorder="1" applyAlignment="1" applyProtection="1">
      <alignment horizontal="center"/>
      <protection locked="0"/>
    </xf>
    <xf numFmtId="166" fontId="9" fillId="0" borderId="0" xfId="5" applyNumberFormat="1" applyFont="1" applyFill="1" applyBorder="1" applyAlignment="1" applyProtection="1">
      <alignment horizontal="center"/>
      <protection locked="0"/>
    </xf>
    <xf numFmtId="0" fontId="15" fillId="0" borderId="0" xfId="0" applyFont="1" applyAlignment="1">
      <alignment horizontal="center"/>
    </xf>
    <xf numFmtId="0" fontId="15" fillId="0" borderId="5" xfId="0" applyFont="1" applyBorder="1" applyAlignment="1">
      <alignment horizontal="center"/>
    </xf>
    <xf numFmtId="167" fontId="3" fillId="6" borderId="0" xfId="3" applyFont="1" applyFill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3" xfId="0" applyFont="1" applyBorder="1" applyAlignment="1">
      <alignment horizontal="center"/>
    </xf>
  </cellXfs>
  <cellStyles count="6">
    <cellStyle name="Bueno" xfId="1" builtinId="26"/>
    <cellStyle name="Hipervínculo" xfId="5" builtinId="8"/>
    <cellStyle name="Normal" xfId="0" builtinId="0"/>
    <cellStyle name="Normal 2" xfId="3" xr:uid="{00000000-0005-0000-0000-000003000000}"/>
    <cellStyle name="Normal 3" xfId="2" xr:uid="{00000000-0005-0000-0000-000004000000}"/>
    <cellStyle name="Normal 3 2 2" xfId="4" xr:uid="{00000000-0005-0000-0000-000005000000}"/>
  </cellStyles>
  <dxfs count="1">
    <dxf>
      <font>
        <color theme="0"/>
      </font>
      <fill>
        <patternFill patternType="none">
          <bgColor auto="1"/>
        </patternFill>
      </fill>
    </dxf>
  </dxfs>
  <tableStyles count="0" defaultTableStyle="TableStyleMedium2" defaultPivotStyle="PivotStyleLight16"/>
  <colors>
    <mruColors>
      <color rgb="FF006100"/>
      <color rgb="FFC6EF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800" b="0">
                <a:solidFill>
                  <a:srgbClr val="757575"/>
                </a:solidFill>
                <a:latin typeface="+mn-lt"/>
              </a:defRPr>
            </a:pPr>
            <a:r>
              <a:rPr lang="es-MX" sz="1800" b="0">
                <a:solidFill>
                  <a:srgbClr val="757575"/>
                </a:solidFill>
                <a:latin typeface="+mn-lt"/>
              </a:rPr>
              <a:t>Mujeres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'Decrementos Múltiples'!$I$26</c:f>
              <c:strCache>
                <c:ptCount val="1"/>
                <c:pt idx="0">
                  <c:v>nqx</c:v>
                </c:pt>
              </c:strCache>
            </c:strRef>
          </c:tx>
          <c:spPr>
            <a:ln cmpd="sng">
              <a:solidFill>
                <a:srgbClr val="7030A0"/>
              </a:solidFill>
            </a:ln>
          </c:spPr>
          <c:marker>
            <c:symbol val="none"/>
          </c:marker>
          <c:cat>
            <c:numRef>
              <c:f>'Decrementos Múltiples'!$B$27:$B$45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  <c:pt idx="10">
                  <c:v>45</c:v>
                </c:pt>
                <c:pt idx="11">
                  <c:v>50</c:v>
                </c:pt>
                <c:pt idx="12">
                  <c:v>55</c:v>
                </c:pt>
                <c:pt idx="13">
                  <c:v>60</c:v>
                </c:pt>
                <c:pt idx="14">
                  <c:v>65</c:v>
                </c:pt>
                <c:pt idx="15">
                  <c:v>70</c:v>
                </c:pt>
                <c:pt idx="16">
                  <c:v>75</c:v>
                </c:pt>
                <c:pt idx="17">
                  <c:v>80</c:v>
                </c:pt>
                <c:pt idx="18">
                  <c:v>85</c:v>
                </c:pt>
              </c:numCache>
            </c:numRef>
          </c:cat>
          <c:val>
            <c:numRef>
              <c:f>'Decrementos Múltiples'!$I$27:$I$45</c:f>
              <c:numCache>
                <c:formatCode>0.0000</c:formatCode>
                <c:ptCount val="19"/>
                <c:pt idx="0">
                  <c:v>1.7095870999999985E-2</c:v>
                </c:pt>
                <c:pt idx="1">
                  <c:v>2.6724489999999657E-3</c:v>
                </c:pt>
                <c:pt idx="2">
                  <c:v>1.7607229999999641E-3</c:v>
                </c:pt>
                <c:pt idx="3">
                  <c:v>1.5793779999999646E-3</c:v>
                </c:pt>
                <c:pt idx="4">
                  <c:v>3.11413100000002E-3</c:v>
                </c:pt>
                <c:pt idx="5">
                  <c:v>3.8214330000000407E-3</c:v>
                </c:pt>
                <c:pt idx="6">
                  <c:v>4.5742130000000492E-3</c:v>
                </c:pt>
                <c:pt idx="7">
                  <c:v>5.9228810000000465E-3</c:v>
                </c:pt>
                <c:pt idx="8">
                  <c:v>7.8235150000000031E-3</c:v>
                </c:pt>
                <c:pt idx="9">
                  <c:v>1.1221963999999973E-2</c:v>
                </c:pt>
                <c:pt idx="10">
                  <c:v>1.5589505999999975E-2</c:v>
                </c:pt>
                <c:pt idx="11">
                  <c:v>2.2249163999999988E-2</c:v>
                </c:pt>
                <c:pt idx="12">
                  <c:v>3.0487206999999961E-2</c:v>
                </c:pt>
                <c:pt idx="13">
                  <c:v>4.832573699999998E-2</c:v>
                </c:pt>
                <c:pt idx="14">
                  <c:v>7.5606045000000011E-2</c:v>
                </c:pt>
                <c:pt idx="15">
                  <c:v>0.13229194700000002</c:v>
                </c:pt>
                <c:pt idx="16">
                  <c:v>0.21554121699999995</c:v>
                </c:pt>
                <c:pt idx="17">
                  <c:v>0.344003587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AA-4DCE-B5CE-771242FCAD13}"/>
            </c:ext>
          </c:extLst>
        </c:ser>
        <c:ser>
          <c:idx val="1"/>
          <c:order val="1"/>
          <c:tx>
            <c:strRef>
              <c:f>'Decrementos Múltiples'!$M$26</c:f>
              <c:strCache>
                <c:ptCount val="1"/>
                <c:pt idx="0">
                  <c:v>nqx_i</c:v>
                </c:pt>
              </c:strCache>
            </c:strRef>
          </c:tx>
          <c:spPr>
            <a:ln cmpd="sng">
              <a:solidFill>
                <a:schemeClr val="accent6">
                  <a:lumMod val="75000"/>
                </a:schemeClr>
              </a:solidFill>
            </a:ln>
          </c:spPr>
          <c:marker>
            <c:symbol val="none"/>
          </c:marker>
          <c:cat>
            <c:numRef>
              <c:f>'Decrementos Múltiples'!$B$27:$B$45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  <c:pt idx="10">
                  <c:v>45</c:v>
                </c:pt>
                <c:pt idx="11">
                  <c:v>50</c:v>
                </c:pt>
                <c:pt idx="12">
                  <c:v>55</c:v>
                </c:pt>
                <c:pt idx="13">
                  <c:v>60</c:v>
                </c:pt>
                <c:pt idx="14">
                  <c:v>65</c:v>
                </c:pt>
                <c:pt idx="15">
                  <c:v>70</c:v>
                </c:pt>
                <c:pt idx="16">
                  <c:v>75</c:v>
                </c:pt>
                <c:pt idx="17">
                  <c:v>80</c:v>
                </c:pt>
                <c:pt idx="18">
                  <c:v>85</c:v>
                </c:pt>
              </c:numCache>
            </c:numRef>
          </c:cat>
          <c:val>
            <c:numRef>
              <c:f>'Decrementos Múltiples'!$M$27:$M$45</c:f>
              <c:numCache>
                <c:formatCode>#,##0.0000</c:formatCode>
                <c:ptCount val="19"/>
                <c:pt idx="0">
                  <c:v>1.7060924200114846E-2</c:v>
                </c:pt>
                <c:pt idx="1">
                  <c:v>2.5969119464779311E-3</c:v>
                </c:pt>
                <c:pt idx="2">
                  <c:v>1.7281452088506732E-3</c:v>
                </c:pt>
                <c:pt idx="3">
                  <c:v>1.5793779999999646E-3</c:v>
                </c:pt>
                <c:pt idx="4">
                  <c:v>3.0308433141674751E-3</c:v>
                </c:pt>
                <c:pt idx="5">
                  <c:v>3.4590255038885465E-3</c:v>
                </c:pt>
                <c:pt idx="6">
                  <c:v>4.1121892814294236E-3</c:v>
                </c:pt>
                <c:pt idx="7">
                  <c:v>5.4667682068617607E-3</c:v>
                </c:pt>
                <c:pt idx="8">
                  <c:v>7.5135244348094599E-3</c:v>
                </c:pt>
                <c:pt idx="9">
                  <c:v>1.103627666818463E-2</c:v>
                </c:pt>
                <c:pt idx="10">
                  <c:v>1.5352818594097206E-2</c:v>
                </c:pt>
                <c:pt idx="11">
                  <c:v>2.21301470466857E-2</c:v>
                </c:pt>
                <c:pt idx="12">
                  <c:v>3.0417192399851078E-2</c:v>
                </c:pt>
                <c:pt idx="13">
                  <c:v>4.8219658247129482E-2</c:v>
                </c:pt>
                <c:pt idx="14">
                  <c:v>7.552573982794919E-2</c:v>
                </c:pt>
                <c:pt idx="15">
                  <c:v>0.13221167748389606</c:v>
                </c:pt>
                <c:pt idx="16">
                  <c:v>0.21548369867495942</c:v>
                </c:pt>
                <c:pt idx="17">
                  <c:v>0.34385731577153789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1AA-4DCE-B5CE-771242FCAD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5733113"/>
        <c:axId val="33690205"/>
      </c:lineChart>
      <c:catAx>
        <c:axId val="8157331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chemeClr val="bg1">
                <a:lumMod val="85000"/>
              </a:schemeClr>
            </a:solidFill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3690205"/>
        <c:crosses val="autoZero"/>
        <c:auto val="1"/>
        <c:lblAlgn val="ctr"/>
        <c:lblOffset val="100"/>
        <c:noMultiLvlLbl val="1"/>
      </c:catAx>
      <c:valAx>
        <c:axId val="33690205"/>
        <c:scaling>
          <c:logBase val="10"/>
          <c:orientation val="minMax"/>
          <c:max val="1"/>
          <c:min val="8.0000000000000026E-4"/>
        </c:scaling>
        <c:delete val="0"/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MX" b="0">
                    <a:solidFill>
                      <a:srgbClr val="000000"/>
                    </a:solidFill>
                    <a:latin typeface="+mn-lt"/>
                  </a:rPr>
                  <a:t>nqx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tickLblPos val="nextTo"/>
        <c:spPr>
          <a:ln>
            <a:solidFill>
              <a:schemeClr val="bg1">
                <a:lumMod val="85000"/>
              </a:schemeClr>
            </a:solidFill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15733113"/>
        <c:crosses val="autoZero"/>
        <c:crossBetween val="between"/>
      </c:valAx>
      <c:spPr>
        <a:ln>
          <a:solidFill>
            <a:schemeClr val="bg1">
              <a:lumMod val="85000"/>
            </a:schemeClr>
          </a:solidFill>
        </a:ln>
      </c:spPr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s-MX" b="0">
                <a:solidFill>
                  <a:srgbClr val="757575"/>
                </a:solidFill>
                <a:latin typeface="+mn-lt"/>
              </a:rPr>
              <a:t>Hombres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'Decrementos Múltiples'!$I$3</c:f>
              <c:strCache>
                <c:ptCount val="1"/>
                <c:pt idx="0">
                  <c:v>nqx</c:v>
                </c:pt>
              </c:strCache>
            </c:strRef>
          </c:tx>
          <c:spPr>
            <a:ln cmpd="sng">
              <a:solidFill>
                <a:srgbClr val="1CADE4"/>
              </a:solidFill>
            </a:ln>
          </c:spPr>
          <c:marker>
            <c:symbol val="none"/>
          </c:marker>
          <c:cat>
            <c:numRef>
              <c:f>'Decrementos Múltiples'!$B$4:$B$22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  <c:pt idx="10">
                  <c:v>45</c:v>
                </c:pt>
                <c:pt idx="11">
                  <c:v>50</c:v>
                </c:pt>
                <c:pt idx="12">
                  <c:v>55</c:v>
                </c:pt>
                <c:pt idx="13">
                  <c:v>60</c:v>
                </c:pt>
                <c:pt idx="14">
                  <c:v>65</c:v>
                </c:pt>
                <c:pt idx="15">
                  <c:v>70</c:v>
                </c:pt>
                <c:pt idx="16">
                  <c:v>75</c:v>
                </c:pt>
                <c:pt idx="17">
                  <c:v>80</c:v>
                </c:pt>
                <c:pt idx="18">
                  <c:v>85</c:v>
                </c:pt>
              </c:numCache>
            </c:numRef>
          </c:cat>
          <c:val>
            <c:numRef>
              <c:f>'Decrementos Múltiples'!$I$4:$I$22</c:f>
              <c:numCache>
                <c:formatCode>0.0000</c:formatCode>
                <c:ptCount val="19"/>
                <c:pt idx="0">
                  <c:v>2.0538473999999973E-2</c:v>
                </c:pt>
                <c:pt idx="1">
                  <c:v>3.3881040000000029E-3</c:v>
                </c:pt>
                <c:pt idx="2">
                  <c:v>2.221370999999972E-3</c:v>
                </c:pt>
                <c:pt idx="3">
                  <c:v>2.0635260000000377E-3</c:v>
                </c:pt>
                <c:pt idx="4">
                  <c:v>6.6652029999999529E-3</c:v>
                </c:pt>
                <c:pt idx="5">
                  <c:v>8.7845770000000156E-3</c:v>
                </c:pt>
                <c:pt idx="6">
                  <c:v>9.6731930000000244E-3</c:v>
                </c:pt>
                <c:pt idx="7">
                  <c:v>1.1460620000000032E-2</c:v>
                </c:pt>
                <c:pt idx="8">
                  <c:v>1.4359389E-2</c:v>
                </c:pt>
                <c:pt idx="9">
                  <c:v>1.879680100000003E-2</c:v>
                </c:pt>
                <c:pt idx="10">
                  <c:v>2.3825383000000033E-2</c:v>
                </c:pt>
                <c:pt idx="11">
                  <c:v>3.2924368999999953E-2</c:v>
                </c:pt>
                <c:pt idx="12">
                  <c:v>4.5600167999999996E-2</c:v>
                </c:pt>
                <c:pt idx="13">
                  <c:v>7.2418930999999964E-2</c:v>
                </c:pt>
                <c:pt idx="14">
                  <c:v>0.11466073899999996</c:v>
                </c:pt>
                <c:pt idx="15">
                  <c:v>0.18922331999999997</c:v>
                </c:pt>
                <c:pt idx="16">
                  <c:v>0.28919044300000007</c:v>
                </c:pt>
                <c:pt idx="17">
                  <c:v>0.42139503900000008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B9-4C8D-A1A2-095788EF4983}"/>
            </c:ext>
          </c:extLst>
        </c:ser>
        <c:ser>
          <c:idx val="1"/>
          <c:order val="1"/>
          <c:tx>
            <c:strRef>
              <c:f>'Decrementos Múltiples'!$M$3</c:f>
              <c:strCache>
                <c:ptCount val="1"/>
                <c:pt idx="0">
                  <c:v>nqx_i</c:v>
                </c:pt>
              </c:strCache>
            </c:strRef>
          </c:tx>
          <c:spPr>
            <a:ln cmpd="sng">
              <a:solidFill>
                <a:srgbClr val="2683C6"/>
              </a:solidFill>
            </a:ln>
          </c:spPr>
          <c:marker>
            <c:symbol val="none"/>
          </c:marker>
          <c:cat>
            <c:numRef>
              <c:f>'Decrementos Múltiples'!$B$4:$B$22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  <c:pt idx="10">
                  <c:v>45</c:v>
                </c:pt>
                <c:pt idx="11">
                  <c:v>50</c:v>
                </c:pt>
                <c:pt idx="12">
                  <c:v>55</c:v>
                </c:pt>
                <c:pt idx="13">
                  <c:v>60</c:v>
                </c:pt>
                <c:pt idx="14">
                  <c:v>65</c:v>
                </c:pt>
                <c:pt idx="15">
                  <c:v>70</c:v>
                </c:pt>
                <c:pt idx="16">
                  <c:v>75</c:v>
                </c:pt>
                <c:pt idx="17">
                  <c:v>80</c:v>
                </c:pt>
                <c:pt idx="18">
                  <c:v>85</c:v>
                </c:pt>
              </c:numCache>
            </c:numRef>
          </c:cat>
          <c:val>
            <c:numRef>
              <c:f>'Decrementos Múltiples'!$M$4:$M$22</c:f>
              <c:numCache>
                <c:formatCode>#,##0.0000</c:formatCode>
                <c:ptCount val="19"/>
                <c:pt idx="0">
                  <c:v>2.0538473999999973E-2</c:v>
                </c:pt>
                <c:pt idx="1">
                  <c:v>3.2932670239769202E-3</c:v>
                </c:pt>
                <c:pt idx="2">
                  <c:v>2.221370999999972E-3</c:v>
                </c:pt>
                <c:pt idx="3">
                  <c:v>1.9229664112596634E-3</c:v>
                </c:pt>
                <c:pt idx="4">
                  <c:v>5.4274710789270486E-3</c:v>
                </c:pt>
                <c:pt idx="5">
                  <c:v>6.1620269501946323E-3</c:v>
                </c:pt>
                <c:pt idx="6">
                  <c:v>7.2151291617826852E-3</c:v>
                </c:pt>
                <c:pt idx="7">
                  <c:v>9.181689779910629E-3</c:v>
                </c:pt>
                <c:pt idx="8">
                  <c:v>1.2252855249653694E-2</c:v>
                </c:pt>
                <c:pt idx="9">
                  <c:v>1.7101299233677203E-2</c:v>
                </c:pt>
                <c:pt idx="10">
                  <c:v>2.2423229498589881E-2</c:v>
                </c:pt>
                <c:pt idx="11">
                  <c:v>3.2093440789957683E-2</c:v>
                </c:pt>
                <c:pt idx="12">
                  <c:v>4.5085578948669602E-2</c:v>
                </c:pt>
                <c:pt idx="13">
                  <c:v>7.1867170521028201E-2</c:v>
                </c:pt>
                <c:pt idx="14">
                  <c:v>0.11399616143204827</c:v>
                </c:pt>
                <c:pt idx="15">
                  <c:v>0.18906976590697266</c:v>
                </c:pt>
                <c:pt idx="16">
                  <c:v>0.28875417609978948</c:v>
                </c:pt>
                <c:pt idx="17">
                  <c:v>0.42129327010063755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FB9-4C8D-A1A2-095788EF49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5733113"/>
        <c:axId val="33690205"/>
      </c:lineChart>
      <c:catAx>
        <c:axId val="8157331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chemeClr val="bg1">
                <a:lumMod val="85000"/>
              </a:schemeClr>
            </a:solidFill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3690205"/>
        <c:crosses val="autoZero"/>
        <c:auto val="1"/>
        <c:lblAlgn val="ctr"/>
        <c:lblOffset val="100"/>
        <c:noMultiLvlLbl val="1"/>
      </c:catAx>
      <c:valAx>
        <c:axId val="33690205"/>
        <c:scaling>
          <c:logBase val="10"/>
          <c:orientation val="minMax"/>
          <c:max val="1"/>
          <c:min val="8.0000000000000026E-4"/>
        </c:scaling>
        <c:delete val="0"/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MX" b="0">
                    <a:solidFill>
                      <a:srgbClr val="000000"/>
                    </a:solidFill>
                    <a:latin typeface="+mn-lt"/>
                  </a:rPr>
                  <a:t>nqx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tickLblPos val="nextTo"/>
        <c:spPr>
          <a:ln>
            <a:solidFill>
              <a:schemeClr val="bg1">
                <a:lumMod val="85000"/>
              </a:schemeClr>
            </a:solidFill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15733113"/>
        <c:crosses val="autoZero"/>
        <c:crossBetween val="between"/>
      </c:valAx>
      <c:spPr>
        <a:ln>
          <a:solidFill>
            <a:schemeClr val="bg1">
              <a:lumMod val="85000"/>
            </a:schemeClr>
          </a:solidFill>
        </a:ln>
      </c:spPr>
    </c:plotArea>
    <c:legend>
      <c:legendPos val="b"/>
      <c:overlay val="0"/>
      <c:txPr>
        <a:bodyPr/>
        <a:lstStyle/>
        <a:p>
          <a:pPr lvl="0" rt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Esperanza de vida al nacer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'Decrementos Múltiples'!$Z$27</c:f>
              <c:strCache>
                <c:ptCount val="1"/>
                <c:pt idx="0">
                  <c:v>Sin homicidios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'Decrementos Múltiples'!$AA$26:$AB$26</c:f>
              <c:strCache>
                <c:ptCount val="2"/>
                <c:pt idx="0">
                  <c:v>Hombres</c:v>
                </c:pt>
                <c:pt idx="1">
                  <c:v>Mujeres</c:v>
                </c:pt>
              </c:strCache>
            </c:strRef>
          </c:cat>
          <c:val>
            <c:numRef>
              <c:f>'Decrementos Múltiples'!$AA$27:$AB$27</c:f>
              <c:numCache>
                <c:formatCode>0.00</c:formatCode>
                <c:ptCount val="2"/>
                <c:pt idx="0">
                  <c:v>72.193953818918899</c:v>
                </c:pt>
                <c:pt idx="1">
                  <c:v>76.755361624602997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81-420F-96A9-BD38FC2E92F7}"/>
            </c:ext>
          </c:extLst>
        </c:ser>
        <c:ser>
          <c:idx val="1"/>
          <c:order val="1"/>
          <c:tx>
            <c:strRef>
              <c:f>'Decrementos Múltiples'!$Z$28</c:f>
              <c:strCache>
                <c:ptCount val="1"/>
                <c:pt idx="0">
                  <c:v>Con homicidios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'Decrementos Múltiples'!$AA$26:$AB$26</c:f>
              <c:strCache>
                <c:ptCount val="2"/>
                <c:pt idx="0">
                  <c:v>Hombres</c:v>
                </c:pt>
                <c:pt idx="1">
                  <c:v>Mujeres</c:v>
                </c:pt>
              </c:strCache>
            </c:strRef>
          </c:cat>
          <c:val>
            <c:numRef>
              <c:f>'Decrementos Múltiples'!$AA$28:$AB$28</c:f>
              <c:numCache>
                <c:formatCode>0.00</c:formatCode>
                <c:ptCount val="2"/>
                <c:pt idx="0">
                  <c:v>71.491883000000001</c:v>
                </c:pt>
                <c:pt idx="1">
                  <c:v>76.572626999999997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81-420F-96A9-BD38FC2E92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65771184"/>
        <c:axId val="1065771544"/>
      </c:barChart>
      <c:catAx>
        <c:axId val="1065771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5771544"/>
        <c:crosses val="autoZero"/>
        <c:auto val="1"/>
        <c:lblAlgn val="ctr"/>
        <c:lblOffset val="100"/>
        <c:noMultiLvlLbl val="0"/>
      </c:catAx>
      <c:valAx>
        <c:axId val="106577154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crossAx val="1065771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2.png"/><Relationship Id="rId7" Type="http://schemas.openxmlformats.org/officeDocument/2006/relationships/image" Target="../media/image6.png"/><Relationship Id="rId12" Type="http://schemas.openxmlformats.org/officeDocument/2006/relationships/chart" Target="../charts/chart3.xml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6" Type="http://schemas.openxmlformats.org/officeDocument/2006/relationships/image" Target="../media/image5.png"/><Relationship Id="rId11" Type="http://schemas.openxmlformats.org/officeDocument/2006/relationships/chart" Target="../charts/chart2.xml"/><Relationship Id="rId5" Type="http://schemas.openxmlformats.org/officeDocument/2006/relationships/image" Target="../media/image4.png"/><Relationship Id="rId10" Type="http://schemas.openxmlformats.org/officeDocument/2006/relationships/image" Target="../media/image9.png"/><Relationship Id="rId4" Type="http://schemas.openxmlformats.org/officeDocument/2006/relationships/image" Target="../media/image3.png"/><Relationship Id="rId9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30</xdr:col>
      <xdr:colOff>224449</xdr:colOff>
      <xdr:row>2</xdr:row>
      <xdr:rowOff>9715</xdr:rowOff>
    </xdr:from>
    <xdr:ext cx="5696712" cy="4636008"/>
    <xdr:graphicFrame macro="">
      <xdr:nvGraphicFramePr>
        <xdr:cNvPr id="3" name="Chart 2" title="Chart">
          <a:extLst>
            <a:ext uri="{FF2B5EF4-FFF2-40B4-BE49-F238E27FC236}">
              <a16:creationId xmlns:a16="http://schemas.microsoft.com/office/drawing/2014/main" id="{907D68DC-3A2F-4D6B-BCB3-5E077A7569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5</xdr:col>
      <xdr:colOff>349250</xdr:colOff>
      <xdr:row>25</xdr:row>
      <xdr:rowOff>66675</xdr:rowOff>
    </xdr:from>
    <xdr:ext cx="323850" cy="266700"/>
    <xdr:pic>
      <xdr:nvPicPr>
        <xdr:cNvPr id="4" name="image9.png" title="Image">
          <a:extLst>
            <a:ext uri="{FF2B5EF4-FFF2-40B4-BE49-F238E27FC236}">
              <a16:creationId xmlns:a16="http://schemas.microsoft.com/office/drawing/2014/main" id="{62F14DFD-C22E-4DAC-B081-4B26FE470009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397500" y="8905875"/>
          <a:ext cx="323850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419100</xdr:colOff>
      <xdr:row>25</xdr:row>
      <xdr:rowOff>71438</xdr:rowOff>
    </xdr:from>
    <xdr:ext cx="171450" cy="257175"/>
    <xdr:pic>
      <xdr:nvPicPr>
        <xdr:cNvPr id="5" name="image8.png" title="Image">
          <a:extLst>
            <a:ext uri="{FF2B5EF4-FFF2-40B4-BE49-F238E27FC236}">
              <a16:creationId xmlns:a16="http://schemas.microsoft.com/office/drawing/2014/main" id="{32B2E5BB-EE82-448C-9D62-705DD4ABE173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6477000" y="8910638"/>
          <a:ext cx="171450" cy="2571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304800</xdr:colOff>
      <xdr:row>25</xdr:row>
      <xdr:rowOff>71438</xdr:rowOff>
    </xdr:from>
    <xdr:ext cx="381000" cy="257175"/>
    <xdr:pic>
      <xdr:nvPicPr>
        <xdr:cNvPr id="6" name="image6.png" title="Image">
          <a:extLst>
            <a:ext uri="{FF2B5EF4-FFF2-40B4-BE49-F238E27FC236}">
              <a16:creationId xmlns:a16="http://schemas.microsoft.com/office/drawing/2014/main" id="{394074CB-6772-4BC2-8182-8E0BF99F78D8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372350" y="8910638"/>
          <a:ext cx="381000" cy="257175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330200</xdr:colOff>
      <xdr:row>25</xdr:row>
      <xdr:rowOff>71438</xdr:rowOff>
    </xdr:from>
    <xdr:ext cx="381000" cy="257175"/>
    <xdr:pic>
      <xdr:nvPicPr>
        <xdr:cNvPr id="7" name="image7.png" title="Image">
          <a:extLst>
            <a:ext uri="{FF2B5EF4-FFF2-40B4-BE49-F238E27FC236}">
              <a16:creationId xmlns:a16="http://schemas.microsoft.com/office/drawing/2014/main" id="{97E4CD43-562A-4B83-9C40-7D986CEAD154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9417050" y="8910638"/>
          <a:ext cx="381000" cy="257175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330200</xdr:colOff>
      <xdr:row>25</xdr:row>
      <xdr:rowOff>71438</xdr:rowOff>
    </xdr:from>
    <xdr:ext cx="352425" cy="257175"/>
    <xdr:pic>
      <xdr:nvPicPr>
        <xdr:cNvPr id="8" name="image2.png" title="Image">
          <a:extLst>
            <a:ext uri="{FF2B5EF4-FFF2-40B4-BE49-F238E27FC236}">
              <a16:creationId xmlns:a16="http://schemas.microsoft.com/office/drawing/2014/main" id="{67506604-F8DF-4EFA-9338-AE628DEDFB53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10426700" y="8910638"/>
          <a:ext cx="352425" cy="257175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292100</xdr:colOff>
      <xdr:row>25</xdr:row>
      <xdr:rowOff>66675</xdr:rowOff>
    </xdr:from>
    <xdr:ext cx="476250" cy="266700"/>
    <xdr:pic>
      <xdr:nvPicPr>
        <xdr:cNvPr id="9" name="image5.png" title="Image">
          <a:extLst>
            <a:ext uri="{FF2B5EF4-FFF2-40B4-BE49-F238E27FC236}">
              <a16:creationId xmlns:a16="http://schemas.microsoft.com/office/drawing/2014/main" id="{4C4FB073-EADC-424A-8DE9-74BD940D5431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11398250" y="8905875"/>
          <a:ext cx="476250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13</xdr:col>
      <xdr:colOff>292100</xdr:colOff>
      <xdr:row>25</xdr:row>
      <xdr:rowOff>66675</xdr:rowOff>
    </xdr:from>
    <xdr:ext cx="390525" cy="266700"/>
    <xdr:pic>
      <xdr:nvPicPr>
        <xdr:cNvPr id="10" name="image4.png" title="Image">
          <a:extLst>
            <a:ext uri="{FF2B5EF4-FFF2-40B4-BE49-F238E27FC236}">
              <a16:creationId xmlns:a16="http://schemas.microsoft.com/office/drawing/2014/main" id="{24E9E00B-23BE-478D-AF45-8E81B9A04B17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13417550" y="8905875"/>
          <a:ext cx="39052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292100</xdr:colOff>
      <xdr:row>25</xdr:row>
      <xdr:rowOff>66675</xdr:rowOff>
    </xdr:from>
    <xdr:ext cx="476250" cy="266700"/>
    <xdr:pic>
      <xdr:nvPicPr>
        <xdr:cNvPr id="11" name="image3.png" title="Image">
          <a:extLst>
            <a:ext uri="{FF2B5EF4-FFF2-40B4-BE49-F238E27FC236}">
              <a16:creationId xmlns:a16="http://schemas.microsoft.com/office/drawing/2014/main" id="{DF701539-5FB2-443D-8911-796233E00C84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15436850" y="8905875"/>
          <a:ext cx="476250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18</xdr:col>
      <xdr:colOff>254000</xdr:colOff>
      <xdr:row>25</xdr:row>
      <xdr:rowOff>66675</xdr:rowOff>
    </xdr:from>
    <xdr:ext cx="428625" cy="266700"/>
    <xdr:pic>
      <xdr:nvPicPr>
        <xdr:cNvPr id="12" name="image1.png" title="Image">
          <a:extLst>
            <a:ext uri="{FF2B5EF4-FFF2-40B4-BE49-F238E27FC236}">
              <a16:creationId xmlns:a16="http://schemas.microsoft.com/office/drawing/2014/main" id="{483626A5-AC5B-475B-BB8C-FB916DF4C699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18427700" y="8905875"/>
          <a:ext cx="42862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342900</xdr:colOff>
      <xdr:row>2</xdr:row>
      <xdr:rowOff>74613</xdr:rowOff>
    </xdr:from>
    <xdr:ext cx="381000" cy="257175"/>
    <xdr:pic>
      <xdr:nvPicPr>
        <xdr:cNvPr id="21" name="image7.png" title="Image">
          <a:extLst>
            <a:ext uri="{FF2B5EF4-FFF2-40B4-BE49-F238E27FC236}">
              <a16:creationId xmlns:a16="http://schemas.microsoft.com/office/drawing/2014/main" id="{FEE9362B-FF64-4042-8720-BF165B366DBC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9429750" y="4678363"/>
          <a:ext cx="381000" cy="257175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304800</xdr:colOff>
      <xdr:row>2</xdr:row>
      <xdr:rowOff>74613</xdr:rowOff>
    </xdr:from>
    <xdr:ext cx="352425" cy="257175"/>
    <xdr:pic>
      <xdr:nvPicPr>
        <xdr:cNvPr id="22" name="image2.png" title="Image">
          <a:extLst>
            <a:ext uri="{FF2B5EF4-FFF2-40B4-BE49-F238E27FC236}">
              <a16:creationId xmlns:a16="http://schemas.microsoft.com/office/drawing/2014/main" id="{D35AEE4F-A816-47A8-833B-CBD8D971F2BE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10401300" y="4678363"/>
          <a:ext cx="352425" cy="2571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381000</xdr:colOff>
      <xdr:row>2</xdr:row>
      <xdr:rowOff>69850</xdr:rowOff>
    </xdr:from>
    <xdr:ext cx="323850" cy="266700"/>
    <xdr:pic>
      <xdr:nvPicPr>
        <xdr:cNvPr id="23" name="image9.png" title="Image">
          <a:extLst>
            <a:ext uri="{FF2B5EF4-FFF2-40B4-BE49-F238E27FC236}">
              <a16:creationId xmlns:a16="http://schemas.microsoft.com/office/drawing/2014/main" id="{ECC0C04A-E846-4C30-AB5C-CD8029BA731B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429250" y="4673600"/>
          <a:ext cx="323850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374650</xdr:colOff>
      <xdr:row>2</xdr:row>
      <xdr:rowOff>74613</xdr:rowOff>
    </xdr:from>
    <xdr:ext cx="171450" cy="257175"/>
    <xdr:pic>
      <xdr:nvPicPr>
        <xdr:cNvPr id="24" name="image8.png" title="Image">
          <a:extLst>
            <a:ext uri="{FF2B5EF4-FFF2-40B4-BE49-F238E27FC236}">
              <a16:creationId xmlns:a16="http://schemas.microsoft.com/office/drawing/2014/main" id="{7A4E09CD-76D2-4AA7-A119-024246666E3B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6432550" y="4678363"/>
          <a:ext cx="171450" cy="2571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349250</xdr:colOff>
      <xdr:row>2</xdr:row>
      <xdr:rowOff>74613</xdr:rowOff>
    </xdr:from>
    <xdr:ext cx="381000" cy="257175"/>
    <xdr:pic>
      <xdr:nvPicPr>
        <xdr:cNvPr id="25" name="image6.png" title="Image">
          <a:extLst>
            <a:ext uri="{FF2B5EF4-FFF2-40B4-BE49-F238E27FC236}">
              <a16:creationId xmlns:a16="http://schemas.microsoft.com/office/drawing/2014/main" id="{6ADC55F1-87D6-42F6-A9AB-AF328FF6EC4C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416800" y="4678363"/>
          <a:ext cx="381000" cy="257175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317500</xdr:colOff>
      <xdr:row>2</xdr:row>
      <xdr:rowOff>57150</xdr:rowOff>
    </xdr:from>
    <xdr:ext cx="476250" cy="266700"/>
    <xdr:pic>
      <xdr:nvPicPr>
        <xdr:cNvPr id="26" name="image5.png" title="Image">
          <a:extLst>
            <a:ext uri="{FF2B5EF4-FFF2-40B4-BE49-F238E27FC236}">
              <a16:creationId xmlns:a16="http://schemas.microsoft.com/office/drawing/2014/main" id="{CEA44CE0-1B71-444A-A5AD-5E752608E4FA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11423650" y="4660900"/>
          <a:ext cx="476250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13</xdr:col>
      <xdr:colOff>342900</xdr:colOff>
      <xdr:row>2</xdr:row>
      <xdr:rowOff>57150</xdr:rowOff>
    </xdr:from>
    <xdr:ext cx="390525" cy="266700"/>
    <xdr:pic>
      <xdr:nvPicPr>
        <xdr:cNvPr id="27" name="image4.png" title="Image">
          <a:extLst>
            <a:ext uri="{FF2B5EF4-FFF2-40B4-BE49-F238E27FC236}">
              <a16:creationId xmlns:a16="http://schemas.microsoft.com/office/drawing/2014/main" id="{4B277884-2740-4CD9-A27E-2B95F5C0F7F5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13468350" y="4660900"/>
          <a:ext cx="39052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15</xdr:col>
      <xdr:colOff>317500</xdr:colOff>
      <xdr:row>2</xdr:row>
      <xdr:rowOff>57150</xdr:rowOff>
    </xdr:from>
    <xdr:ext cx="476250" cy="266700"/>
    <xdr:pic>
      <xdr:nvPicPr>
        <xdr:cNvPr id="28" name="image3.png" title="Image">
          <a:extLst>
            <a:ext uri="{FF2B5EF4-FFF2-40B4-BE49-F238E27FC236}">
              <a16:creationId xmlns:a16="http://schemas.microsoft.com/office/drawing/2014/main" id="{41BFA287-2D2E-447E-8E03-207628D8F9D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15462250" y="4660900"/>
          <a:ext cx="476250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18</xdr:col>
      <xdr:colOff>317500</xdr:colOff>
      <xdr:row>2</xdr:row>
      <xdr:rowOff>57150</xdr:rowOff>
    </xdr:from>
    <xdr:ext cx="428625" cy="266700"/>
    <xdr:pic>
      <xdr:nvPicPr>
        <xdr:cNvPr id="29" name="image1.png" title="Image">
          <a:extLst>
            <a:ext uri="{FF2B5EF4-FFF2-40B4-BE49-F238E27FC236}">
              <a16:creationId xmlns:a16="http://schemas.microsoft.com/office/drawing/2014/main" id="{91284A07-7E89-4C08-BE19-E1EB5039FE86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18491200" y="4660900"/>
          <a:ext cx="42862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23</xdr:col>
      <xdr:colOff>841374</xdr:colOff>
      <xdr:row>2</xdr:row>
      <xdr:rowOff>0</xdr:rowOff>
    </xdr:from>
    <xdr:ext cx="5699126" cy="4635500"/>
    <xdr:graphicFrame macro="">
      <xdr:nvGraphicFramePr>
        <xdr:cNvPr id="30" name="Chart 2" title="Chart">
          <a:extLst>
            <a:ext uri="{FF2B5EF4-FFF2-40B4-BE49-F238E27FC236}">
              <a16:creationId xmlns:a16="http://schemas.microsoft.com/office/drawing/2014/main" id="{63C062C1-7608-4B83-82B7-4ACA64A823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 fLocksWithSheet="0"/>
  </xdr:oneCellAnchor>
  <xdr:twoCellAnchor>
    <xdr:from>
      <xdr:col>26</xdr:col>
      <xdr:colOff>506940</xdr:colOff>
      <xdr:row>29</xdr:row>
      <xdr:rowOff>38100</xdr:rowOff>
    </xdr:from>
    <xdr:to>
      <xdr:col>32</xdr:col>
      <xdr:colOff>736600</xdr:colOff>
      <xdr:row>44</xdr:row>
      <xdr:rowOff>177801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47F61450-812D-4B8D-9663-F686FF4E61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edescolmex-my.sharepoint.com/personal/agpena_colmex_mx/Documents/DEP_22_26/2do%20semestre/Demograf&#237;a%20Matem&#225;tica/Tareas/4.%20TV-COVID-2020.xlsx" TargetMode="External"/><Relationship Id="rId1" Type="http://schemas.openxmlformats.org/officeDocument/2006/relationships/externalLinkPath" Target="https://redescolmex-my.sharepoint.com/personal/agpena_colmex_mx/Documents/DEP_22_26/7mo%20semestre/UNAM/Ejercicios/Excel/4.%20TV-COVID-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D"/>
      <sheetName val="COVID"/>
      <sheetName val="EQ"/>
      <sheetName val="Defunciones"/>
      <sheetName val="TV"/>
    </sheetNames>
    <sheetDataSet>
      <sheetData sheetId="0"/>
      <sheetData sheetId="1">
        <row r="9">
          <cell r="B9">
            <v>208</v>
          </cell>
        </row>
      </sheetData>
      <sheetData sheetId="2"/>
      <sheetData sheetId="3">
        <row r="4">
          <cell r="D4">
            <v>19352</v>
          </cell>
        </row>
      </sheetData>
      <sheetData sheetId="4">
        <row r="4">
          <cell r="G4">
            <v>0.1</v>
          </cell>
        </row>
        <row r="29">
          <cell r="J29">
            <v>100000</v>
          </cell>
          <cell r="M29">
            <v>7544359.8487192011</v>
          </cell>
        </row>
        <row r="47">
          <cell r="M47">
            <v>211789.8627602226</v>
          </cell>
        </row>
        <row r="53">
          <cell r="J53">
            <v>100000</v>
          </cell>
          <cell r="M53">
            <v>6731814.3256840678</v>
          </cell>
        </row>
        <row r="71">
          <cell r="M71">
            <v>91674.680789131889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demographicestimation.iussp.org/content/indirect-estimation-child-mortality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"/>
  <sheetViews>
    <sheetView showGridLines="0" showRowColHeaders="0" topLeftCell="A4" workbookViewId="0">
      <selection activeCell="A4" sqref="A4:B4"/>
    </sheetView>
  </sheetViews>
  <sheetFormatPr baseColWidth="10" defaultColWidth="8.85546875" defaultRowHeight="15.75" x14ac:dyDescent="0.25"/>
  <cols>
    <col min="1" max="1" width="4" customWidth="1"/>
    <col min="2" max="2" width="75.140625" customWidth="1"/>
    <col min="3" max="3" width="27.85546875" style="7" customWidth="1"/>
    <col min="4" max="5" width="8.42578125" style="7" customWidth="1"/>
    <col min="6" max="6" width="8.85546875" style="7" customWidth="1"/>
  </cols>
  <sheetData>
    <row r="1" spans="1:6" ht="41.25" customHeight="1" x14ac:dyDescent="0.25">
      <c r="A1" s="163" t="s">
        <v>78</v>
      </c>
      <c r="B1" s="164"/>
    </row>
    <row r="3" spans="1:6" x14ac:dyDescent="0.25">
      <c r="A3" s="11" t="s">
        <v>67</v>
      </c>
      <c r="B3" s="11"/>
    </row>
    <row r="4" spans="1:6" x14ac:dyDescent="0.25">
      <c r="A4" s="172" t="s">
        <v>91</v>
      </c>
      <c r="B4" s="173"/>
      <c r="C4" s="18"/>
    </row>
    <row r="5" spans="1:6" x14ac:dyDescent="0.25">
      <c r="A5" s="1"/>
      <c r="B5" s="2"/>
    </row>
    <row r="6" spans="1:6" ht="50.25" customHeight="1" x14ac:dyDescent="0.25">
      <c r="A6" s="165" t="s">
        <v>69</v>
      </c>
      <c r="B6" s="165"/>
    </row>
    <row r="7" spans="1:6" x14ac:dyDescent="0.25">
      <c r="A7" s="1"/>
      <c r="B7" s="2"/>
    </row>
    <row r="8" spans="1:6" ht="16.5" thickBot="1" x14ac:dyDescent="0.3">
      <c r="A8" s="3" t="s">
        <v>68</v>
      </c>
      <c r="B8" s="2"/>
    </row>
    <row r="9" spans="1:6" x14ac:dyDescent="0.25">
      <c r="A9" s="4">
        <v>1</v>
      </c>
      <c r="B9" s="5" t="s">
        <v>70</v>
      </c>
      <c r="C9" s="8" t="s">
        <v>50</v>
      </c>
      <c r="D9" s="153" t="s">
        <v>94</v>
      </c>
      <c r="E9" s="153"/>
      <c r="F9" s="154" t="s">
        <v>66</v>
      </c>
    </row>
    <row r="10" spans="1:6" x14ac:dyDescent="0.25">
      <c r="A10" s="6"/>
      <c r="B10" s="2"/>
      <c r="C10" s="9"/>
      <c r="D10" s="155"/>
      <c r="E10" s="155"/>
      <c r="F10" s="156"/>
    </row>
    <row r="11" spans="1:6" ht="16.5" thickBot="1" x14ac:dyDescent="0.3">
      <c r="A11" s="2">
        <v>2</v>
      </c>
      <c r="B11" s="2" t="s">
        <v>71</v>
      </c>
      <c r="C11" s="10" t="s">
        <v>49</v>
      </c>
      <c r="D11" s="157">
        <v>43891</v>
      </c>
      <c r="E11" s="157"/>
      <c r="F11" s="158">
        <v>39617</v>
      </c>
    </row>
    <row r="12" spans="1:6" x14ac:dyDescent="0.25">
      <c r="A12" s="6"/>
      <c r="B12" s="2"/>
    </row>
    <row r="13" spans="1:6" ht="16.5" thickBot="1" x14ac:dyDescent="0.3">
      <c r="A13" s="6"/>
      <c r="B13" s="2"/>
    </row>
    <row r="14" spans="1:6" ht="16.5" thickBot="1" x14ac:dyDescent="0.3">
      <c r="A14" s="5">
        <v>3</v>
      </c>
      <c r="B14" s="2" t="s">
        <v>77</v>
      </c>
      <c r="C14" s="12" t="s">
        <v>73</v>
      </c>
      <c r="D14" s="159" t="s">
        <v>26</v>
      </c>
      <c r="E14" s="159"/>
      <c r="F14" s="160"/>
    </row>
    <row r="16" spans="1:6" ht="16.5" thickBot="1" x14ac:dyDescent="0.3">
      <c r="D16" s="14"/>
      <c r="E16" s="14"/>
      <c r="F16" s="14"/>
    </row>
    <row r="17" spans="1:6" x14ac:dyDescent="0.25">
      <c r="A17" s="1">
        <v>4</v>
      </c>
      <c r="B17" s="2" t="s">
        <v>72</v>
      </c>
      <c r="C17" s="8" t="s">
        <v>74</v>
      </c>
      <c r="D17" s="161" t="s">
        <v>7</v>
      </c>
      <c r="E17" s="161"/>
      <c r="F17" s="162"/>
    </row>
    <row r="18" spans="1:6" x14ac:dyDescent="0.25">
      <c r="C18" s="9" t="s">
        <v>75</v>
      </c>
      <c r="D18" s="166" t="s">
        <v>44</v>
      </c>
      <c r="E18" s="166"/>
      <c r="F18" s="167"/>
    </row>
    <row r="19" spans="1:6" ht="7.5" customHeight="1" x14ac:dyDescent="0.25">
      <c r="C19" s="13"/>
      <c r="F19" s="17"/>
    </row>
    <row r="20" spans="1:6" x14ac:dyDescent="0.25">
      <c r="C20" s="15" t="s">
        <v>54</v>
      </c>
      <c r="D20" s="170" t="s">
        <v>57</v>
      </c>
      <c r="E20" s="170"/>
      <c r="F20" s="171"/>
    </row>
    <row r="21" spans="1:6" ht="16.5" thickBot="1" x14ac:dyDescent="0.3">
      <c r="C21" s="16" t="s">
        <v>61</v>
      </c>
      <c r="D21" s="168">
        <v>28</v>
      </c>
      <c r="E21" s="168"/>
      <c r="F21" s="169"/>
    </row>
    <row r="23" spans="1:6" ht="30.75" customHeight="1" x14ac:dyDescent="0.25">
      <c r="A23" s="25">
        <v>5</v>
      </c>
      <c r="B23" s="2" t="s">
        <v>92</v>
      </c>
      <c r="C23" s="152" t="str">
        <f>IF(ISNA(VLOOKUP(VALUE(RIGHT(Coefficients!AM5,3)),Coefficients!$AI$34:$AI$50,1,FALSE)),"INVALID SELECTION - Please ensure that your choice of variant; family and pattern are consistent.","")</f>
        <v/>
      </c>
      <c r="D23" s="152"/>
      <c r="E23" s="152"/>
      <c r="F23" s="152"/>
    </row>
    <row r="24" spans="1:6" x14ac:dyDescent="0.25">
      <c r="A24" s="1"/>
      <c r="B24" s="2"/>
      <c r="C24" s="19"/>
      <c r="D24" s="19"/>
      <c r="E24" s="19"/>
      <c r="F24" s="19"/>
    </row>
    <row r="25" spans="1:6" ht="30.75" x14ac:dyDescent="0.25">
      <c r="A25" s="25">
        <v>6</v>
      </c>
      <c r="B25" s="2" t="s">
        <v>93</v>
      </c>
      <c r="C25" s="19"/>
      <c r="D25" s="19"/>
      <c r="E25" s="19"/>
      <c r="F25" s="19"/>
    </row>
    <row r="26" spans="1:6" x14ac:dyDescent="0.25">
      <c r="A26" s="1"/>
      <c r="B26" s="2"/>
    </row>
    <row r="27" spans="1:6" x14ac:dyDescent="0.25">
      <c r="A27" s="3" t="s">
        <v>79</v>
      </c>
      <c r="B27" s="2"/>
    </row>
    <row r="28" spans="1:6" ht="30.75" x14ac:dyDescent="0.25">
      <c r="A28" s="1"/>
      <c r="B28" s="2" t="s">
        <v>80</v>
      </c>
    </row>
    <row r="29" spans="1:6" ht="31.5" x14ac:dyDescent="0.25">
      <c r="A29" s="1"/>
      <c r="B29" s="2" t="s">
        <v>81</v>
      </c>
    </row>
    <row r="30" spans="1:6" x14ac:dyDescent="0.25">
      <c r="A30" s="1"/>
      <c r="B30" s="2"/>
    </row>
    <row r="31" spans="1:6" x14ac:dyDescent="0.25">
      <c r="A31" s="1"/>
      <c r="B31" s="2"/>
    </row>
    <row r="32" spans="1:6" x14ac:dyDescent="0.25">
      <c r="A32" s="1"/>
      <c r="B32" s="2"/>
    </row>
    <row r="33" spans="1:2" x14ac:dyDescent="0.25">
      <c r="A33" s="1"/>
      <c r="B33" s="2"/>
    </row>
    <row r="34" spans="1:2" x14ac:dyDescent="0.25">
      <c r="A34" s="1"/>
      <c r="B34" s="2"/>
    </row>
    <row r="35" spans="1:2" x14ac:dyDescent="0.25">
      <c r="A35" s="1"/>
      <c r="B35" s="2"/>
    </row>
  </sheetData>
  <sheetProtection sheet="1" objects="1" scenarios="1" selectLockedCells="1"/>
  <mergeCells count="12">
    <mergeCell ref="A1:B1"/>
    <mergeCell ref="A6:B6"/>
    <mergeCell ref="D18:F18"/>
    <mergeCell ref="D21:F21"/>
    <mergeCell ref="D20:F20"/>
    <mergeCell ref="A4:B4"/>
    <mergeCell ref="C23:F23"/>
    <mergeCell ref="D9:F9"/>
    <mergeCell ref="D10:F10"/>
    <mergeCell ref="D11:F11"/>
    <mergeCell ref="D14:F14"/>
    <mergeCell ref="D17:F17"/>
  </mergeCells>
  <conditionalFormatting sqref="C21:D21">
    <cfRule type="expression" dxfId="0" priority="1">
      <formula>FamSelect=1</formula>
    </cfRule>
  </conditionalFormatting>
  <dataValidations xWindow="930" yWindow="429" count="7">
    <dataValidation type="list" allowBlank="1" showInputMessage="1" showErrorMessage="1" sqref="D17" xr:uid="{00000000-0002-0000-0000-000000000000}">
      <formula1>Family</formula1>
    </dataValidation>
    <dataValidation type="date" showInputMessage="1" showErrorMessage="1" sqref="F11" xr:uid="{00000000-0002-0000-0000-000001000000}">
      <formula1>18264</formula1>
      <formula2>54788</formula2>
    </dataValidation>
    <dataValidation type="list" allowBlank="1" showInputMessage="1" showErrorMessage="1" sqref="D20" xr:uid="{00000000-0002-0000-0000-000002000000}">
      <formula1>Sex</formula1>
    </dataValidation>
    <dataValidation type="decimal" allowBlank="1" showInputMessage="1" showErrorMessage="1" sqref="F25" xr:uid="{00000000-0002-0000-0000-000003000000}">
      <formula1>99</formula1>
      <formula2>110</formula2>
    </dataValidation>
    <dataValidation type="list" allowBlank="1" showInputMessage="1" showErrorMessage="1" promptTitle="Variant of method" prompt="Usually this is by age of mother; but models based on duration since first birth, or duration since marriage can also be fitted. The last two models can be fitted ONLY using the Princeton life tables." sqref="D14:F14" xr:uid="{00000000-0002-0000-0000-000004000000}">
      <formula1>Variant</formula1>
    </dataValidation>
    <dataValidation type="list" showInputMessage="1" showErrorMessage="1" sqref="D18:F18" xr:uid="{00000000-0002-0000-0000-000005000000}">
      <formula1>IF(FamSelect=1,Princeton,UN)</formula1>
    </dataValidation>
    <dataValidation type="list" showDropDown="1" showInputMessage="1" showErrorMessage="1" sqref="A4" xr:uid="{00000000-0002-0000-0000-000006000000}">
      <formula1>"http://demographicestimation.iussp.org/content/indirect-estimation-child-mortality"</formula1>
    </dataValidation>
  </dataValidations>
  <hyperlinks>
    <hyperlink ref="A4" r:id="rId1" xr:uid="{00000000-0004-0000-0000-000000000000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V101"/>
  <sheetViews>
    <sheetView topLeftCell="AE1" workbookViewId="0">
      <pane ySplit="3" topLeftCell="A4" activePane="bottomLeft" state="frozenSplit"/>
      <selection pane="bottomLeft" activeCell="AM10" sqref="AM10"/>
    </sheetView>
  </sheetViews>
  <sheetFormatPr baseColWidth="10" defaultColWidth="9.140625" defaultRowHeight="12.75" customHeight="1" x14ac:dyDescent="0.2"/>
  <cols>
    <col min="1" max="1" width="8.42578125" style="20" customWidth="1"/>
    <col min="2" max="2" width="3" style="20" bestFit="1" customWidth="1"/>
    <col min="3" max="6" width="8.42578125" style="20" customWidth="1"/>
    <col min="7" max="7" width="1.42578125" style="20" customWidth="1"/>
    <col min="8" max="10" width="8.42578125" style="20" customWidth="1"/>
    <col min="11" max="11" width="2.85546875" style="20" customWidth="1"/>
    <col min="12" max="12" width="8.42578125" style="20" bestFit="1" customWidth="1"/>
    <col min="13" max="13" width="3" style="20" bestFit="1" customWidth="1"/>
    <col min="14" max="16" width="8.42578125" style="20" customWidth="1"/>
    <col min="17" max="18" width="1.42578125" style="20" customWidth="1"/>
    <col min="19" max="21" width="8.42578125" style="20" customWidth="1"/>
    <col min="22" max="22" width="2.85546875" style="20" customWidth="1"/>
    <col min="23" max="23" width="8.42578125" style="20" bestFit="1" customWidth="1"/>
    <col min="24" max="24" width="3" style="20" bestFit="1" customWidth="1"/>
    <col min="25" max="27" width="8.42578125" style="20" customWidth="1"/>
    <col min="28" max="29" width="1.42578125" style="20" customWidth="1"/>
    <col min="30" max="32" width="8.42578125" style="20" customWidth="1"/>
    <col min="33" max="33" width="9.140625" style="20"/>
    <col min="34" max="34" width="3.140625" style="20" customWidth="1"/>
    <col min="35" max="35" width="22.85546875" style="20" bestFit="1" customWidth="1"/>
    <col min="36" max="36" width="9.140625" style="20"/>
    <col min="37" max="37" width="3.140625" style="20" customWidth="1"/>
    <col min="38" max="38" width="2" style="20" bestFit="1" customWidth="1"/>
    <col min="39" max="39" width="8.140625" style="20" customWidth="1"/>
    <col min="40" max="40" width="8.85546875" style="20" bestFit="1" customWidth="1"/>
    <col min="41" max="42" width="8.140625" style="20" customWidth="1"/>
    <col min="43" max="43" width="1.42578125" style="20" customWidth="1"/>
    <col min="44" max="46" width="8.140625" style="20" customWidth="1"/>
    <col min="47" max="16384" width="9.140625" style="20"/>
  </cols>
  <sheetData>
    <row r="1" spans="1:48" s="24" customFormat="1" ht="15" customHeight="1" x14ac:dyDescent="0.3">
      <c r="A1" s="174" t="s">
        <v>27</v>
      </c>
      <c r="B1" s="174"/>
      <c r="C1" s="174"/>
      <c r="D1" s="174"/>
      <c r="E1" s="174"/>
      <c r="F1" s="174"/>
      <c r="G1" s="174"/>
      <c r="H1" s="174"/>
      <c r="I1" s="174"/>
      <c r="J1" s="174"/>
      <c r="L1" s="174" t="s">
        <v>83</v>
      </c>
      <c r="M1" s="174"/>
      <c r="N1" s="174"/>
      <c r="O1" s="174"/>
      <c r="P1" s="174"/>
      <c r="Q1" s="174"/>
      <c r="R1" s="174"/>
      <c r="S1" s="174"/>
      <c r="T1" s="174"/>
      <c r="U1" s="174"/>
      <c r="W1" s="174" t="s">
        <v>84</v>
      </c>
      <c r="X1" s="174"/>
      <c r="Y1" s="174"/>
      <c r="Z1" s="174"/>
      <c r="AA1" s="174"/>
      <c r="AB1" s="174"/>
      <c r="AC1" s="174"/>
      <c r="AD1" s="174"/>
      <c r="AE1" s="174"/>
      <c r="AF1" s="174"/>
    </row>
    <row r="2" spans="1:48" s="24" customFormat="1" ht="15" customHeight="1" x14ac:dyDescent="0.3"/>
    <row r="3" spans="1:48" s="24" customFormat="1" ht="15" customHeight="1" x14ac:dyDescent="0.3">
      <c r="C3" s="174" t="s">
        <v>15</v>
      </c>
      <c r="D3" s="174"/>
      <c r="E3" s="174"/>
      <c r="H3" s="174" t="s">
        <v>16</v>
      </c>
      <c r="I3" s="174"/>
      <c r="J3" s="174"/>
      <c r="N3" s="174" t="s">
        <v>15</v>
      </c>
      <c r="O3" s="174"/>
      <c r="P3" s="174"/>
      <c r="S3" s="174" t="s">
        <v>16</v>
      </c>
      <c r="T3" s="174"/>
      <c r="U3" s="174"/>
      <c r="Y3" s="174" t="s">
        <v>15</v>
      </c>
      <c r="Z3" s="174"/>
      <c r="AA3" s="174"/>
      <c r="AD3" s="174" t="s">
        <v>16</v>
      </c>
      <c r="AE3" s="174"/>
      <c r="AF3" s="174"/>
    </row>
    <row r="4" spans="1:48" s="24" customFormat="1" ht="15" customHeight="1" x14ac:dyDescent="0.3">
      <c r="A4" s="174" t="s">
        <v>17</v>
      </c>
      <c r="B4" s="174"/>
      <c r="C4" s="174"/>
      <c r="D4" s="174"/>
      <c r="E4" s="174"/>
      <c r="F4" s="174"/>
      <c r="G4" s="174"/>
      <c r="H4" s="174"/>
      <c r="I4" s="174"/>
      <c r="J4" s="175"/>
      <c r="L4" s="34"/>
      <c r="M4" s="47"/>
      <c r="N4" s="177" t="s">
        <v>17</v>
      </c>
      <c r="O4" s="177"/>
      <c r="P4" s="177"/>
      <c r="Q4" s="177"/>
      <c r="R4" s="177"/>
      <c r="S4" s="177"/>
      <c r="T4" s="177"/>
      <c r="U4" s="178"/>
      <c r="W4" s="34"/>
      <c r="X4" s="47"/>
      <c r="Y4" s="177" t="s">
        <v>17</v>
      </c>
      <c r="Z4" s="177"/>
      <c r="AA4" s="177"/>
      <c r="AB4" s="177"/>
      <c r="AC4" s="177"/>
      <c r="AD4" s="177"/>
      <c r="AE4" s="177"/>
      <c r="AF4" s="178"/>
      <c r="AG4" s="30"/>
      <c r="AM4" s="31"/>
      <c r="AN4" s="31"/>
      <c r="AO4" s="31"/>
      <c r="AP4" s="32"/>
      <c r="AQ4" s="33"/>
      <c r="AR4" s="31"/>
      <c r="AS4" s="31"/>
      <c r="AT4" s="31"/>
    </row>
    <row r="5" spans="1:48" s="24" customFormat="1" ht="15" customHeight="1" x14ac:dyDescent="0.3">
      <c r="A5" s="51" t="s">
        <v>53</v>
      </c>
      <c r="B5" s="52" t="s">
        <v>28</v>
      </c>
      <c r="C5" s="26" t="s">
        <v>8</v>
      </c>
      <c r="D5" s="26" t="s">
        <v>9</v>
      </c>
      <c r="E5" s="26" t="s">
        <v>10</v>
      </c>
      <c r="F5" s="26" t="s">
        <v>11</v>
      </c>
      <c r="G5" s="26"/>
      <c r="H5" s="26" t="s">
        <v>12</v>
      </c>
      <c r="I5" s="26" t="s">
        <v>13</v>
      </c>
      <c r="J5" s="53" t="s">
        <v>14</v>
      </c>
      <c r="L5" s="51" t="s">
        <v>82</v>
      </c>
      <c r="M5" s="52" t="s">
        <v>28</v>
      </c>
      <c r="N5" s="26" t="s">
        <v>8</v>
      </c>
      <c r="O5" s="26" t="s">
        <v>9</v>
      </c>
      <c r="P5" s="26" t="s">
        <v>10</v>
      </c>
      <c r="Q5" s="26"/>
      <c r="R5" s="26"/>
      <c r="S5" s="26" t="s">
        <v>12</v>
      </c>
      <c r="T5" s="26" t="s">
        <v>13</v>
      </c>
      <c r="U5" s="53" t="s">
        <v>14</v>
      </c>
      <c r="W5" s="51" t="s">
        <v>82</v>
      </c>
      <c r="X5" s="52" t="s">
        <v>28</v>
      </c>
      <c r="Y5" s="26" t="s">
        <v>8</v>
      </c>
      <c r="Z5" s="26" t="s">
        <v>9</v>
      </c>
      <c r="AA5" s="26" t="s">
        <v>10</v>
      </c>
      <c r="AB5" s="26"/>
      <c r="AC5" s="26"/>
      <c r="AD5" s="26" t="s">
        <v>12</v>
      </c>
      <c r="AE5" s="26" t="s">
        <v>13</v>
      </c>
      <c r="AF5" s="53" t="s">
        <v>14</v>
      </c>
      <c r="AH5" s="176" t="str">
        <f>Introduction!D9&amp;" "&amp;TEXT(YEAR(Introduction!D11),"####")</f>
        <v>México 2020</v>
      </c>
      <c r="AI5" s="176"/>
      <c r="AJ5" s="176"/>
      <c r="AL5" s="20"/>
      <c r="AM5" s="174" t="str">
        <f>"Coeffs_"&amp;TEXT(100*AJ8+10*AJ12+AJ23,0)</f>
        <v>Coeffs_141</v>
      </c>
      <c r="AN5" s="174"/>
      <c r="AO5" s="174"/>
      <c r="AP5" s="174"/>
      <c r="AQ5" s="174"/>
      <c r="AR5" s="174"/>
      <c r="AS5" s="174"/>
      <c r="AT5" s="174"/>
      <c r="AU5" s="174"/>
      <c r="AV5" s="174"/>
    </row>
    <row r="6" spans="1:48" ht="12.75" customHeight="1" x14ac:dyDescent="0.2">
      <c r="A6" s="36" t="s">
        <v>0</v>
      </c>
      <c r="B6" s="20">
        <v>1</v>
      </c>
      <c r="C6" s="20">
        <v>1.1119000000000001</v>
      </c>
      <c r="D6" s="20">
        <v>-2.9287000000000001</v>
      </c>
      <c r="E6" s="20">
        <v>0.85070000000000001</v>
      </c>
      <c r="H6" s="21">
        <v>1.0921000000000001</v>
      </c>
      <c r="I6" s="21">
        <v>5.4732000000000003</v>
      </c>
      <c r="J6" s="37">
        <v>-1.9672000000000001</v>
      </c>
      <c r="L6" s="36" t="s">
        <v>29</v>
      </c>
      <c r="M6" s="20">
        <v>2</v>
      </c>
      <c r="N6" s="21">
        <v>1.198</v>
      </c>
      <c r="O6" s="21">
        <v>-0.12659999999999999</v>
      </c>
      <c r="P6" s="21">
        <v>3.8E-3</v>
      </c>
      <c r="Q6" s="21"/>
      <c r="S6" s="21">
        <v>1.71</v>
      </c>
      <c r="T6" s="21">
        <v>1.07</v>
      </c>
      <c r="U6" s="37">
        <v>-0.35</v>
      </c>
      <c r="W6" s="36" t="s">
        <v>29</v>
      </c>
      <c r="X6" s="20">
        <v>2</v>
      </c>
      <c r="Y6" s="20">
        <v>1.2615000000000001</v>
      </c>
      <c r="Z6" s="20">
        <v>-0.53400000000000003</v>
      </c>
      <c r="AA6" s="20">
        <v>0.12520000000000001</v>
      </c>
      <c r="AD6" s="20">
        <v>1.0310999999999999</v>
      </c>
      <c r="AE6" s="20">
        <v>1.3149</v>
      </c>
      <c r="AF6" s="42">
        <v>-0.32819999999999999</v>
      </c>
      <c r="AH6" s="54" t="s">
        <v>49</v>
      </c>
      <c r="AI6" s="54"/>
      <c r="AJ6" s="58">
        <f>YEAR(Introduction!D11)+YEARFRAC(DATE(YEAR(Introduction!D11)-1,12,31), Introduction!D11,1)</f>
        <v>2020.1666666666667</v>
      </c>
      <c r="AL6" s="45"/>
      <c r="AM6" s="59">
        <v>0</v>
      </c>
      <c r="AN6" s="60">
        <v>1</v>
      </c>
      <c r="AO6" s="61">
        <v>2</v>
      </c>
      <c r="AP6" s="61">
        <v>3</v>
      </c>
      <c r="AQ6" s="61"/>
      <c r="AR6" s="61">
        <v>5</v>
      </c>
      <c r="AS6" s="61">
        <v>6</v>
      </c>
      <c r="AT6" s="61">
        <v>7</v>
      </c>
      <c r="AU6" s="45"/>
      <c r="AV6" s="45" t="s">
        <v>51</v>
      </c>
    </row>
    <row r="7" spans="1:48" ht="12.75" customHeight="1" x14ac:dyDescent="0.2">
      <c r="A7" s="36" t="s">
        <v>1</v>
      </c>
      <c r="B7" s="20">
        <v>2</v>
      </c>
      <c r="C7" s="20">
        <v>1.2390000000000001</v>
      </c>
      <c r="D7" s="20">
        <v>-0.6865</v>
      </c>
      <c r="E7" s="20">
        <v>-0.27450000000000002</v>
      </c>
      <c r="H7" s="21">
        <v>1.3207</v>
      </c>
      <c r="I7" s="21">
        <v>5.3750999999999998</v>
      </c>
      <c r="J7" s="37">
        <v>0.21329999999999999</v>
      </c>
      <c r="L7" s="36" t="s">
        <v>30</v>
      </c>
      <c r="M7" s="20">
        <v>5</v>
      </c>
      <c r="N7" s="21">
        <v>1.2248000000000001</v>
      </c>
      <c r="O7" s="21">
        <v>-0.19189999999999999</v>
      </c>
      <c r="P7" s="21">
        <v>-8.6999999999999994E-2</v>
      </c>
      <c r="Q7" s="21"/>
      <c r="S7" s="21">
        <v>2.16</v>
      </c>
      <c r="T7" s="21">
        <v>4.3600000000000003</v>
      </c>
      <c r="U7" s="37">
        <v>0.12</v>
      </c>
      <c r="W7" s="36" t="s">
        <v>30</v>
      </c>
      <c r="X7" s="20">
        <v>3</v>
      </c>
      <c r="Y7" s="20">
        <v>1.1957</v>
      </c>
      <c r="Z7" s="20">
        <v>-0.4103</v>
      </c>
      <c r="AA7" s="20">
        <v>-9.2999999999999999E-2</v>
      </c>
      <c r="AD7" s="20">
        <v>1.6963999999999999</v>
      </c>
      <c r="AE7" s="20">
        <v>4.5147000000000004</v>
      </c>
      <c r="AF7" s="42">
        <v>-1.6E-2</v>
      </c>
      <c r="AH7" s="54"/>
      <c r="AI7" s="54"/>
      <c r="AJ7" s="54"/>
      <c r="AL7" s="20">
        <v>0</v>
      </c>
      <c r="AM7" s="28">
        <f t="shared" ref="AM7:AP13" ca="1" si="0">OFFSET(INDIRECT($AM$5),$AL7,AM$6)</f>
        <v>1.1415</v>
      </c>
      <c r="AN7" s="28">
        <f t="shared" ca="1" si="0"/>
        <v>-2.7069999999999999</v>
      </c>
      <c r="AO7" s="28">
        <f t="shared" ca="1" si="0"/>
        <v>0.76629999999999998</v>
      </c>
      <c r="AP7" s="28">
        <f t="shared" ca="1" si="0"/>
        <v>0</v>
      </c>
      <c r="AQ7" s="28"/>
      <c r="AR7" s="28">
        <f t="shared" ref="AR7:AT13" ca="1" si="1">OFFSET(INDIRECT($AM$5),$AL7,AR$6)</f>
        <v>1.097</v>
      </c>
      <c r="AS7" s="28">
        <f t="shared" ca="1" si="1"/>
        <v>5.5628000000000002</v>
      </c>
      <c r="AT7" s="28">
        <f t="shared" ca="1" si="1"/>
        <v>-1.9956</v>
      </c>
      <c r="AV7" s="29">
        <f t="shared" ref="AV7:AV13" ca="1" si="2">OFFSET(INDIRECT($AM$5),AL7,-1)</f>
        <v>1</v>
      </c>
    </row>
    <row r="8" spans="1:48" ht="12.75" customHeight="1" x14ac:dyDescent="0.2">
      <c r="A8" s="36" t="s">
        <v>2</v>
      </c>
      <c r="B8" s="20">
        <v>3</v>
      </c>
      <c r="C8" s="20">
        <v>1.1883999999999999</v>
      </c>
      <c r="D8" s="20">
        <v>4.2099999999999999E-2</v>
      </c>
      <c r="E8" s="20">
        <v>-0.51559999999999995</v>
      </c>
      <c r="H8" s="21">
        <v>1.5995999999999999</v>
      </c>
      <c r="I8" s="21">
        <v>2.6267999999999998</v>
      </c>
      <c r="J8" s="37">
        <v>4.3700999999999999</v>
      </c>
      <c r="L8" s="36" t="s">
        <v>31</v>
      </c>
      <c r="M8" s="20">
        <v>5</v>
      </c>
      <c r="N8" s="21">
        <v>1.2076</v>
      </c>
      <c r="O8" s="21">
        <v>-1.0500000000000001E-2</v>
      </c>
      <c r="P8" s="21">
        <v>-0.29110000000000003</v>
      </c>
      <c r="Q8" s="21"/>
      <c r="S8" s="21">
        <v>0.66</v>
      </c>
      <c r="T8" s="21">
        <v>3.5</v>
      </c>
      <c r="U8" s="37">
        <v>6.65</v>
      </c>
      <c r="W8" s="36" t="s">
        <v>31</v>
      </c>
      <c r="X8" s="20">
        <v>5</v>
      </c>
      <c r="Y8" s="20">
        <v>1.3067</v>
      </c>
      <c r="Z8" s="20">
        <v>-1.03E-2</v>
      </c>
      <c r="AA8" s="20">
        <v>-0.46179999999999999</v>
      </c>
      <c r="AD8" s="20">
        <v>1.4285000000000001</v>
      </c>
      <c r="AE8" s="20">
        <v>3.2684000000000002</v>
      </c>
      <c r="AF8" s="42">
        <v>4.4073000000000002</v>
      </c>
      <c r="AH8" s="54" t="s">
        <v>86</v>
      </c>
      <c r="AI8" s="54"/>
      <c r="AJ8" s="54">
        <f>MATCH(Introduction!D17,Family,0)</f>
        <v>1</v>
      </c>
      <c r="AL8" s="20">
        <v>1</v>
      </c>
      <c r="AM8" s="28">
        <f t="shared" ca="1" si="0"/>
        <v>1.2563</v>
      </c>
      <c r="AN8" s="28">
        <f t="shared" ca="1" si="0"/>
        <v>-0.53810000000000002</v>
      </c>
      <c r="AO8" s="28">
        <f t="shared" ca="1" si="0"/>
        <v>-0.26369999999999999</v>
      </c>
      <c r="AP8" s="28">
        <f t="shared" ca="1" si="0"/>
        <v>0</v>
      </c>
      <c r="AQ8" s="28"/>
      <c r="AR8" s="28">
        <f t="shared" ca="1" si="1"/>
        <v>1.3062</v>
      </c>
      <c r="AS8" s="28">
        <f t="shared" ca="1" si="1"/>
        <v>5.5677000000000003</v>
      </c>
      <c r="AT8" s="28">
        <f t="shared" ca="1" si="1"/>
        <v>0.29620000000000002</v>
      </c>
      <c r="AV8" s="29">
        <f t="shared" ca="1" si="2"/>
        <v>2</v>
      </c>
    </row>
    <row r="9" spans="1:48" ht="12.75" customHeight="1" x14ac:dyDescent="0.2">
      <c r="A9" s="36" t="s">
        <v>3</v>
      </c>
      <c r="B9" s="20">
        <v>5</v>
      </c>
      <c r="C9" s="20">
        <v>1.2045999999999999</v>
      </c>
      <c r="D9" s="20">
        <v>0.30370000000000003</v>
      </c>
      <c r="E9" s="20">
        <v>-0.56559999999999999</v>
      </c>
      <c r="H9" s="21">
        <v>2.0779000000000001</v>
      </c>
      <c r="I9" s="21">
        <v>-1.7907999999999999</v>
      </c>
      <c r="J9" s="37">
        <v>9.4125999999999994</v>
      </c>
      <c r="L9" s="36" t="s">
        <v>0</v>
      </c>
      <c r="M9" s="20">
        <v>5</v>
      </c>
      <c r="N9" s="21">
        <v>1.2030000000000001</v>
      </c>
      <c r="O9" s="21">
        <v>8.9599999999999999E-2</v>
      </c>
      <c r="P9" s="21">
        <v>-0.42649999999999999</v>
      </c>
      <c r="Q9" s="21"/>
      <c r="S9" s="21">
        <v>-1.96</v>
      </c>
      <c r="T9" s="21">
        <v>-0.9</v>
      </c>
      <c r="U9" s="37">
        <v>17.66</v>
      </c>
      <c r="W9" s="36" t="s">
        <v>0</v>
      </c>
      <c r="X9" s="20">
        <v>10</v>
      </c>
      <c r="Y9" s="20">
        <v>1.4701</v>
      </c>
      <c r="Z9" s="20">
        <v>0.17630000000000001</v>
      </c>
      <c r="AA9" s="20">
        <v>-0.7268</v>
      </c>
      <c r="AD9" s="20">
        <v>-7.5300000000000006E-2</v>
      </c>
      <c r="AE9" s="20">
        <v>-1.08</v>
      </c>
      <c r="AF9" s="42">
        <v>12.928100000000001</v>
      </c>
      <c r="AH9" s="54"/>
      <c r="AI9" s="55" t="s">
        <v>7</v>
      </c>
      <c r="AJ9" s="54"/>
      <c r="AL9" s="20">
        <v>2</v>
      </c>
      <c r="AM9" s="28">
        <f t="shared" ca="1" si="0"/>
        <v>1.1851</v>
      </c>
      <c r="AN9" s="28">
        <f t="shared" ca="1" si="0"/>
        <v>6.3299999999999995E-2</v>
      </c>
      <c r="AO9" s="28">
        <f t="shared" ca="1" si="0"/>
        <v>-0.41770000000000002</v>
      </c>
      <c r="AP9" s="28">
        <f t="shared" ca="1" si="0"/>
        <v>0</v>
      </c>
      <c r="AQ9" s="28"/>
      <c r="AR9" s="28">
        <f t="shared" ca="1" si="1"/>
        <v>1.5305</v>
      </c>
      <c r="AS9" s="28">
        <f t="shared" ca="1" si="1"/>
        <v>2.5528</v>
      </c>
      <c r="AT9" s="28">
        <f t="shared" ca="1" si="1"/>
        <v>4.8962000000000003</v>
      </c>
      <c r="AV9" s="29">
        <f t="shared" ca="1" si="2"/>
        <v>3</v>
      </c>
    </row>
    <row r="10" spans="1:48" ht="12.75" customHeight="1" x14ac:dyDescent="0.2">
      <c r="A10" s="36" t="s">
        <v>4</v>
      </c>
      <c r="B10" s="20">
        <v>10</v>
      </c>
      <c r="C10" s="20">
        <v>1.2585999999999999</v>
      </c>
      <c r="D10" s="20">
        <v>0.42359999999999998</v>
      </c>
      <c r="E10" s="20">
        <v>-0.58979999999999999</v>
      </c>
      <c r="H10" s="21">
        <v>2.7705000000000002</v>
      </c>
      <c r="I10" s="21">
        <v>-7.3403</v>
      </c>
      <c r="J10" s="37">
        <v>14.9352</v>
      </c>
      <c r="L10" s="36" t="s">
        <v>1</v>
      </c>
      <c r="M10" s="20">
        <v>10</v>
      </c>
      <c r="N10" s="21">
        <v>1.3291999999999999</v>
      </c>
      <c r="O10" s="21">
        <v>0.1598</v>
      </c>
      <c r="P10" s="21">
        <v>-0.57779999999999998</v>
      </c>
      <c r="Q10" s="21"/>
      <c r="S10" s="21">
        <v>-3.85</v>
      </c>
      <c r="T10" s="21">
        <v>-6.42</v>
      </c>
      <c r="U10" s="37">
        <v>28.94</v>
      </c>
      <c r="W10" s="36" t="s">
        <v>1</v>
      </c>
      <c r="X10" s="20">
        <v>15</v>
      </c>
      <c r="Y10" s="20">
        <v>1.5039</v>
      </c>
      <c r="Z10" s="20">
        <v>3.8999999999999998E-3</v>
      </c>
      <c r="AA10" s="20">
        <v>-0.70709999999999995</v>
      </c>
      <c r="AD10" s="20">
        <v>-1.9749000000000001</v>
      </c>
      <c r="AE10" s="20">
        <v>-3.4773000000000001</v>
      </c>
      <c r="AF10" s="42">
        <v>21.331800000000001</v>
      </c>
      <c r="AH10" s="54"/>
      <c r="AI10" s="57" t="s">
        <v>40</v>
      </c>
      <c r="AJ10" s="54"/>
      <c r="AL10" s="20">
        <v>3</v>
      </c>
      <c r="AM10" s="28">
        <f t="shared" ca="1" si="0"/>
        <v>1.1719999999999999</v>
      </c>
      <c r="AN10" s="28">
        <f t="shared" ca="1" si="0"/>
        <v>0.2341</v>
      </c>
      <c r="AO10" s="28">
        <f t="shared" ca="1" si="0"/>
        <v>-0.42720000000000002</v>
      </c>
      <c r="AP10" s="28">
        <f t="shared" ca="1" si="0"/>
        <v>0</v>
      </c>
      <c r="AQ10" s="28"/>
      <c r="AR10" s="28">
        <f t="shared" ca="1" si="1"/>
        <v>1.9991000000000001</v>
      </c>
      <c r="AS10" s="28">
        <f t="shared" ca="1" si="1"/>
        <v>-2.4260999999999999</v>
      </c>
      <c r="AT10" s="28">
        <f t="shared" ca="1" si="1"/>
        <v>10.4282</v>
      </c>
      <c r="AV10" s="29">
        <f t="shared" ca="1" si="2"/>
        <v>5</v>
      </c>
    </row>
    <row r="11" spans="1:48" ht="12.75" customHeight="1" x14ac:dyDescent="0.2">
      <c r="A11" s="36" t="s">
        <v>5</v>
      </c>
      <c r="B11" s="20">
        <v>15</v>
      </c>
      <c r="C11" s="20">
        <v>1.224</v>
      </c>
      <c r="D11" s="20">
        <v>0.42220000000000002</v>
      </c>
      <c r="E11" s="20">
        <v>-0.54559999999999997</v>
      </c>
      <c r="H11" s="21">
        <v>4.1520000000000001</v>
      </c>
      <c r="I11" s="21">
        <v>-12.2448</v>
      </c>
      <c r="J11" s="37">
        <v>19.2349</v>
      </c>
      <c r="L11" s="36"/>
      <c r="U11" s="42"/>
      <c r="W11" s="36" t="s">
        <v>2</v>
      </c>
      <c r="X11" s="20">
        <v>20</v>
      </c>
      <c r="Y11" s="20">
        <v>1.4798</v>
      </c>
      <c r="Z11" s="20">
        <v>-0.2487</v>
      </c>
      <c r="AA11" s="20">
        <v>-0.55820000000000003</v>
      </c>
      <c r="AD11" s="20">
        <v>-2.1888000000000001</v>
      </c>
      <c r="AE11" s="20">
        <v>0.61240000000000006</v>
      </c>
      <c r="AF11" s="42">
        <v>23.9376</v>
      </c>
      <c r="AH11" s="54"/>
      <c r="AI11" s="54"/>
      <c r="AJ11" s="54"/>
      <c r="AL11" s="20">
        <v>4</v>
      </c>
      <c r="AM11" s="28">
        <f t="shared" ca="1" si="0"/>
        <v>1.1865000000000001</v>
      </c>
      <c r="AN11" s="28">
        <f t="shared" ca="1" si="0"/>
        <v>0.308</v>
      </c>
      <c r="AO11" s="28">
        <f t="shared" ca="1" si="0"/>
        <v>-0.44519999999999998</v>
      </c>
      <c r="AP11" s="28">
        <f t="shared" ca="1" si="0"/>
        <v>0</v>
      </c>
      <c r="AQ11" s="28"/>
      <c r="AR11" s="28">
        <f t="shared" ca="1" si="1"/>
        <v>2.7631999999999999</v>
      </c>
      <c r="AS11" s="28">
        <f t="shared" ca="1" si="1"/>
        <v>-8.4064999999999994</v>
      </c>
      <c r="AT11" s="28">
        <f t="shared" ca="1" si="1"/>
        <v>16.178699999999999</v>
      </c>
      <c r="AV11" s="29">
        <f t="shared" ca="1" si="2"/>
        <v>10</v>
      </c>
    </row>
    <row r="12" spans="1:48" ht="12.75" customHeight="1" x14ac:dyDescent="0.2">
      <c r="A12" s="36" t="s">
        <v>6</v>
      </c>
      <c r="B12" s="20">
        <v>20</v>
      </c>
      <c r="C12" s="20">
        <v>1.1772</v>
      </c>
      <c r="D12" s="20">
        <v>0.34860000000000002</v>
      </c>
      <c r="E12" s="20">
        <v>-0.46239999999999998</v>
      </c>
      <c r="H12" s="21">
        <v>6.9649999999999999</v>
      </c>
      <c r="I12" s="21">
        <v>-13.916</v>
      </c>
      <c r="J12" s="37">
        <v>19.9542</v>
      </c>
      <c r="L12" s="36"/>
      <c r="U12" s="42"/>
      <c r="W12" s="36"/>
      <c r="AE12" s="49"/>
      <c r="AF12" s="50"/>
      <c r="AG12" s="23"/>
      <c r="AH12" s="54" t="s">
        <v>87</v>
      </c>
      <c r="AI12" s="54"/>
      <c r="AJ12" s="54">
        <f>MATCH(Introduction!D18,IF(AJ8=1,Princeton,UN),0)</f>
        <v>4</v>
      </c>
      <c r="AL12" s="20">
        <v>5</v>
      </c>
      <c r="AM12" s="28">
        <f t="shared" ca="1" si="0"/>
        <v>1.1746000000000001</v>
      </c>
      <c r="AN12" s="28">
        <f t="shared" ca="1" si="0"/>
        <v>0.33139999999999997</v>
      </c>
      <c r="AO12" s="28">
        <f t="shared" ca="1" si="0"/>
        <v>-0.45369999999999999</v>
      </c>
      <c r="AP12" s="28">
        <f t="shared" ca="1" si="0"/>
        <v>0</v>
      </c>
      <c r="AQ12" s="28"/>
      <c r="AR12" s="28">
        <f t="shared" ca="1" si="1"/>
        <v>4.3468</v>
      </c>
      <c r="AS12" s="28">
        <f t="shared" ca="1" si="1"/>
        <v>-13.243600000000001</v>
      </c>
      <c r="AT12" s="28">
        <f t="shared" ca="1" si="1"/>
        <v>20.199000000000002</v>
      </c>
      <c r="AV12" s="29">
        <f t="shared" ca="1" si="2"/>
        <v>15</v>
      </c>
    </row>
    <row r="13" spans="1:48" ht="12.75" customHeight="1" x14ac:dyDescent="0.2">
      <c r="A13" s="38"/>
      <c r="B13" s="39"/>
      <c r="C13" s="27"/>
      <c r="D13" s="27"/>
      <c r="E13" s="27"/>
      <c r="F13" s="27"/>
      <c r="G13" s="27"/>
      <c r="H13" s="27"/>
      <c r="I13" s="27"/>
      <c r="J13" s="40"/>
      <c r="L13" s="36"/>
      <c r="U13" s="42"/>
      <c r="W13" s="36"/>
      <c r="AE13" s="48"/>
      <c r="AF13" s="50"/>
      <c r="AG13" s="23"/>
      <c r="AH13" s="54"/>
      <c r="AI13" s="55" t="s">
        <v>41</v>
      </c>
      <c r="AJ13" s="54"/>
      <c r="AL13" s="20">
        <v>6</v>
      </c>
      <c r="AM13" s="28">
        <f t="shared" ca="1" si="0"/>
        <v>1.1638999999999999</v>
      </c>
      <c r="AN13" s="28">
        <f t="shared" ca="1" si="0"/>
        <v>0.31900000000000001</v>
      </c>
      <c r="AO13" s="28">
        <f t="shared" ca="1" si="0"/>
        <v>-0.44350000000000001</v>
      </c>
      <c r="AP13" s="28">
        <f t="shared" ca="1" si="0"/>
        <v>0</v>
      </c>
      <c r="AQ13" s="28"/>
      <c r="AR13" s="28">
        <f t="shared" ca="1" si="1"/>
        <v>7.5242000000000004</v>
      </c>
      <c r="AS13" s="28">
        <f t="shared" ca="1" si="1"/>
        <v>-14.2013</v>
      </c>
      <c r="AT13" s="28">
        <f t="shared" ca="1" si="1"/>
        <v>20.016200000000001</v>
      </c>
      <c r="AV13" s="29">
        <f t="shared" ca="1" si="2"/>
        <v>20</v>
      </c>
    </row>
    <row r="14" spans="1:48" ht="12.75" customHeight="1" x14ac:dyDescent="0.2">
      <c r="A14" s="41"/>
      <c r="B14" s="27"/>
      <c r="C14" s="27"/>
      <c r="D14" s="27"/>
      <c r="E14" s="27"/>
      <c r="F14" s="27"/>
      <c r="G14" s="27"/>
      <c r="H14" s="27"/>
      <c r="I14" s="27"/>
      <c r="J14" s="40"/>
      <c r="L14" s="36"/>
      <c r="U14" s="42"/>
      <c r="W14" s="36"/>
      <c r="AE14" s="48"/>
      <c r="AF14" s="50"/>
      <c r="AG14" s="23"/>
      <c r="AH14" s="54"/>
      <c r="AI14" s="56" t="s">
        <v>42</v>
      </c>
      <c r="AJ14" s="54"/>
    </row>
    <row r="15" spans="1:48" ht="15" customHeight="1" x14ac:dyDescent="0.3">
      <c r="A15" s="174" t="s">
        <v>18</v>
      </c>
      <c r="B15" s="174"/>
      <c r="C15" s="174"/>
      <c r="D15" s="174"/>
      <c r="E15" s="174"/>
      <c r="F15" s="174"/>
      <c r="G15" s="174"/>
      <c r="H15" s="174"/>
      <c r="I15" s="174"/>
      <c r="J15" s="175"/>
      <c r="K15" s="24"/>
      <c r="L15" s="35"/>
      <c r="M15" s="24"/>
      <c r="N15" s="174" t="s">
        <v>18</v>
      </c>
      <c r="O15" s="174"/>
      <c r="P15" s="174"/>
      <c r="Q15" s="174"/>
      <c r="R15" s="174"/>
      <c r="S15" s="174"/>
      <c r="T15" s="174"/>
      <c r="U15" s="175"/>
      <c r="V15" s="24"/>
      <c r="W15" s="35"/>
      <c r="X15" s="24"/>
      <c r="Y15" s="174" t="s">
        <v>18</v>
      </c>
      <c r="Z15" s="174"/>
      <c r="AA15" s="174"/>
      <c r="AB15" s="174"/>
      <c r="AC15" s="174"/>
      <c r="AD15" s="174"/>
      <c r="AE15" s="174"/>
      <c r="AF15" s="175"/>
      <c r="AG15" s="23"/>
      <c r="AH15" s="54"/>
      <c r="AI15" s="56" t="s">
        <v>43</v>
      </c>
      <c r="AJ15" s="54"/>
      <c r="AM15" s="174" t="s">
        <v>65</v>
      </c>
      <c r="AN15" s="174"/>
      <c r="AO15" s="24"/>
      <c r="AP15" s="28"/>
      <c r="AQ15" s="28"/>
      <c r="AR15" s="28"/>
      <c r="AS15" s="28"/>
      <c r="AT15" s="28"/>
    </row>
    <row r="16" spans="1:48" ht="12.75" customHeight="1" x14ac:dyDescent="0.3">
      <c r="A16" s="51" t="s">
        <v>53</v>
      </c>
      <c r="B16" s="52" t="s">
        <v>28</v>
      </c>
      <c r="C16" s="26" t="s">
        <v>8</v>
      </c>
      <c r="D16" s="26" t="s">
        <v>9</v>
      </c>
      <c r="E16" s="26" t="s">
        <v>10</v>
      </c>
      <c r="F16" s="26" t="s">
        <v>11</v>
      </c>
      <c r="G16" s="26"/>
      <c r="H16" s="26" t="s">
        <v>12</v>
      </c>
      <c r="I16" s="26" t="s">
        <v>13</v>
      </c>
      <c r="J16" s="53" t="s">
        <v>14</v>
      </c>
      <c r="L16" s="51" t="s">
        <v>82</v>
      </c>
      <c r="M16" s="52" t="s">
        <v>28</v>
      </c>
      <c r="N16" s="26" t="s">
        <v>8</v>
      </c>
      <c r="O16" s="26" t="s">
        <v>9</v>
      </c>
      <c r="P16" s="26" t="s">
        <v>10</v>
      </c>
      <c r="Q16" s="26"/>
      <c r="R16" s="26"/>
      <c r="S16" s="26" t="s">
        <v>12</v>
      </c>
      <c r="T16" s="26" t="s">
        <v>13</v>
      </c>
      <c r="U16" s="53" t="s">
        <v>14</v>
      </c>
      <c r="W16" s="51" t="s">
        <v>82</v>
      </c>
      <c r="X16" s="52" t="s">
        <v>28</v>
      </c>
      <c r="Y16" s="26" t="s">
        <v>8</v>
      </c>
      <c r="Z16" s="26" t="s">
        <v>9</v>
      </c>
      <c r="AA16" s="26" t="s">
        <v>10</v>
      </c>
      <c r="AB16" s="26"/>
      <c r="AC16" s="26"/>
      <c r="AD16" s="26" t="s">
        <v>12</v>
      </c>
      <c r="AE16" s="26" t="s">
        <v>13</v>
      </c>
      <c r="AF16" s="53" t="s">
        <v>14</v>
      </c>
      <c r="AG16" s="23"/>
      <c r="AH16" s="54"/>
      <c r="AI16" s="57" t="s">
        <v>44</v>
      </c>
      <c r="AJ16" s="54"/>
      <c r="AM16" s="77" t="s">
        <v>28</v>
      </c>
      <c r="AN16" s="79" t="s">
        <v>90</v>
      </c>
      <c r="AO16" s="24"/>
      <c r="AP16" s="28"/>
      <c r="AQ16" s="28"/>
      <c r="AR16" s="28"/>
      <c r="AS16" s="28"/>
      <c r="AT16" s="28"/>
    </row>
    <row r="17" spans="1:46" ht="12.75" customHeight="1" x14ac:dyDescent="0.2">
      <c r="A17" s="36" t="s">
        <v>0</v>
      </c>
      <c r="B17" s="20">
        <v>1</v>
      </c>
      <c r="C17" s="20">
        <v>1.0819000000000001</v>
      </c>
      <c r="D17" s="20">
        <v>-3.0005000000000002</v>
      </c>
      <c r="E17" s="20">
        <v>0.86890000000000001</v>
      </c>
      <c r="F17" s="27"/>
      <c r="G17" s="27"/>
      <c r="H17" s="21">
        <v>1.0900000000000001</v>
      </c>
      <c r="I17" s="21">
        <v>5.4443000000000001</v>
      </c>
      <c r="J17" s="37">
        <v>-1.9721</v>
      </c>
      <c r="L17" s="36" t="s">
        <v>29</v>
      </c>
      <c r="M17" s="20">
        <v>2</v>
      </c>
      <c r="N17" s="20">
        <v>1.1705000000000001</v>
      </c>
      <c r="O17" s="20">
        <v>-0.14610000000000001</v>
      </c>
      <c r="P17" s="20">
        <v>5.1000000000000004E-3</v>
      </c>
      <c r="S17" s="21">
        <v>1.68</v>
      </c>
      <c r="T17" s="21">
        <v>0.96</v>
      </c>
      <c r="U17" s="37">
        <v>-0.32</v>
      </c>
      <c r="W17" s="36" t="s">
        <v>29</v>
      </c>
      <c r="X17" s="20">
        <v>2</v>
      </c>
      <c r="Y17" s="20">
        <v>1.3103</v>
      </c>
      <c r="Z17" s="20">
        <v>-0.58560000000000001</v>
      </c>
      <c r="AA17" s="20">
        <v>0.13669999999999999</v>
      </c>
      <c r="AD17" s="20">
        <v>1.0202</v>
      </c>
      <c r="AE17" s="48">
        <v>1.3064</v>
      </c>
      <c r="AF17" s="50">
        <v>-0.32969999999999999</v>
      </c>
      <c r="AG17" s="23"/>
      <c r="AH17" s="54"/>
      <c r="AI17" s="55" t="s">
        <v>45</v>
      </c>
      <c r="AJ17" s="54"/>
      <c r="AM17" s="64">
        <v>0</v>
      </c>
      <c r="AN17" s="80"/>
      <c r="AO17" s="66"/>
      <c r="AP17" s="27"/>
      <c r="AQ17" s="27"/>
      <c r="AR17" s="27"/>
      <c r="AS17" s="27"/>
      <c r="AT17" s="27"/>
    </row>
    <row r="18" spans="1:46" ht="12.75" customHeight="1" x14ac:dyDescent="0.2">
      <c r="A18" s="36" t="s">
        <v>1</v>
      </c>
      <c r="B18" s="20">
        <v>2</v>
      </c>
      <c r="C18" s="20">
        <v>1.2846</v>
      </c>
      <c r="D18" s="20">
        <v>-0.61809999999999998</v>
      </c>
      <c r="E18" s="20">
        <v>-0.3024</v>
      </c>
      <c r="F18" s="27"/>
      <c r="G18" s="27"/>
      <c r="H18" s="21">
        <v>1.3079000000000001</v>
      </c>
      <c r="I18" s="21">
        <v>5.5568</v>
      </c>
      <c r="J18" s="37">
        <v>0.2021</v>
      </c>
      <c r="L18" s="36" t="s">
        <v>30</v>
      </c>
      <c r="M18" s="20">
        <v>5</v>
      </c>
      <c r="N18" s="20">
        <v>1.3166</v>
      </c>
      <c r="O18" s="20">
        <v>-0.31569999999999998</v>
      </c>
      <c r="P18" s="20">
        <v>-9.7100000000000006E-2</v>
      </c>
      <c r="S18" s="21">
        <v>2.29</v>
      </c>
      <c r="T18" s="21">
        <v>3.84</v>
      </c>
      <c r="U18" s="37">
        <v>-0.01</v>
      </c>
      <c r="W18" s="36" t="s">
        <v>30</v>
      </c>
      <c r="X18" s="20">
        <v>3</v>
      </c>
      <c r="Y18" s="20">
        <v>1.2309000000000001</v>
      </c>
      <c r="Z18" s="20">
        <v>-0.3463</v>
      </c>
      <c r="AA18" s="20">
        <v>-0.10730000000000001</v>
      </c>
      <c r="AD18" s="20">
        <v>1.6600999999999999</v>
      </c>
      <c r="AE18" s="49">
        <v>4.5105000000000004</v>
      </c>
      <c r="AF18" s="50">
        <v>-3.3500000000000002E-2</v>
      </c>
      <c r="AG18" s="23"/>
      <c r="AH18" s="54"/>
      <c r="AI18" s="56" t="s">
        <v>76</v>
      </c>
      <c r="AJ18" s="54"/>
      <c r="AM18" s="65">
        <v>1</v>
      </c>
      <c r="AN18" s="81">
        <f>HLOOKUP(Coefficients!$AJ$8*100+Coefficients!$AJ$12*10+Coefficients!$AJ$28,'Model LTs'!$A$2:$AB$13,5,FALSE)</f>
        <v>-1.2920084625948782</v>
      </c>
      <c r="AO18" s="78"/>
    </row>
    <row r="19" spans="1:46" ht="12.75" customHeight="1" x14ac:dyDescent="0.2">
      <c r="A19" s="36" t="s">
        <v>2</v>
      </c>
      <c r="B19" s="20">
        <v>3</v>
      </c>
      <c r="C19" s="20">
        <v>1.2222999999999999</v>
      </c>
      <c r="D19" s="20">
        <v>8.5099999999999995E-2</v>
      </c>
      <c r="E19" s="20">
        <v>-0.47039999999999998</v>
      </c>
      <c r="F19" s="27"/>
      <c r="G19" s="27"/>
      <c r="H19" s="21">
        <v>1.5173000000000001</v>
      </c>
      <c r="I19" s="21">
        <v>2.6755</v>
      </c>
      <c r="J19" s="37">
        <v>4.7470999999999997</v>
      </c>
      <c r="L19" s="36" t="s">
        <v>31</v>
      </c>
      <c r="M19" s="20">
        <v>5</v>
      </c>
      <c r="N19" s="20">
        <v>1.2951999999999999</v>
      </c>
      <c r="O19" s="20">
        <v>-4.2299999999999997E-2</v>
      </c>
      <c r="P19" s="20">
        <v>-0.42949999999999999</v>
      </c>
      <c r="S19" s="21">
        <v>1.19</v>
      </c>
      <c r="T19" s="21">
        <v>3.45</v>
      </c>
      <c r="U19" s="37">
        <v>5.41</v>
      </c>
      <c r="W19" s="36" t="s">
        <v>31</v>
      </c>
      <c r="X19" s="20">
        <v>5</v>
      </c>
      <c r="Y19" s="20">
        <v>1.2774000000000001</v>
      </c>
      <c r="Z19" s="20">
        <v>3.3599999999999998E-2</v>
      </c>
      <c r="AA19" s="20">
        <v>-0.3987</v>
      </c>
      <c r="AD19" s="20">
        <v>1.2145999999999999</v>
      </c>
      <c r="AE19" s="20">
        <v>3.4683999999999999</v>
      </c>
      <c r="AF19" s="42">
        <v>4.9523999999999999</v>
      </c>
      <c r="AH19" s="54"/>
      <c r="AI19" s="56" t="s">
        <v>46</v>
      </c>
      <c r="AJ19" s="54"/>
      <c r="AM19" s="65">
        <v>2</v>
      </c>
      <c r="AN19" s="81">
        <f>HLOOKUP(Coefficients!$AJ$8*100+Coefficients!$AJ$12*10+Coefficients!$AJ$28,'Model LTs'!$A$2:$AB$13,6,FALSE)</f>
        <v>-1.199382018993584</v>
      </c>
      <c r="AO19" s="78"/>
    </row>
    <row r="20" spans="1:46" ht="12.75" customHeight="1" x14ac:dyDescent="0.2">
      <c r="A20" s="36" t="s">
        <v>3</v>
      </c>
      <c r="B20" s="20">
        <v>5</v>
      </c>
      <c r="C20" s="20">
        <v>1.1904999999999999</v>
      </c>
      <c r="D20" s="20">
        <v>0.2631</v>
      </c>
      <c r="E20" s="20">
        <v>-0.44869999999999999</v>
      </c>
      <c r="F20" s="27"/>
      <c r="G20" s="27"/>
      <c r="H20" s="21">
        <v>1.9399</v>
      </c>
      <c r="I20" s="21">
        <v>-2.2738999999999998</v>
      </c>
      <c r="J20" s="37">
        <v>10.387600000000001</v>
      </c>
      <c r="L20" s="36" t="s">
        <v>0</v>
      </c>
      <c r="M20" s="20">
        <v>5</v>
      </c>
      <c r="N20" s="21">
        <v>1.2836000000000001</v>
      </c>
      <c r="O20" s="20">
        <v>0.1308</v>
      </c>
      <c r="P20" s="20">
        <v>-0.64959999999999996</v>
      </c>
      <c r="S20" s="21">
        <v>-1.01</v>
      </c>
      <c r="T20" s="21">
        <v>-0.18</v>
      </c>
      <c r="U20" s="37">
        <v>15.03</v>
      </c>
      <c r="W20" s="36" t="s">
        <v>0</v>
      </c>
      <c r="X20" s="20">
        <v>10</v>
      </c>
      <c r="Y20" s="20">
        <v>1.3492999999999999</v>
      </c>
      <c r="Z20" s="20">
        <v>0.1366</v>
      </c>
      <c r="AA20" s="20">
        <v>-0.5403</v>
      </c>
      <c r="AD20" s="20">
        <v>-0.64539999999999997</v>
      </c>
      <c r="AE20" s="20">
        <v>-1.6045</v>
      </c>
      <c r="AF20" s="50">
        <v>14.677300000000001</v>
      </c>
      <c r="AH20" s="54"/>
      <c r="AI20" s="56" t="s">
        <v>47</v>
      </c>
      <c r="AJ20" s="54"/>
      <c r="AM20" s="65">
        <v>3</v>
      </c>
      <c r="AN20" s="81">
        <f>HLOOKUP(Coefficients!$AJ$8*100+Coefficients!$AJ$12*10+Coefficients!$AJ$28,'Model LTs'!$A$2:$AB$13,7,FALSE)</f>
        <v>-1.1592413135184099</v>
      </c>
      <c r="AO20" s="78"/>
    </row>
    <row r="21" spans="1:46" ht="12.75" customHeight="1" x14ac:dyDescent="0.2">
      <c r="A21" s="36" t="s">
        <v>4</v>
      </c>
      <c r="B21" s="20">
        <v>10</v>
      </c>
      <c r="C21" s="20">
        <v>1.1911</v>
      </c>
      <c r="D21" s="20">
        <v>0.31519999999999998</v>
      </c>
      <c r="E21" s="20">
        <v>-0.42909999999999998</v>
      </c>
      <c r="F21" s="27"/>
      <c r="G21" s="27"/>
      <c r="H21" s="21">
        <v>2.6156999999999999</v>
      </c>
      <c r="I21" s="21">
        <v>-8.4818999999999996</v>
      </c>
      <c r="J21" s="37">
        <v>16.5153</v>
      </c>
      <c r="L21" s="36" t="s">
        <v>1</v>
      </c>
      <c r="M21" s="20">
        <v>10</v>
      </c>
      <c r="N21" s="20">
        <v>1.5268999999999999</v>
      </c>
      <c r="O21" s="20">
        <v>0.26590000000000003</v>
      </c>
      <c r="P21" s="20">
        <v>-0.91739999999999999</v>
      </c>
      <c r="S21" s="21">
        <v>-2.68</v>
      </c>
      <c r="T21" s="21">
        <v>-5.0599999999999996</v>
      </c>
      <c r="U21" s="37">
        <v>25.21</v>
      </c>
      <c r="W21" s="36" t="s">
        <v>1</v>
      </c>
      <c r="X21" s="20">
        <v>15</v>
      </c>
      <c r="Y21" s="20">
        <v>1.3592</v>
      </c>
      <c r="Z21" s="20">
        <v>-3.15E-2</v>
      </c>
      <c r="AA21" s="20">
        <v>-0.49440000000000001</v>
      </c>
      <c r="AD21" s="20">
        <v>-2.9104000000000001</v>
      </c>
      <c r="AE21" s="20">
        <v>-4.1352000000000002</v>
      </c>
      <c r="AF21" s="50">
        <v>24.007200000000001</v>
      </c>
      <c r="AH21" s="54"/>
      <c r="AI21" s="57" t="s">
        <v>48</v>
      </c>
      <c r="AJ21" s="54"/>
      <c r="AM21" s="65">
        <v>4</v>
      </c>
      <c r="AN21" s="81">
        <f>HLOOKUP(Coefficients!$AJ$8*100+Coefficients!$AJ$12*10+Coefficients!$AJ$28,'Model LTs'!$A$2:$AB$13,8,FALSE)</f>
        <v>-1.133848489507731</v>
      </c>
      <c r="AO21" s="78"/>
    </row>
    <row r="22" spans="1:46" ht="12.75" customHeight="1" x14ac:dyDescent="0.2">
      <c r="A22" s="36" t="s">
        <v>5</v>
      </c>
      <c r="B22" s="20">
        <v>15</v>
      </c>
      <c r="C22" s="20">
        <v>1.1564000000000001</v>
      </c>
      <c r="D22" s="20">
        <v>0.30170000000000002</v>
      </c>
      <c r="E22" s="20">
        <v>-0.39579999999999999</v>
      </c>
      <c r="F22" s="27"/>
      <c r="G22" s="27"/>
      <c r="H22" s="21">
        <v>4.0793999999999997</v>
      </c>
      <c r="I22" s="21">
        <v>-13.8308</v>
      </c>
      <c r="J22" s="37">
        <v>21.186599999999999</v>
      </c>
      <c r="L22" s="36"/>
      <c r="U22" s="42"/>
      <c r="W22" s="36" t="s">
        <v>2</v>
      </c>
      <c r="X22" s="20">
        <v>20</v>
      </c>
      <c r="Y22" s="20">
        <v>1.3532</v>
      </c>
      <c r="Z22" s="20">
        <v>-0.1978</v>
      </c>
      <c r="AA22" s="48">
        <v>-0.40989999999999999</v>
      </c>
      <c r="AB22" s="48"/>
      <c r="AD22" s="20">
        <v>-3.1640999999999999</v>
      </c>
      <c r="AE22" s="20">
        <v>1.2105999999999999</v>
      </c>
      <c r="AF22" s="50">
        <v>26.351500000000001</v>
      </c>
      <c r="AH22" s="54"/>
      <c r="AI22" s="54"/>
      <c r="AJ22" s="54"/>
      <c r="AM22" s="65">
        <v>5</v>
      </c>
      <c r="AN22" s="81">
        <f>HLOOKUP(Coefficients!$AJ$8*100+Coefficients!$AJ$12*10+Coefficients!$AJ$28,'Model LTs'!$A$2:$AB$13,9,FALSE)</f>
        <v>-1.1143192900977046</v>
      </c>
      <c r="AO22" s="78"/>
    </row>
    <row r="23" spans="1:46" ht="12.75" customHeight="1" x14ac:dyDescent="0.2">
      <c r="A23" s="36" t="s">
        <v>6</v>
      </c>
      <c r="B23" s="20">
        <v>20</v>
      </c>
      <c r="C23" s="20">
        <v>1.1307</v>
      </c>
      <c r="D23" s="20">
        <v>0.2596</v>
      </c>
      <c r="E23" s="20">
        <v>-0.3538</v>
      </c>
      <c r="F23" s="27"/>
      <c r="G23" s="27"/>
      <c r="H23" s="21">
        <v>7.1795999999999998</v>
      </c>
      <c r="I23" s="21">
        <v>-15.388</v>
      </c>
      <c r="J23" s="37">
        <v>21.789200000000001</v>
      </c>
      <c r="L23" s="36"/>
      <c r="U23" s="42"/>
      <c r="W23" s="36"/>
      <c r="AF23" s="42"/>
      <c r="AH23" s="54" t="s">
        <v>85</v>
      </c>
      <c r="AI23" s="54"/>
      <c r="AJ23" s="54">
        <f>MATCH(Introduction!D14,Variant,0)</f>
        <v>1</v>
      </c>
      <c r="AM23" s="65">
        <v>10</v>
      </c>
      <c r="AN23" s="81">
        <f>HLOOKUP(Coefficients!$AJ$8*100+Coefficients!$AJ$12*10+Coefficients!$AJ$28,'Model LTs'!$A$2:$AB$13,10,FALSE)</f>
        <v>-1.0648450322432061</v>
      </c>
      <c r="AO23" s="78"/>
    </row>
    <row r="24" spans="1:46" ht="12.75" customHeight="1" x14ac:dyDescent="0.2">
      <c r="A24" s="41"/>
      <c r="C24" s="27"/>
      <c r="D24" s="27"/>
      <c r="E24" s="27"/>
      <c r="F24" s="27"/>
      <c r="G24" s="27"/>
      <c r="H24" s="27"/>
      <c r="I24" s="27"/>
      <c r="J24" s="40"/>
      <c r="L24" s="36"/>
      <c r="U24" s="42"/>
      <c r="W24" s="36"/>
      <c r="AF24" s="42"/>
      <c r="AH24" s="54"/>
      <c r="AI24" s="55" t="s">
        <v>26</v>
      </c>
      <c r="AJ24" s="54"/>
      <c r="AM24" s="65">
        <v>15</v>
      </c>
      <c r="AN24" s="81">
        <f>HLOOKUP(Coefficients!$AJ$8*100+Coefficients!$AJ$12*10+Coefficients!$AJ$28,'Model LTs'!$A$2:$AB$13,11,FALSE)</f>
        <v>-1.0293119689456429</v>
      </c>
      <c r="AO24" s="78"/>
    </row>
    <row r="25" spans="1:46" ht="12.75" customHeight="1" x14ac:dyDescent="0.2">
      <c r="A25" s="41"/>
      <c r="C25" s="27"/>
      <c r="D25" s="27"/>
      <c r="E25" s="27"/>
      <c r="F25" s="27"/>
      <c r="G25" s="27"/>
      <c r="H25" s="27"/>
      <c r="I25" s="27"/>
      <c r="J25" s="40"/>
      <c r="L25" s="36"/>
      <c r="U25" s="42"/>
      <c r="W25" s="36"/>
      <c r="AF25" s="42"/>
      <c r="AH25" s="54"/>
      <c r="AI25" s="56" t="s">
        <v>35</v>
      </c>
      <c r="AJ25" s="54"/>
      <c r="AM25" s="67">
        <v>20</v>
      </c>
      <c r="AN25" s="82">
        <f>HLOOKUP(Coefficients!$AJ$8*100+Coefficients!$AJ$12*10+Coefficients!$AJ$28,'Model LTs'!$A$2:$AB$13,12,FALSE)</f>
        <v>-0.97893414503700538</v>
      </c>
      <c r="AO25" s="78"/>
    </row>
    <row r="26" spans="1:46" ht="15" customHeight="1" x14ac:dyDescent="0.3">
      <c r="A26" s="174" t="s">
        <v>19</v>
      </c>
      <c r="B26" s="174"/>
      <c r="C26" s="174"/>
      <c r="D26" s="174"/>
      <c r="E26" s="174"/>
      <c r="F26" s="174"/>
      <c r="G26" s="174"/>
      <c r="H26" s="174"/>
      <c r="I26" s="174"/>
      <c r="J26" s="175"/>
      <c r="K26" s="24"/>
      <c r="L26" s="35"/>
      <c r="M26" s="24"/>
      <c r="N26" s="174" t="s">
        <v>19</v>
      </c>
      <c r="O26" s="174"/>
      <c r="P26" s="174"/>
      <c r="Q26" s="174"/>
      <c r="R26" s="174"/>
      <c r="S26" s="174"/>
      <c r="T26" s="174"/>
      <c r="U26" s="175"/>
      <c r="V26" s="24"/>
      <c r="W26" s="35"/>
      <c r="X26" s="24"/>
      <c r="Y26" s="174" t="s">
        <v>19</v>
      </c>
      <c r="Z26" s="174"/>
      <c r="AA26" s="174"/>
      <c r="AB26" s="174"/>
      <c r="AC26" s="174"/>
      <c r="AD26" s="174"/>
      <c r="AE26" s="174"/>
      <c r="AF26" s="175"/>
      <c r="AH26" s="54"/>
      <c r="AI26" s="57" t="s">
        <v>36</v>
      </c>
      <c r="AJ26" s="54"/>
    </row>
    <row r="27" spans="1:46" ht="12.75" customHeight="1" x14ac:dyDescent="0.3">
      <c r="A27" s="51" t="s">
        <v>53</v>
      </c>
      <c r="B27" s="52" t="s">
        <v>28</v>
      </c>
      <c r="C27" s="26" t="s">
        <v>8</v>
      </c>
      <c r="D27" s="26" t="s">
        <v>9</v>
      </c>
      <c r="E27" s="26" t="s">
        <v>10</v>
      </c>
      <c r="F27" s="26" t="s">
        <v>11</v>
      </c>
      <c r="G27" s="26"/>
      <c r="H27" s="26" t="s">
        <v>12</v>
      </c>
      <c r="I27" s="26" t="s">
        <v>13</v>
      </c>
      <c r="J27" s="53" t="s">
        <v>14</v>
      </c>
      <c r="L27" s="51" t="s">
        <v>82</v>
      </c>
      <c r="M27" s="52" t="s">
        <v>28</v>
      </c>
      <c r="N27" s="26" t="s">
        <v>8</v>
      </c>
      <c r="O27" s="26" t="s">
        <v>9</v>
      </c>
      <c r="P27" s="26" t="s">
        <v>10</v>
      </c>
      <c r="Q27" s="26"/>
      <c r="R27" s="26"/>
      <c r="S27" s="26" t="s">
        <v>12</v>
      </c>
      <c r="T27" s="26" t="s">
        <v>13</v>
      </c>
      <c r="U27" s="53" t="s">
        <v>14</v>
      </c>
      <c r="W27" s="51" t="s">
        <v>82</v>
      </c>
      <c r="X27" s="52" t="s">
        <v>28</v>
      </c>
      <c r="Y27" s="26" t="s">
        <v>8</v>
      </c>
      <c r="Z27" s="26" t="s">
        <v>9</v>
      </c>
      <c r="AA27" s="26" t="s">
        <v>10</v>
      </c>
      <c r="AB27" s="26"/>
      <c r="AC27" s="26"/>
      <c r="AD27" s="26" t="s">
        <v>12</v>
      </c>
      <c r="AE27" s="26" t="s">
        <v>13</v>
      </c>
      <c r="AF27" s="53" t="s">
        <v>14</v>
      </c>
      <c r="AH27" s="54"/>
      <c r="AI27" s="54"/>
      <c r="AJ27" s="54"/>
    </row>
    <row r="28" spans="1:46" ht="12.75" customHeight="1" x14ac:dyDescent="0.2">
      <c r="A28" s="36" t="s">
        <v>0</v>
      </c>
      <c r="B28" s="20">
        <v>1</v>
      </c>
      <c r="C28" s="21">
        <v>1.1460999999999999</v>
      </c>
      <c r="D28" s="21">
        <v>-2.2536</v>
      </c>
      <c r="E28" s="21">
        <v>0.62590000000000001</v>
      </c>
      <c r="F28" s="43"/>
      <c r="G28" s="43"/>
      <c r="H28" s="21">
        <v>1.0959000000000001</v>
      </c>
      <c r="I28" s="21">
        <v>5.5864000000000003</v>
      </c>
      <c r="J28" s="37">
        <v>-1.9948999999999999</v>
      </c>
      <c r="L28" s="36" t="s">
        <v>29</v>
      </c>
      <c r="M28" s="20">
        <v>2</v>
      </c>
      <c r="N28" s="21">
        <v>1.2181999999999999</v>
      </c>
      <c r="O28" s="21">
        <v>-0.18090000000000001</v>
      </c>
      <c r="P28" s="21">
        <v>2.1399999999999999E-2</v>
      </c>
      <c r="Q28" s="21"/>
      <c r="S28" s="21">
        <v>1.68</v>
      </c>
      <c r="T28" s="21">
        <v>0.99</v>
      </c>
      <c r="U28" s="37">
        <v>-0.33</v>
      </c>
      <c r="W28" s="36" t="s">
        <v>29</v>
      </c>
      <c r="X28" s="20">
        <v>2</v>
      </c>
      <c r="Y28" s="20">
        <v>1.2299</v>
      </c>
      <c r="Z28" s="20">
        <v>-0.39979999999999999</v>
      </c>
      <c r="AA28" s="20">
        <v>9.0999999999999998E-2</v>
      </c>
      <c r="AD28" s="20">
        <v>1.038</v>
      </c>
      <c r="AE28" s="20">
        <v>1.4213</v>
      </c>
      <c r="AF28" s="42">
        <v>-0.35449999999999998</v>
      </c>
      <c r="AH28" s="54" t="s">
        <v>54</v>
      </c>
      <c r="AI28" s="54"/>
      <c r="AJ28" s="54">
        <f>MATCH(Introduction!D20,Sex,0)</f>
        <v>3</v>
      </c>
    </row>
    <row r="29" spans="1:46" ht="12.75" customHeight="1" x14ac:dyDescent="0.2">
      <c r="A29" s="36" t="s">
        <v>1</v>
      </c>
      <c r="B29" s="20">
        <v>2</v>
      </c>
      <c r="C29" s="21">
        <v>1.2231000000000001</v>
      </c>
      <c r="D29" s="21">
        <v>-0.43009999999999998</v>
      </c>
      <c r="E29" s="21">
        <v>-0.22450000000000001</v>
      </c>
      <c r="F29" s="43"/>
      <c r="G29" s="43"/>
      <c r="H29" s="21">
        <v>1.2921</v>
      </c>
      <c r="I29" s="21">
        <v>5.5896999999999997</v>
      </c>
      <c r="J29" s="37">
        <v>0.36309999999999998</v>
      </c>
      <c r="L29" s="36" t="s">
        <v>30</v>
      </c>
      <c r="M29" s="20">
        <v>5</v>
      </c>
      <c r="N29" s="21">
        <v>1.2768999999999999</v>
      </c>
      <c r="O29" s="21">
        <v>-0.2268</v>
      </c>
      <c r="P29" s="21">
        <v>-0.1052</v>
      </c>
      <c r="Q29" s="21"/>
      <c r="S29" s="21">
        <v>2.19</v>
      </c>
      <c r="T29" s="21">
        <v>4.28</v>
      </c>
      <c r="U29" s="37">
        <v>0.02</v>
      </c>
      <c r="W29" s="36" t="s">
        <v>30</v>
      </c>
      <c r="X29" s="20">
        <v>3</v>
      </c>
      <c r="Y29" s="20">
        <v>1.1611</v>
      </c>
      <c r="Z29" s="20">
        <v>-0.24510000000000001</v>
      </c>
      <c r="AA29" s="20">
        <v>-7.9699999999999993E-2</v>
      </c>
      <c r="AD29" s="20">
        <v>1.6440999999999999</v>
      </c>
      <c r="AE29" s="20">
        <v>4.7042000000000002</v>
      </c>
      <c r="AF29" s="42">
        <v>6.4199999999999993E-2</v>
      </c>
      <c r="AH29" s="54"/>
      <c r="AI29" s="55" t="s">
        <v>55</v>
      </c>
      <c r="AJ29" s="54"/>
    </row>
    <row r="30" spans="1:46" ht="12.75" customHeight="1" x14ac:dyDescent="0.2">
      <c r="A30" s="36" t="s">
        <v>2</v>
      </c>
      <c r="B30" s="20">
        <v>3</v>
      </c>
      <c r="C30" s="21">
        <v>1.1593</v>
      </c>
      <c r="D30" s="21">
        <v>5.8099999999999999E-2</v>
      </c>
      <c r="E30" s="21">
        <v>-0.34789999999999999</v>
      </c>
      <c r="F30" s="43"/>
      <c r="G30" s="43"/>
      <c r="H30" s="21">
        <v>1.5021</v>
      </c>
      <c r="I30" s="21">
        <v>2.4691999999999998</v>
      </c>
      <c r="J30" s="37">
        <v>5.0926999999999998</v>
      </c>
      <c r="L30" s="36" t="s">
        <v>31</v>
      </c>
      <c r="M30" s="20">
        <v>5</v>
      </c>
      <c r="N30" s="21">
        <v>1.2730999999999999</v>
      </c>
      <c r="O30" s="21">
        <v>5.0000000000000001E-4</v>
      </c>
      <c r="P30" s="21">
        <v>-0.372</v>
      </c>
      <c r="Q30" s="21"/>
      <c r="S30" s="21">
        <v>0.71</v>
      </c>
      <c r="T30" s="21">
        <v>3.63</v>
      </c>
      <c r="U30" s="37">
        <v>6.36</v>
      </c>
      <c r="W30" s="36" t="s">
        <v>31</v>
      </c>
      <c r="X30" s="20">
        <v>5</v>
      </c>
      <c r="Y30" s="20">
        <v>1.2036</v>
      </c>
      <c r="Z30" s="20">
        <v>1.7100000000000001E-2</v>
      </c>
      <c r="AA30" s="20">
        <v>-0.29920000000000002</v>
      </c>
      <c r="AD30" s="20">
        <v>1.1068</v>
      </c>
      <c r="AE30" s="20">
        <v>3.3031999999999999</v>
      </c>
      <c r="AF30" s="42">
        <v>5.4463999999999997</v>
      </c>
      <c r="AH30" s="54"/>
      <c r="AI30" s="56" t="s">
        <v>56</v>
      </c>
      <c r="AJ30" s="54"/>
    </row>
    <row r="31" spans="1:46" ht="12.75" customHeight="1" x14ac:dyDescent="0.2">
      <c r="A31" s="36" t="s">
        <v>3</v>
      </c>
      <c r="B31" s="20">
        <v>5</v>
      </c>
      <c r="C31" s="21">
        <v>1.1404000000000001</v>
      </c>
      <c r="D31" s="21">
        <v>0.1991</v>
      </c>
      <c r="E31" s="21">
        <v>-0.34870000000000001</v>
      </c>
      <c r="F31" s="21"/>
      <c r="G31" s="21"/>
      <c r="H31" s="21">
        <v>1.9347000000000001</v>
      </c>
      <c r="I31" s="21">
        <v>-2.6419000000000001</v>
      </c>
      <c r="J31" s="37">
        <v>10.853300000000001</v>
      </c>
      <c r="L31" s="36" t="s">
        <v>0</v>
      </c>
      <c r="M31" s="20">
        <v>5</v>
      </c>
      <c r="N31" s="21">
        <v>1.2585</v>
      </c>
      <c r="O31" s="21">
        <v>0.1216</v>
      </c>
      <c r="P31" s="21">
        <v>-0.50129999999999997</v>
      </c>
      <c r="Q31" s="21"/>
      <c r="S31" s="21">
        <v>-1.96</v>
      </c>
      <c r="T31" s="21">
        <v>-0.71</v>
      </c>
      <c r="U31" s="37">
        <v>17.420000000000002</v>
      </c>
      <c r="W31" s="36" t="s">
        <v>0</v>
      </c>
      <c r="X31" s="20">
        <v>10</v>
      </c>
      <c r="Y31" s="20">
        <v>1.2773000000000001</v>
      </c>
      <c r="Z31" s="20">
        <v>0.10150000000000001</v>
      </c>
      <c r="AA31" s="20">
        <v>-0.42759999999999998</v>
      </c>
      <c r="AD31" s="20">
        <v>-0.86780000000000002</v>
      </c>
      <c r="AE31" s="20">
        <v>-1.9682999999999999</v>
      </c>
      <c r="AF31" s="42">
        <v>15.518700000000001</v>
      </c>
      <c r="AH31" s="54"/>
      <c r="AI31" s="57" t="s">
        <v>57</v>
      </c>
      <c r="AJ31" s="54"/>
    </row>
    <row r="32" spans="1:46" ht="12.75" customHeight="1" x14ac:dyDescent="0.2">
      <c r="A32" s="36" t="s">
        <v>4</v>
      </c>
      <c r="B32" s="20">
        <v>10</v>
      </c>
      <c r="C32" s="21">
        <v>1.1539999999999999</v>
      </c>
      <c r="D32" s="21">
        <v>0.25109999999999999</v>
      </c>
      <c r="E32" s="21">
        <v>-0.35060000000000002</v>
      </c>
      <c r="F32" s="21"/>
      <c r="G32" s="21"/>
      <c r="H32" s="21">
        <v>2.6196999999999999</v>
      </c>
      <c r="I32" s="21">
        <v>-8.9693000000000005</v>
      </c>
      <c r="J32" s="37">
        <v>17.098099999999999</v>
      </c>
      <c r="L32" s="36" t="s">
        <v>1</v>
      </c>
      <c r="M32" s="20">
        <v>10</v>
      </c>
      <c r="N32" s="21">
        <v>1.341</v>
      </c>
      <c r="O32" s="21">
        <v>0.1749</v>
      </c>
      <c r="P32" s="21">
        <v>-0.59640000000000004</v>
      </c>
      <c r="Q32" s="21"/>
      <c r="S32" s="21">
        <v>-4.0599999999999996</v>
      </c>
      <c r="T32" s="21">
        <v>-6.35</v>
      </c>
      <c r="U32" s="37">
        <v>29.14</v>
      </c>
      <c r="W32" s="36" t="s">
        <v>1</v>
      </c>
      <c r="X32" s="20">
        <v>15</v>
      </c>
      <c r="Y32" s="20">
        <v>1.3013999999999999</v>
      </c>
      <c r="Z32" s="20">
        <v>-2.1899999999999999E-2</v>
      </c>
      <c r="AA32" s="20">
        <v>-0.41949999999999998</v>
      </c>
      <c r="AD32" s="20">
        <v>-3.2153999999999998</v>
      </c>
      <c r="AE32" s="20">
        <v>-4.1123000000000003</v>
      </c>
      <c r="AF32" s="42">
        <v>24.862400000000001</v>
      </c>
      <c r="AH32" s="54"/>
      <c r="AI32" s="54"/>
      <c r="AJ32" s="54"/>
    </row>
    <row r="33" spans="1:36" ht="12.75" customHeight="1" x14ac:dyDescent="0.2">
      <c r="A33" s="36" t="s">
        <v>5</v>
      </c>
      <c r="B33" s="20">
        <v>15</v>
      </c>
      <c r="C33" s="21">
        <v>1.1335999999999999</v>
      </c>
      <c r="D33" s="21">
        <v>0.25559999999999999</v>
      </c>
      <c r="E33" s="21">
        <v>-0.34279999999999999</v>
      </c>
      <c r="F33" s="21"/>
      <c r="G33" s="21"/>
      <c r="H33" s="21">
        <v>4.1317000000000004</v>
      </c>
      <c r="I33" s="21">
        <v>-14.355</v>
      </c>
      <c r="J33" s="37">
        <v>21.8247</v>
      </c>
      <c r="L33" s="36"/>
      <c r="U33" s="42"/>
      <c r="W33" s="36" t="s">
        <v>2</v>
      </c>
      <c r="X33" s="20">
        <v>20</v>
      </c>
      <c r="Y33" s="83">
        <v>1.3160000000000001</v>
      </c>
      <c r="Z33" s="23">
        <v>-0.16300000000000001</v>
      </c>
      <c r="AA33" s="20">
        <v>-0.37509999999999999</v>
      </c>
      <c r="AD33" s="20">
        <v>-3.3885000000000001</v>
      </c>
      <c r="AE33" s="20">
        <v>1.6746000000000001</v>
      </c>
      <c r="AF33" s="42">
        <v>26.979800000000001</v>
      </c>
      <c r="AH33" s="54" t="s">
        <v>88</v>
      </c>
      <c r="AI33" s="54"/>
      <c r="AJ33" s="54">
        <f>VLOOKUP(100*AJ8+10*AJ12+AJ23,$AI$34:$AI$50,1,FALSE)</f>
        <v>141</v>
      </c>
    </row>
    <row r="34" spans="1:36" ht="12.75" customHeight="1" x14ac:dyDescent="0.2">
      <c r="A34" s="36" t="s">
        <v>6</v>
      </c>
      <c r="B34" s="20">
        <v>20</v>
      </c>
      <c r="C34" s="21">
        <v>1.1201000000000001</v>
      </c>
      <c r="D34" s="21">
        <v>0.23619999999999999</v>
      </c>
      <c r="E34" s="21">
        <v>-0.32679999999999998</v>
      </c>
      <c r="F34" s="21"/>
      <c r="G34" s="21"/>
      <c r="H34" s="21">
        <v>7.3657000000000004</v>
      </c>
      <c r="I34" s="21">
        <v>-15.808299999999999</v>
      </c>
      <c r="J34" s="37">
        <v>22.3005</v>
      </c>
      <c r="L34" s="36"/>
      <c r="U34" s="42"/>
      <c r="W34" s="36"/>
      <c r="AF34" s="42"/>
      <c r="AH34" s="54"/>
      <c r="AI34" s="55">
        <v>111</v>
      </c>
      <c r="AJ34" s="54"/>
    </row>
    <row r="35" spans="1:36" ht="12.75" customHeight="1" x14ac:dyDescent="0.2">
      <c r="A35" s="36"/>
      <c r="J35" s="42"/>
      <c r="L35" s="36"/>
      <c r="U35" s="42"/>
      <c r="W35" s="36"/>
      <c r="AF35" s="42"/>
      <c r="AH35" s="54"/>
      <c r="AI35" s="56">
        <v>121</v>
      </c>
      <c r="AJ35" s="54"/>
    </row>
    <row r="36" spans="1:36" ht="12.75" customHeight="1" x14ac:dyDescent="0.2">
      <c r="A36" s="36"/>
      <c r="J36" s="42"/>
      <c r="L36" s="36"/>
      <c r="U36" s="42"/>
      <c r="W36" s="36"/>
      <c r="AF36" s="42"/>
      <c r="AH36" s="54"/>
      <c r="AI36" s="56">
        <v>131</v>
      </c>
      <c r="AJ36" s="54"/>
    </row>
    <row r="37" spans="1:36" ht="15" customHeight="1" x14ac:dyDescent="0.3">
      <c r="A37" s="174" t="s">
        <v>20</v>
      </c>
      <c r="B37" s="174"/>
      <c r="C37" s="174"/>
      <c r="D37" s="174"/>
      <c r="E37" s="174"/>
      <c r="F37" s="174"/>
      <c r="G37" s="174"/>
      <c r="H37" s="174"/>
      <c r="I37" s="174"/>
      <c r="J37" s="175"/>
      <c r="K37" s="24"/>
      <c r="L37" s="35"/>
      <c r="M37" s="24"/>
      <c r="N37" s="174" t="s">
        <v>20</v>
      </c>
      <c r="O37" s="174"/>
      <c r="P37" s="174"/>
      <c r="Q37" s="174"/>
      <c r="R37" s="174"/>
      <c r="S37" s="174"/>
      <c r="T37" s="174"/>
      <c r="U37" s="175"/>
      <c r="V37" s="24"/>
      <c r="W37" s="35"/>
      <c r="X37" s="24"/>
      <c r="Y37" s="174" t="s">
        <v>20</v>
      </c>
      <c r="Z37" s="174"/>
      <c r="AA37" s="174"/>
      <c r="AB37" s="174"/>
      <c r="AC37" s="174"/>
      <c r="AD37" s="174"/>
      <c r="AE37" s="174"/>
      <c r="AF37" s="175"/>
      <c r="AH37" s="54"/>
      <c r="AI37" s="56">
        <v>141</v>
      </c>
      <c r="AJ37" s="54"/>
    </row>
    <row r="38" spans="1:36" ht="12.75" customHeight="1" x14ac:dyDescent="0.3">
      <c r="A38" s="51" t="s">
        <v>53</v>
      </c>
      <c r="B38" s="52" t="s">
        <v>28</v>
      </c>
      <c r="C38" s="26" t="s">
        <v>8</v>
      </c>
      <c r="D38" s="26" t="s">
        <v>9</v>
      </c>
      <c r="E38" s="26" t="s">
        <v>10</v>
      </c>
      <c r="F38" s="26" t="s">
        <v>11</v>
      </c>
      <c r="G38" s="26"/>
      <c r="H38" s="26" t="s">
        <v>12</v>
      </c>
      <c r="I38" s="26" t="s">
        <v>13</v>
      </c>
      <c r="J38" s="53" t="s">
        <v>14</v>
      </c>
      <c r="L38" s="51" t="s">
        <v>82</v>
      </c>
      <c r="M38" s="52" t="s">
        <v>28</v>
      </c>
      <c r="N38" s="26" t="s">
        <v>8</v>
      </c>
      <c r="O38" s="26" t="s">
        <v>9</v>
      </c>
      <c r="P38" s="26" t="s">
        <v>10</v>
      </c>
      <c r="Q38" s="26"/>
      <c r="R38" s="26"/>
      <c r="S38" s="26" t="s">
        <v>12</v>
      </c>
      <c r="T38" s="26" t="s">
        <v>13</v>
      </c>
      <c r="U38" s="53" t="s">
        <v>14</v>
      </c>
      <c r="W38" s="51" t="s">
        <v>82</v>
      </c>
      <c r="X38" s="52" t="s">
        <v>28</v>
      </c>
      <c r="Y38" s="26" t="s">
        <v>8</v>
      </c>
      <c r="Z38" s="26" t="s">
        <v>9</v>
      </c>
      <c r="AA38" s="26" t="s">
        <v>10</v>
      </c>
      <c r="AB38" s="26"/>
      <c r="AC38" s="26"/>
      <c r="AD38" s="26" t="s">
        <v>12</v>
      </c>
      <c r="AE38" s="26" t="s">
        <v>13</v>
      </c>
      <c r="AF38" s="53" t="s">
        <v>14</v>
      </c>
      <c r="AH38" s="54"/>
      <c r="AI38" s="56">
        <v>211</v>
      </c>
      <c r="AJ38" s="54"/>
    </row>
    <row r="39" spans="1:36" ht="12.75" customHeight="1" x14ac:dyDescent="0.2">
      <c r="A39" s="36" t="s">
        <v>0</v>
      </c>
      <c r="B39" s="20">
        <v>1</v>
      </c>
      <c r="C39" s="21">
        <v>1.1415</v>
      </c>
      <c r="D39" s="21">
        <v>-2.7069999999999999</v>
      </c>
      <c r="E39" s="21">
        <v>0.76629999999999998</v>
      </c>
      <c r="F39" s="21"/>
      <c r="G39" s="21"/>
      <c r="H39" s="21">
        <v>1.097</v>
      </c>
      <c r="I39" s="21">
        <v>5.5628000000000002</v>
      </c>
      <c r="J39" s="37">
        <v>-1.9956</v>
      </c>
      <c r="L39" s="36" t="s">
        <v>29</v>
      </c>
      <c r="M39" s="20">
        <v>2</v>
      </c>
      <c r="N39" s="21">
        <v>1.2049000000000001</v>
      </c>
      <c r="O39" s="21">
        <v>-0.15529999999999999</v>
      </c>
      <c r="P39" s="21">
        <v>1.35E-2</v>
      </c>
      <c r="S39" s="21">
        <v>1.7</v>
      </c>
      <c r="T39" s="21">
        <v>1.03</v>
      </c>
      <c r="U39" s="37">
        <v>-0.34</v>
      </c>
      <c r="W39" s="36" t="s">
        <v>29</v>
      </c>
      <c r="X39" s="20">
        <v>2</v>
      </c>
      <c r="Y39" s="20">
        <v>1.2584</v>
      </c>
      <c r="Z39" s="20">
        <v>-0.46829999999999999</v>
      </c>
      <c r="AA39" s="20">
        <v>0.108</v>
      </c>
      <c r="AD39" s="20">
        <v>1.0348999999999999</v>
      </c>
      <c r="AE39" s="20">
        <v>1.3714</v>
      </c>
      <c r="AF39" s="42">
        <v>-0.33900000000000002</v>
      </c>
      <c r="AH39" s="54"/>
      <c r="AI39" s="56">
        <v>221</v>
      </c>
      <c r="AJ39" s="54"/>
    </row>
    <row r="40" spans="1:36" ht="12.75" customHeight="1" x14ac:dyDescent="0.2">
      <c r="A40" s="36" t="s">
        <v>1</v>
      </c>
      <c r="B40" s="20">
        <v>2</v>
      </c>
      <c r="C40" s="21">
        <v>1.2563</v>
      </c>
      <c r="D40" s="21">
        <v>-0.53810000000000002</v>
      </c>
      <c r="E40" s="21">
        <v>-0.26369999999999999</v>
      </c>
      <c r="F40" s="21"/>
      <c r="G40" s="21"/>
      <c r="H40" s="21">
        <v>1.3062</v>
      </c>
      <c r="I40" s="21">
        <v>5.5677000000000003</v>
      </c>
      <c r="J40" s="37">
        <v>0.29620000000000002</v>
      </c>
      <c r="L40" s="36" t="s">
        <v>30</v>
      </c>
      <c r="M40" s="20">
        <v>5</v>
      </c>
      <c r="N40" s="21">
        <v>1.2573000000000001</v>
      </c>
      <c r="O40" s="21">
        <v>-0.2266</v>
      </c>
      <c r="P40" s="21">
        <v>-9.4399999999999998E-2</v>
      </c>
      <c r="S40" s="21">
        <v>2.2000000000000002</v>
      </c>
      <c r="T40" s="21">
        <v>4.2</v>
      </c>
      <c r="U40" s="37">
        <v>0.06</v>
      </c>
      <c r="W40" s="36" t="s">
        <v>30</v>
      </c>
      <c r="X40" s="20">
        <v>3</v>
      </c>
      <c r="Y40" s="20">
        <v>1.1840999999999999</v>
      </c>
      <c r="Z40" s="20">
        <v>-0.30059999999999998</v>
      </c>
      <c r="AA40" s="20">
        <v>-8.9200000000000002E-2</v>
      </c>
      <c r="AD40" s="20">
        <v>1.6654</v>
      </c>
      <c r="AE40" s="20">
        <v>4.4588000000000001</v>
      </c>
      <c r="AF40" s="42">
        <v>2.3300000000000001E-2</v>
      </c>
      <c r="AH40" s="54"/>
      <c r="AI40" s="56">
        <v>231</v>
      </c>
      <c r="AJ40" s="54"/>
    </row>
    <row r="41" spans="1:36" ht="12.75" customHeight="1" x14ac:dyDescent="0.2">
      <c r="A41" s="36" t="s">
        <v>2</v>
      </c>
      <c r="B41" s="20">
        <v>3</v>
      </c>
      <c r="C41" s="21">
        <v>1.1851</v>
      </c>
      <c r="D41" s="21">
        <v>6.3299999999999995E-2</v>
      </c>
      <c r="E41" s="21">
        <v>-0.41770000000000002</v>
      </c>
      <c r="F41" s="21"/>
      <c r="G41" s="21"/>
      <c r="H41" s="21">
        <v>1.5305</v>
      </c>
      <c r="I41" s="21">
        <v>2.5528</v>
      </c>
      <c r="J41" s="37">
        <v>4.8962000000000003</v>
      </c>
      <c r="L41" s="36" t="s">
        <v>31</v>
      </c>
      <c r="M41" s="20">
        <v>5</v>
      </c>
      <c r="N41" s="21">
        <v>1.2431000000000001</v>
      </c>
      <c r="O41" s="21">
        <v>-2.3E-2</v>
      </c>
      <c r="P41" s="21">
        <v>-0.34089999999999998</v>
      </c>
      <c r="S41" s="21">
        <v>0.86</v>
      </c>
      <c r="T41" s="21">
        <v>3.47</v>
      </c>
      <c r="U41" s="37">
        <v>6.21</v>
      </c>
      <c r="W41" s="36" t="s">
        <v>31</v>
      </c>
      <c r="X41" s="20">
        <v>5</v>
      </c>
      <c r="Y41" s="20">
        <v>1.2445999999999999</v>
      </c>
      <c r="Z41" s="20">
        <v>1.3100000000000001E-2</v>
      </c>
      <c r="AA41" s="20">
        <v>-0.35549999999999998</v>
      </c>
      <c r="AD41" s="20">
        <v>1.2109000000000001</v>
      </c>
      <c r="AE41" s="20">
        <v>3.3290999999999999</v>
      </c>
      <c r="AF41" s="42">
        <v>5.1402000000000001</v>
      </c>
      <c r="AH41" s="54"/>
      <c r="AI41" s="56">
        <v>241</v>
      </c>
      <c r="AJ41" s="54"/>
    </row>
    <row r="42" spans="1:36" ht="12.75" customHeight="1" x14ac:dyDescent="0.2">
      <c r="A42" s="36" t="s">
        <v>3</v>
      </c>
      <c r="B42" s="20">
        <v>5</v>
      </c>
      <c r="C42" s="21">
        <v>1.1719999999999999</v>
      </c>
      <c r="D42" s="21">
        <v>0.2341</v>
      </c>
      <c r="E42" s="21">
        <v>-0.42720000000000002</v>
      </c>
      <c r="F42" s="21"/>
      <c r="G42" s="21"/>
      <c r="H42" s="21">
        <v>1.9991000000000001</v>
      </c>
      <c r="I42" s="21">
        <v>-2.4260999999999999</v>
      </c>
      <c r="J42" s="37">
        <v>10.4282</v>
      </c>
      <c r="L42" s="36" t="s">
        <v>0</v>
      </c>
      <c r="M42" s="20">
        <v>5</v>
      </c>
      <c r="N42" s="21">
        <v>1.2468999999999999</v>
      </c>
      <c r="O42" s="21">
        <v>9.9900000000000003E-2</v>
      </c>
      <c r="P42" s="21">
        <v>-0.52669999999999995</v>
      </c>
      <c r="S42" s="21">
        <v>-1.46</v>
      </c>
      <c r="T42" s="21">
        <v>-0.69</v>
      </c>
      <c r="U42" s="37">
        <v>16.489999999999998</v>
      </c>
      <c r="W42" s="36" t="s">
        <v>0</v>
      </c>
      <c r="X42" s="20">
        <v>10</v>
      </c>
      <c r="Y42" s="20">
        <v>1.3352999999999999</v>
      </c>
      <c r="Z42" s="20">
        <v>0.1157</v>
      </c>
      <c r="AA42" s="20">
        <v>-0.52449999999999997</v>
      </c>
      <c r="AD42" s="20">
        <v>-0.53700000000000003</v>
      </c>
      <c r="AE42" s="20">
        <v>-1.7679</v>
      </c>
      <c r="AF42" s="42">
        <v>14.637</v>
      </c>
      <c r="AH42" s="54"/>
      <c r="AI42" s="56">
        <v>251</v>
      </c>
      <c r="AJ42" s="54"/>
    </row>
    <row r="43" spans="1:36" ht="12.75" customHeight="1" x14ac:dyDescent="0.2">
      <c r="A43" s="36" t="s">
        <v>4</v>
      </c>
      <c r="B43" s="20">
        <v>10</v>
      </c>
      <c r="C43" s="21">
        <v>1.1865000000000001</v>
      </c>
      <c r="D43" s="21">
        <v>0.308</v>
      </c>
      <c r="E43" s="21">
        <v>-0.44519999999999998</v>
      </c>
      <c r="F43" s="21"/>
      <c r="G43" s="21"/>
      <c r="H43" s="21">
        <v>2.7631999999999999</v>
      </c>
      <c r="I43" s="21">
        <v>-8.4064999999999994</v>
      </c>
      <c r="J43" s="37">
        <v>16.178699999999999</v>
      </c>
      <c r="L43" s="36" t="s">
        <v>1</v>
      </c>
      <c r="M43" s="20">
        <v>10</v>
      </c>
      <c r="N43" s="21">
        <v>1.4258</v>
      </c>
      <c r="O43" s="21">
        <v>0.1948</v>
      </c>
      <c r="P43" s="21">
        <v>-0.74539999999999995</v>
      </c>
      <c r="S43" s="21">
        <v>-2.97</v>
      </c>
      <c r="T43" s="21">
        <v>-5.8</v>
      </c>
      <c r="U43" s="37">
        <v>26.65</v>
      </c>
      <c r="W43" s="36" t="s">
        <v>1</v>
      </c>
      <c r="X43" s="20">
        <v>15</v>
      </c>
      <c r="Y43" s="20">
        <v>1.3875</v>
      </c>
      <c r="Z43" s="20">
        <v>-1.9300000000000001E-2</v>
      </c>
      <c r="AA43" s="20">
        <v>-0.54720000000000002</v>
      </c>
      <c r="AD43" s="20">
        <v>-2.4693999999999998</v>
      </c>
      <c r="AE43" s="20">
        <v>-3.9194</v>
      </c>
      <c r="AF43" s="42">
        <v>23.099900000000002</v>
      </c>
      <c r="AH43" s="54"/>
      <c r="AI43" s="56">
        <v>112</v>
      </c>
      <c r="AJ43" s="54"/>
    </row>
    <row r="44" spans="1:36" ht="12.75" customHeight="1" x14ac:dyDescent="0.2">
      <c r="A44" s="36" t="s">
        <v>5</v>
      </c>
      <c r="B44" s="20">
        <v>15</v>
      </c>
      <c r="C44" s="21">
        <v>1.1746000000000001</v>
      </c>
      <c r="D44" s="21">
        <v>0.33139999999999997</v>
      </c>
      <c r="E44" s="21">
        <v>-0.45369999999999999</v>
      </c>
      <c r="F44" s="21"/>
      <c r="G44" s="21"/>
      <c r="H44" s="21">
        <v>4.3468</v>
      </c>
      <c r="I44" s="21">
        <v>-13.243600000000001</v>
      </c>
      <c r="J44" s="37">
        <v>20.199000000000002</v>
      </c>
      <c r="L44" s="44"/>
      <c r="M44" s="45"/>
      <c r="N44" s="45"/>
      <c r="O44" s="45"/>
      <c r="P44" s="45"/>
      <c r="Q44" s="45"/>
      <c r="R44" s="45"/>
      <c r="S44" s="45"/>
      <c r="T44" s="45"/>
      <c r="U44" s="46"/>
      <c r="W44" s="44" t="s">
        <v>2</v>
      </c>
      <c r="X44" s="45">
        <v>20</v>
      </c>
      <c r="Y44" s="45">
        <v>1.4227000000000001</v>
      </c>
      <c r="Z44" s="45">
        <v>-0.19539999999999999</v>
      </c>
      <c r="AA44" s="45">
        <v>-0.51270000000000004</v>
      </c>
      <c r="AB44" s="45"/>
      <c r="AC44" s="45"/>
      <c r="AD44" s="45">
        <v>-2.2107000000000001</v>
      </c>
      <c r="AE44" s="45">
        <v>1.3059000000000001</v>
      </c>
      <c r="AF44" s="46">
        <v>24.447900000000001</v>
      </c>
      <c r="AH44" s="54"/>
      <c r="AI44" s="56">
        <v>122</v>
      </c>
      <c r="AJ44" s="54"/>
    </row>
    <row r="45" spans="1:36" ht="12.75" customHeight="1" x14ac:dyDescent="0.2">
      <c r="A45" s="36" t="s">
        <v>6</v>
      </c>
      <c r="B45" s="20">
        <v>20</v>
      </c>
      <c r="C45" s="21">
        <v>1.1638999999999999</v>
      </c>
      <c r="D45" s="21">
        <v>0.31900000000000001</v>
      </c>
      <c r="E45" s="21">
        <v>-0.44350000000000001</v>
      </c>
      <c r="F45" s="21"/>
      <c r="G45" s="21"/>
      <c r="H45" s="21">
        <v>7.5242000000000004</v>
      </c>
      <c r="I45" s="21">
        <v>-14.2013</v>
      </c>
      <c r="J45" s="37">
        <v>20.016200000000001</v>
      </c>
      <c r="AH45" s="54"/>
      <c r="AI45" s="56">
        <v>132</v>
      </c>
      <c r="AJ45" s="54"/>
    </row>
    <row r="46" spans="1:36" ht="12.75" customHeight="1" x14ac:dyDescent="0.2">
      <c r="A46" s="36"/>
      <c r="J46" s="42"/>
      <c r="AH46" s="54"/>
      <c r="AI46" s="56">
        <v>142</v>
      </c>
      <c r="AJ46" s="54"/>
    </row>
    <row r="47" spans="1:36" ht="12.75" customHeight="1" x14ac:dyDescent="0.2">
      <c r="A47" s="36"/>
      <c r="J47" s="42"/>
      <c r="AH47" s="54"/>
      <c r="AI47" s="56">
        <v>113</v>
      </c>
      <c r="AJ47" s="54"/>
    </row>
    <row r="48" spans="1:36" ht="12.75" customHeight="1" x14ac:dyDescent="0.3">
      <c r="A48" s="174" t="s">
        <v>21</v>
      </c>
      <c r="B48" s="174"/>
      <c r="C48" s="174"/>
      <c r="D48" s="174"/>
      <c r="E48" s="174"/>
      <c r="F48" s="174"/>
      <c r="G48" s="174"/>
      <c r="H48" s="174"/>
      <c r="I48" s="174"/>
      <c r="J48" s="175"/>
      <c r="AH48" s="54"/>
      <c r="AI48" s="56">
        <v>123</v>
      </c>
      <c r="AJ48" s="54"/>
    </row>
    <row r="49" spans="1:36" ht="12.75" customHeight="1" x14ac:dyDescent="0.3">
      <c r="A49" s="51" t="s">
        <v>53</v>
      </c>
      <c r="B49" s="52" t="s">
        <v>28</v>
      </c>
      <c r="C49" s="26" t="s">
        <v>8</v>
      </c>
      <c r="D49" s="26" t="s">
        <v>9</v>
      </c>
      <c r="E49" s="26" t="s">
        <v>10</v>
      </c>
      <c r="F49" s="26" t="s">
        <v>11</v>
      </c>
      <c r="G49" s="26"/>
      <c r="H49" s="26" t="s">
        <v>12</v>
      </c>
      <c r="I49" s="26" t="s">
        <v>13</v>
      </c>
      <c r="J49" s="53" t="s">
        <v>14</v>
      </c>
      <c r="AH49" s="54"/>
      <c r="AI49" s="56">
        <v>133</v>
      </c>
      <c r="AJ49" s="54"/>
    </row>
    <row r="50" spans="1:36" ht="12.75" customHeight="1" x14ac:dyDescent="0.2">
      <c r="A50" s="36" t="s">
        <v>0</v>
      </c>
      <c r="B50" s="20">
        <v>1</v>
      </c>
      <c r="C50" s="21">
        <v>0.68920000000000003</v>
      </c>
      <c r="D50" s="21">
        <v>-1.6937</v>
      </c>
      <c r="E50" s="21">
        <v>0.64639999999999997</v>
      </c>
      <c r="F50" s="21">
        <v>1.06E-2</v>
      </c>
      <c r="H50" s="21">
        <v>1.1702999999999999</v>
      </c>
      <c r="I50" s="21">
        <v>0.51290000000000002</v>
      </c>
      <c r="J50" s="37">
        <v>-0.38500000000000001</v>
      </c>
      <c r="AH50" s="54"/>
      <c r="AI50" s="57">
        <v>143</v>
      </c>
      <c r="AJ50" s="54"/>
    </row>
    <row r="51" spans="1:36" ht="12.75" customHeight="1" x14ac:dyDescent="0.2">
      <c r="A51" s="36" t="s">
        <v>1</v>
      </c>
      <c r="B51" s="20">
        <v>2</v>
      </c>
      <c r="C51" s="21">
        <v>1.3625</v>
      </c>
      <c r="D51" s="21">
        <v>-0.37780000000000002</v>
      </c>
      <c r="E51" s="21">
        <v>-0.28920000000000001</v>
      </c>
      <c r="F51" s="21">
        <v>-4.1000000000000003E-3</v>
      </c>
      <c r="H51" s="21">
        <v>1.6955</v>
      </c>
      <c r="I51" s="21">
        <v>4.1319999999999997</v>
      </c>
      <c r="J51" s="37">
        <v>-0.16350000000000001</v>
      </c>
      <c r="AH51" s="54"/>
      <c r="AI51" s="54"/>
      <c r="AJ51" s="54"/>
    </row>
    <row r="52" spans="1:36" ht="12.75" customHeight="1" x14ac:dyDescent="0.2">
      <c r="A52" s="36" t="s">
        <v>2</v>
      </c>
      <c r="B52" s="20">
        <v>3</v>
      </c>
      <c r="C52" s="21">
        <v>1.0876999999999999</v>
      </c>
      <c r="D52" s="21">
        <v>1.9699999999999999E-2</v>
      </c>
      <c r="E52" s="21">
        <v>-0.29859999999999998</v>
      </c>
      <c r="F52" s="21">
        <v>2.3999999999999998E-3</v>
      </c>
      <c r="H52" s="21">
        <v>1.8295999999999999</v>
      </c>
      <c r="I52" s="21">
        <v>2.9020000000000001</v>
      </c>
      <c r="J52" s="37">
        <v>3.4706999999999999</v>
      </c>
    </row>
    <row r="53" spans="1:36" ht="12.75" customHeight="1" x14ac:dyDescent="0.2">
      <c r="A53" s="36" t="s">
        <v>3</v>
      </c>
      <c r="B53" s="20">
        <v>5</v>
      </c>
      <c r="C53" s="21">
        <v>0.75</v>
      </c>
      <c r="D53" s="21">
        <v>5.3199999999999997E-2</v>
      </c>
      <c r="E53" s="21">
        <v>-0.1106</v>
      </c>
      <c r="F53" s="21">
        <v>1.15E-2</v>
      </c>
      <c r="H53" s="21">
        <v>2.1783000000000001</v>
      </c>
      <c r="I53" s="21">
        <v>-2.5688</v>
      </c>
      <c r="J53" s="37">
        <v>9.0883000000000003</v>
      </c>
    </row>
    <row r="54" spans="1:36" ht="12.75" customHeight="1" x14ac:dyDescent="0.2">
      <c r="A54" s="36" t="s">
        <v>4</v>
      </c>
      <c r="B54" s="20">
        <v>10</v>
      </c>
      <c r="C54" s="21">
        <v>0.5605</v>
      </c>
      <c r="D54" s="21">
        <v>2.2200000000000001E-2</v>
      </c>
      <c r="E54" s="21">
        <v>1.7000000000000001E-2</v>
      </c>
      <c r="F54" s="21">
        <v>1.7100000000000001E-2</v>
      </c>
      <c r="H54" s="21">
        <v>2.8835999999999999</v>
      </c>
      <c r="I54" s="21">
        <v>-10.328200000000001</v>
      </c>
      <c r="J54" s="37">
        <v>15.430099999999999</v>
      </c>
    </row>
    <row r="55" spans="1:36" ht="12.75" customHeight="1" x14ac:dyDescent="0.2">
      <c r="A55" s="36" t="s">
        <v>5</v>
      </c>
      <c r="B55" s="20">
        <v>15</v>
      </c>
      <c r="C55" s="21">
        <v>0.50239999999999996</v>
      </c>
      <c r="D55" s="21">
        <v>2.8E-3</v>
      </c>
      <c r="E55" s="21">
        <v>4.7999999999999996E-3</v>
      </c>
      <c r="F55" s="21">
        <v>1.7999999999999999E-2</v>
      </c>
      <c r="H55" s="21">
        <v>4.4580000000000002</v>
      </c>
      <c r="I55" s="21">
        <v>-17.180900000000001</v>
      </c>
      <c r="J55" s="37">
        <v>20.429600000000001</v>
      </c>
    </row>
    <row r="56" spans="1:36" ht="12.75" customHeight="1" x14ac:dyDescent="0.2">
      <c r="A56" s="36" t="s">
        <v>6</v>
      </c>
      <c r="B56" s="20">
        <v>20</v>
      </c>
      <c r="C56" s="21">
        <v>0.53259999999999996</v>
      </c>
      <c r="D56" s="21">
        <v>5.1999999999999998E-3</v>
      </c>
      <c r="E56" s="21">
        <v>2.5600000000000001E-2</v>
      </c>
      <c r="F56" s="21">
        <v>1.6799999999999999E-2</v>
      </c>
      <c r="H56" s="21">
        <v>6.9351000000000003</v>
      </c>
      <c r="I56" s="21">
        <v>-19.3871</v>
      </c>
      <c r="J56" s="37">
        <v>23.400700000000001</v>
      </c>
    </row>
    <row r="57" spans="1:36" ht="12.75" customHeight="1" x14ac:dyDescent="0.2">
      <c r="A57" s="36"/>
      <c r="J57" s="42"/>
    </row>
    <row r="58" spans="1:36" ht="12.75" customHeight="1" x14ac:dyDescent="0.2">
      <c r="A58" s="36"/>
      <c r="J58" s="42"/>
    </row>
    <row r="59" spans="1:36" ht="12.75" customHeight="1" x14ac:dyDescent="0.3">
      <c r="A59" s="174" t="s">
        <v>22</v>
      </c>
      <c r="B59" s="174"/>
      <c r="C59" s="174" t="s">
        <v>22</v>
      </c>
      <c r="D59" s="174"/>
      <c r="E59" s="174"/>
      <c r="F59" s="174"/>
      <c r="G59" s="174"/>
      <c r="H59" s="174"/>
      <c r="I59" s="174"/>
      <c r="J59" s="175"/>
    </row>
    <row r="60" spans="1:36" ht="12.75" customHeight="1" x14ac:dyDescent="0.3">
      <c r="A60" s="51" t="s">
        <v>53</v>
      </c>
      <c r="B60" s="52" t="s">
        <v>28</v>
      </c>
      <c r="C60" s="26" t="s">
        <v>8</v>
      </c>
      <c r="D60" s="26" t="s">
        <v>9</v>
      </c>
      <c r="E60" s="26" t="s">
        <v>10</v>
      </c>
      <c r="F60" s="26" t="s">
        <v>11</v>
      </c>
      <c r="G60" s="26"/>
      <c r="H60" s="26" t="s">
        <v>12</v>
      </c>
      <c r="I60" s="26" t="s">
        <v>13</v>
      </c>
      <c r="J60" s="53" t="s">
        <v>14</v>
      </c>
    </row>
    <row r="61" spans="1:36" ht="12.75" customHeight="1" x14ac:dyDescent="0.2">
      <c r="A61" s="36" t="s">
        <v>0</v>
      </c>
      <c r="B61" s="20">
        <v>1</v>
      </c>
      <c r="C61" s="21">
        <v>0.82740000000000002</v>
      </c>
      <c r="D61" s="21">
        <v>-1.5853999999999999</v>
      </c>
      <c r="E61" s="21">
        <v>0.59489999999999998</v>
      </c>
      <c r="F61" s="21">
        <v>9.7000000000000003E-3</v>
      </c>
      <c r="G61" s="21"/>
      <c r="H61" s="21">
        <v>1.3091999999999999</v>
      </c>
      <c r="I61" s="21">
        <v>1.9474</v>
      </c>
      <c r="J61" s="37">
        <v>-0.79820000000000002</v>
      </c>
    </row>
    <row r="62" spans="1:36" ht="12.75" customHeight="1" x14ac:dyDescent="0.2">
      <c r="A62" s="36" t="s">
        <v>1</v>
      </c>
      <c r="B62" s="20">
        <v>2</v>
      </c>
      <c r="C62" s="21">
        <v>1.3129</v>
      </c>
      <c r="D62" s="21">
        <v>-0.2457</v>
      </c>
      <c r="E62" s="21">
        <v>-0.2329</v>
      </c>
      <c r="F62" s="21">
        <v>-3.0999999999999999E-3</v>
      </c>
      <c r="G62" s="21"/>
      <c r="H62" s="21">
        <v>1.6897</v>
      </c>
      <c r="I62" s="21">
        <v>4.6176000000000004</v>
      </c>
      <c r="J62" s="37">
        <v>-1.7299999999999999E-2</v>
      </c>
    </row>
    <row r="63" spans="1:36" ht="12.75" customHeight="1" x14ac:dyDescent="0.2">
      <c r="A63" s="36" t="s">
        <v>2</v>
      </c>
      <c r="B63" s="20">
        <v>3</v>
      </c>
      <c r="C63" s="21">
        <v>1.0631999999999999</v>
      </c>
      <c r="D63" s="21">
        <v>1.9599999999999999E-2</v>
      </c>
      <c r="E63" s="21">
        <v>-0.1996</v>
      </c>
      <c r="F63" s="21">
        <v>2.0999999999999999E-3</v>
      </c>
      <c r="G63" s="21"/>
      <c r="H63" s="21">
        <v>1.8368</v>
      </c>
      <c r="I63" s="21">
        <v>2.637</v>
      </c>
      <c r="J63" s="37">
        <v>4.0305</v>
      </c>
    </row>
    <row r="64" spans="1:36" ht="12.75" customHeight="1" x14ac:dyDescent="0.2">
      <c r="A64" s="36" t="s">
        <v>3</v>
      </c>
      <c r="B64" s="20">
        <v>5</v>
      </c>
      <c r="C64" s="21">
        <v>0.8236</v>
      </c>
      <c r="D64" s="21">
        <v>2.93E-2</v>
      </c>
      <c r="E64" s="21">
        <v>-6.8400000000000002E-2</v>
      </c>
      <c r="F64" s="21">
        <v>8.0999999999999996E-3</v>
      </c>
      <c r="G64" s="21"/>
      <c r="H64" s="21">
        <v>2.2035999999999998</v>
      </c>
      <c r="I64" s="21">
        <v>-3.3519999999999999</v>
      </c>
      <c r="J64" s="37">
        <v>9.9232999999999993</v>
      </c>
    </row>
    <row r="65" spans="1:10" ht="12.75" customHeight="1" x14ac:dyDescent="0.2">
      <c r="A65" s="36" t="s">
        <v>4</v>
      </c>
      <c r="B65" s="20">
        <v>10</v>
      </c>
      <c r="C65" s="21">
        <v>0.6895</v>
      </c>
      <c r="D65" s="21">
        <v>6.7999999999999996E-3</v>
      </c>
      <c r="E65" s="21">
        <v>3.2000000000000002E-3</v>
      </c>
      <c r="F65" s="21">
        <v>1.1900000000000001E-2</v>
      </c>
      <c r="G65" s="21"/>
      <c r="H65" s="21">
        <v>2.9954999999999998</v>
      </c>
      <c r="I65" s="21">
        <v>-11.401300000000001</v>
      </c>
      <c r="J65" s="37">
        <v>16.344100000000001</v>
      </c>
    </row>
    <row r="66" spans="1:10" ht="12.75" customHeight="1" x14ac:dyDescent="0.2">
      <c r="A66" s="36" t="s">
        <v>5</v>
      </c>
      <c r="B66" s="20">
        <v>15</v>
      </c>
      <c r="C66" s="21">
        <v>0.60980000000000001</v>
      </c>
      <c r="D66" s="21">
        <v>-1.4E-3</v>
      </c>
      <c r="E66" s="21">
        <v>1.66E-2</v>
      </c>
      <c r="F66" s="21">
        <v>1.41E-2</v>
      </c>
      <c r="G66" s="21"/>
      <c r="H66" s="21">
        <v>4.7733999999999996</v>
      </c>
      <c r="I66" s="21">
        <v>-17.885000000000002</v>
      </c>
      <c r="J66" s="37">
        <v>20.888300000000001</v>
      </c>
    </row>
    <row r="67" spans="1:10" ht="12.75" customHeight="1" x14ac:dyDescent="0.2">
      <c r="A67" s="36" t="s">
        <v>6</v>
      </c>
      <c r="B67" s="20">
        <v>20</v>
      </c>
      <c r="C67" s="21">
        <v>0.5615</v>
      </c>
      <c r="D67" s="21">
        <v>4.0000000000000001E-3</v>
      </c>
      <c r="E67" s="21">
        <v>7.3000000000000001E-3</v>
      </c>
      <c r="F67" s="21">
        <v>1.5900000000000001E-2</v>
      </c>
      <c r="G67" s="21"/>
      <c r="H67" s="21">
        <v>7.4494999999999996</v>
      </c>
      <c r="I67" s="21">
        <v>-19.051300000000001</v>
      </c>
      <c r="J67" s="37">
        <v>23.052900000000001</v>
      </c>
    </row>
    <row r="68" spans="1:10" ht="12.75" customHeight="1" x14ac:dyDescent="0.2">
      <c r="A68" s="36"/>
      <c r="J68" s="42"/>
    </row>
    <row r="69" spans="1:10" ht="12.75" customHeight="1" x14ac:dyDescent="0.2">
      <c r="A69" s="36"/>
      <c r="J69" s="42"/>
    </row>
    <row r="70" spans="1:10" ht="12.75" customHeight="1" x14ac:dyDescent="0.3">
      <c r="A70" s="174" t="s">
        <v>23</v>
      </c>
      <c r="B70" s="174"/>
      <c r="C70" s="174"/>
      <c r="D70" s="174"/>
      <c r="E70" s="174"/>
      <c r="F70" s="174"/>
      <c r="G70" s="174"/>
      <c r="H70" s="174"/>
      <c r="I70" s="174"/>
      <c r="J70" s="175"/>
    </row>
    <row r="71" spans="1:10" ht="12.75" customHeight="1" x14ac:dyDescent="0.3">
      <c r="A71" s="51" t="s">
        <v>53</v>
      </c>
      <c r="B71" s="52" t="s">
        <v>28</v>
      </c>
      <c r="C71" s="26" t="s">
        <v>8</v>
      </c>
      <c r="D71" s="26" t="s">
        <v>9</v>
      </c>
      <c r="E71" s="26" t="s">
        <v>10</v>
      </c>
      <c r="F71" s="26" t="s">
        <v>11</v>
      </c>
      <c r="G71" s="26"/>
      <c r="H71" s="26" t="s">
        <v>12</v>
      </c>
      <c r="I71" s="26" t="s">
        <v>13</v>
      </c>
      <c r="J71" s="53" t="s">
        <v>14</v>
      </c>
    </row>
    <row r="72" spans="1:10" ht="12.75" customHeight="1" x14ac:dyDescent="0.2">
      <c r="A72" s="36" t="s">
        <v>0</v>
      </c>
      <c r="B72" s="20">
        <v>1</v>
      </c>
      <c r="C72" s="21">
        <v>0.67490000000000006</v>
      </c>
      <c r="D72" s="21">
        <v>-1.758</v>
      </c>
      <c r="E72" s="21">
        <v>0.68049999999999999</v>
      </c>
      <c r="F72" s="21">
        <v>1.09E-2</v>
      </c>
      <c r="G72" s="21"/>
      <c r="H72" s="21">
        <v>1.1921999999999999</v>
      </c>
      <c r="I72" s="21">
        <v>0.79400000000000004</v>
      </c>
      <c r="J72" s="37">
        <v>-0.54249999999999998</v>
      </c>
    </row>
    <row r="73" spans="1:10" ht="12.75" customHeight="1" x14ac:dyDescent="0.2">
      <c r="A73" s="36" t="s">
        <v>1</v>
      </c>
      <c r="B73" s="20">
        <v>2</v>
      </c>
      <c r="C73" s="21">
        <v>1.3715999999999999</v>
      </c>
      <c r="D73" s="21">
        <v>-0.36520000000000002</v>
      </c>
      <c r="E73" s="21">
        <v>-0.29659999999999997</v>
      </c>
      <c r="F73" s="21">
        <v>-4.1000000000000003E-3</v>
      </c>
      <c r="G73" s="21"/>
      <c r="H73" s="21">
        <v>1.7173</v>
      </c>
      <c r="I73" s="21">
        <v>4.3117000000000001</v>
      </c>
      <c r="J73" s="37">
        <v>-0.1653</v>
      </c>
    </row>
    <row r="74" spans="1:10" ht="12.75" customHeight="1" x14ac:dyDescent="0.2">
      <c r="A74" s="36" t="s">
        <v>2</v>
      </c>
      <c r="B74" s="20">
        <v>3</v>
      </c>
      <c r="C74" s="21">
        <v>1.0899000000000001</v>
      </c>
      <c r="D74" s="21">
        <v>2.9899999999999999E-2</v>
      </c>
      <c r="E74" s="21">
        <v>-0.28870000000000001</v>
      </c>
      <c r="F74" s="21">
        <v>2.3999999999999998E-3</v>
      </c>
      <c r="G74" s="21"/>
      <c r="H74" s="21">
        <v>1.8631</v>
      </c>
      <c r="I74" s="21">
        <v>2.8767</v>
      </c>
      <c r="J74" s="37">
        <v>3.5848</v>
      </c>
    </row>
    <row r="75" spans="1:10" ht="12.75" customHeight="1" x14ac:dyDescent="0.2">
      <c r="A75" s="36" t="s">
        <v>3</v>
      </c>
      <c r="B75" s="20">
        <v>5</v>
      </c>
      <c r="C75" s="21">
        <v>0.76939999999999997</v>
      </c>
      <c r="D75" s="21">
        <v>5.4800000000000001E-2</v>
      </c>
      <c r="E75" s="21">
        <v>-9.3399999999999997E-2</v>
      </c>
      <c r="F75" s="21">
        <v>1.0800000000000001E-2</v>
      </c>
      <c r="G75" s="21"/>
      <c r="H75" s="21">
        <v>2.1808000000000001</v>
      </c>
      <c r="I75" s="21">
        <v>-2.7219000000000002</v>
      </c>
      <c r="J75" s="37">
        <v>9.3704999999999998</v>
      </c>
    </row>
    <row r="76" spans="1:10" ht="12.75" customHeight="1" x14ac:dyDescent="0.2">
      <c r="A76" s="36" t="s">
        <v>4</v>
      </c>
      <c r="B76" s="20">
        <v>10</v>
      </c>
      <c r="C76" s="21">
        <v>0.61560000000000004</v>
      </c>
      <c r="D76" s="21">
        <v>2.3099999999999999E-2</v>
      </c>
      <c r="E76" s="21">
        <v>2.98E-2</v>
      </c>
      <c r="F76" s="21">
        <v>1.49E-2</v>
      </c>
      <c r="G76" s="21"/>
      <c r="H76" s="21">
        <v>2.7654000000000001</v>
      </c>
      <c r="I76" s="21">
        <v>-10.880800000000001</v>
      </c>
      <c r="J76" s="37">
        <v>16.2255</v>
      </c>
    </row>
    <row r="77" spans="1:10" ht="12.75" customHeight="1" x14ac:dyDescent="0.2">
      <c r="A77" s="36" t="s">
        <v>5</v>
      </c>
      <c r="B77" s="20">
        <v>15</v>
      </c>
      <c r="C77" s="21">
        <v>0.60770000000000002</v>
      </c>
      <c r="D77" s="21">
        <v>4.0000000000000001E-3</v>
      </c>
      <c r="E77" s="21">
        <v>5.7299999999999997E-2</v>
      </c>
      <c r="F77" s="21">
        <v>1.41E-2</v>
      </c>
      <c r="G77" s="21"/>
      <c r="H77" s="21">
        <v>4.1378000000000004</v>
      </c>
      <c r="I77" s="21">
        <v>-18.6219</v>
      </c>
      <c r="J77" s="37">
        <v>22.239000000000001</v>
      </c>
    </row>
    <row r="78" spans="1:10" ht="12.75" customHeight="1" x14ac:dyDescent="0.2">
      <c r="A78" s="36" t="s">
        <v>6</v>
      </c>
      <c r="B78" s="20">
        <v>20</v>
      </c>
      <c r="C78" s="21">
        <v>0.69520000000000004</v>
      </c>
      <c r="D78" s="21">
        <v>1.8E-3</v>
      </c>
      <c r="E78" s="21">
        <v>3.0599999999999999E-2</v>
      </c>
      <c r="F78" s="21">
        <v>1.09E-2</v>
      </c>
      <c r="G78" s="21"/>
      <c r="H78" s="21">
        <v>6.4885000000000002</v>
      </c>
      <c r="I78" s="21">
        <v>-22.200099999999999</v>
      </c>
      <c r="J78" s="37">
        <v>26.491099999999999</v>
      </c>
    </row>
    <row r="79" spans="1:10" ht="12.75" customHeight="1" x14ac:dyDescent="0.2">
      <c r="A79" s="36"/>
      <c r="J79" s="42"/>
    </row>
    <row r="80" spans="1:10" ht="12.75" customHeight="1" x14ac:dyDescent="0.2">
      <c r="A80" s="36"/>
      <c r="J80" s="42"/>
    </row>
    <row r="81" spans="1:10" ht="12.75" customHeight="1" x14ac:dyDescent="0.3">
      <c r="A81" s="174" t="s">
        <v>24</v>
      </c>
      <c r="B81" s="174"/>
      <c r="C81" s="174"/>
      <c r="D81" s="174"/>
      <c r="E81" s="174"/>
      <c r="F81" s="174"/>
      <c r="G81" s="174"/>
      <c r="H81" s="174"/>
      <c r="I81" s="174"/>
      <c r="J81" s="175"/>
    </row>
    <row r="82" spans="1:10" ht="12.75" customHeight="1" x14ac:dyDescent="0.3">
      <c r="A82" s="51" t="s">
        <v>53</v>
      </c>
      <c r="B82" s="52" t="s">
        <v>28</v>
      </c>
      <c r="C82" s="26" t="s">
        <v>8</v>
      </c>
      <c r="D82" s="26" t="s">
        <v>9</v>
      </c>
      <c r="E82" s="26" t="s">
        <v>10</v>
      </c>
      <c r="F82" s="26" t="s">
        <v>11</v>
      </c>
      <c r="G82" s="26"/>
      <c r="H82" s="26" t="s">
        <v>12</v>
      </c>
      <c r="I82" s="26" t="s">
        <v>13</v>
      </c>
      <c r="J82" s="53" t="s">
        <v>14</v>
      </c>
    </row>
    <row r="83" spans="1:10" ht="12.75" customHeight="1" x14ac:dyDescent="0.2">
      <c r="A83" s="36" t="s">
        <v>0</v>
      </c>
      <c r="B83" s="20">
        <v>1</v>
      </c>
      <c r="C83" s="20">
        <v>0.71940000000000004</v>
      </c>
      <c r="D83" s="20">
        <v>-1.3143</v>
      </c>
      <c r="E83" s="20">
        <v>0.54320000000000002</v>
      </c>
      <c r="F83" s="20">
        <v>9.2999999999999992E-3</v>
      </c>
      <c r="H83" s="20">
        <v>1.2779</v>
      </c>
      <c r="I83" s="20">
        <v>1.5713999999999999</v>
      </c>
      <c r="J83" s="42">
        <v>-0.69940000000000002</v>
      </c>
    </row>
    <row r="84" spans="1:10" ht="12.75" customHeight="1" x14ac:dyDescent="0.2">
      <c r="A84" s="36" t="s">
        <v>1</v>
      </c>
      <c r="B84" s="20">
        <v>2</v>
      </c>
      <c r="C84" s="20">
        <v>1.2670999999999999</v>
      </c>
      <c r="D84" s="20">
        <v>-0.29959999999999998</v>
      </c>
      <c r="E84" s="20">
        <v>-0.21049999999999999</v>
      </c>
      <c r="F84" s="20">
        <v>-2.8999999999999998E-3</v>
      </c>
      <c r="H84" s="20">
        <v>1.7471000000000001</v>
      </c>
      <c r="I84" s="20">
        <v>4.2637999999999998</v>
      </c>
      <c r="J84" s="42">
        <v>-7.5200000000000003E-2</v>
      </c>
    </row>
    <row r="85" spans="1:10" ht="12.75" customHeight="1" x14ac:dyDescent="0.2">
      <c r="A85" s="36" t="s">
        <v>2</v>
      </c>
      <c r="B85" s="20">
        <v>3</v>
      </c>
      <c r="C85" s="20">
        <v>1.0668</v>
      </c>
      <c r="D85" s="20">
        <v>1.6999999999999999E-3</v>
      </c>
      <c r="E85" s="20">
        <v>-0.2424</v>
      </c>
      <c r="F85" s="20">
        <v>1.9E-3</v>
      </c>
      <c r="H85" s="20">
        <v>1.9107000000000001</v>
      </c>
      <c r="I85" s="20">
        <v>2.7284999999999999</v>
      </c>
      <c r="J85" s="42">
        <v>3.5880999999999998</v>
      </c>
    </row>
    <row r="86" spans="1:10" ht="12.75" customHeight="1" x14ac:dyDescent="0.2">
      <c r="A86" s="36" t="s">
        <v>3</v>
      </c>
      <c r="B86" s="20">
        <v>5</v>
      </c>
      <c r="C86" s="20">
        <v>0.7833</v>
      </c>
      <c r="D86" s="20">
        <v>3.0700000000000002E-2</v>
      </c>
      <c r="E86" s="20">
        <v>-0.1103</v>
      </c>
      <c r="F86" s="20">
        <v>9.7999999999999997E-3</v>
      </c>
      <c r="H86" s="20">
        <v>2.3172000000000001</v>
      </c>
      <c r="I86" s="20">
        <v>-2.6259000000000001</v>
      </c>
      <c r="J86" s="42">
        <v>9.0237999999999996</v>
      </c>
    </row>
    <row r="87" spans="1:10" ht="12.75" customHeight="1" x14ac:dyDescent="0.2">
      <c r="A87" s="36" t="s">
        <v>4</v>
      </c>
      <c r="B87" s="20">
        <v>10</v>
      </c>
      <c r="C87" s="20">
        <v>0.57650000000000001</v>
      </c>
      <c r="D87" s="20">
        <v>6.7999999999999996E-3</v>
      </c>
      <c r="E87" s="20">
        <v>-2.0199999999999999E-2</v>
      </c>
      <c r="F87" s="20">
        <v>1.6500000000000001E-2</v>
      </c>
      <c r="H87" s="20">
        <v>3.2086999999999999</v>
      </c>
      <c r="I87" s="20">
        <v>-9.8890999999999991</v>
      </c>
      <c r="J87" s="42">
        <v>14.7339</v>
      </c>
    </row>
    <row r="88" spans="1:10" ht="12.75" customHeight="1" x14ac:dyDescent="0.2">
      <c r="A88" s="36" t="s">
        <v>5</v>
      </c>
      <c r="B88" s="20">
        <v>15</v>
      </c>
      <c r="C88" s="20">
        <v>0.41149999999999998</v>
      </c>
      <c r="D88" s="20">
        <v>1.4E-3</v>
      </c>
      <c r="E88" s="20">
        <v>8.3000000000000001E-3</v>
      </c>
      <c r="F88" s="20">
        <v>2.1299999999999999E-2</v>
      </c>
      <c r="H88" s="20">
        <v>5.1140999999999996</v>
      </c>
      <c r="I88" s="20">
        <v>-15.3263</v>
      </c>
      <c r="J88" s="42">
        <v>18.250699999999998</v>
      </c>
    </row>
    <row r="89" spans="1:10" ht="12.75" customHeight="1" x14ac:dyDescent="0.2">
      <c r="A89" s="36" t="s">
        <v>6</v>
      </c>
      <c r="B89" s="20">
        <v>20</v>
      </c>
      <c r="C89" s="20">
        <v>0.30709999999999998</v>
      </c>
      <c r="D89" s="20">
        <v>1.11E-2</v>
      </c>
      <c r="E89" s="20">
        <v>1.29E-2</v>
      </c>
      <c r="F89" s="20">
        <v>2.5100000000000001E-2</v>
      </c>
      <c r="H89" s="20">
        <v>7.6383000000000001</v>
      </c>
      <c r="I89" s="20">
        <v>-15.5739</v>
      </c>
      <c r="J89" s="42">
        <v>19.7669</v>
      </c>
    </row>
    <row r="90" spans="1:10" ht="12.75" customHeight="1" x14ac:dyDescent="0.2">
      <c r="A90" s="36"/>
      <c r="J90" s="42"/>
    </row>
    <row r="91" spans="1:10" ht="12.75" customHeight="1" x14ac:dyDescent="0.2">
      <c r="A91" s="36"/>
      <c r="J91" s="42"/>
    </row>
    <row r="92" spans="1:10" ht="12.75" customHeight="1" x14ac:dyDescent="0.3">
      <c r="A92" s="174" t="s">
        <v>25</v>
      </c>
      <c r="B92" s="174"/>
      <c r="C92" s="174"/>
      <c r="D92" s="174"/>
      <c r="E92" s="174"/>
      <c r="F92" s="174"/>
      <c r="G92" s="174"/>
      <c r="H92" s="174"/>
      <c r="I92" s="174"/>
      <c r="J92" s="175"/>
    </row>
    <row r="93" spans="1:10" ht="12.75" customHeight="1" x14ac:dyDescent="0.3">
      <c r="A93" s="51" t="s">
        <v>53</v>
      </c>
      <c r="B93" s="52" t="s">
        <v>28</v>
      </c>
      <c r="C93" s="26" t="s">
        <v>8</v>
      </c>
      <c r="D93" s="26" t="s">
        <v>9</v>
      </c>
      <c r="E93" s="26" t="s">
        <v>10</v>
      </c>
      <c r="F93" s="26" t="s">
        <v>11</v>
      </c>
      <c r="G93" s="26"/>
      <c r="H93" s="26" t="s">
        <v>12</v>
      </c>
      <c r="I93" s="26" t="s">
        <v>13</v>
      </c>
      <c r="J93" s="53" t="s">
        <v>14</v>
      </c>
    </row>
    <row r="94" spans="1:10" ht="12.75" customHeight="1" x14ac:dyDescent="0.2">
      <c r="A94" s="36" t="s">
        <v>0</v>
      </c>
      <c r="B94" s="20">
        <v>1</v>
      </c>
      <c r="C94" s="21">
        <v>0.72099999999999997</v>
      </c>
      <c r="D94" s="21">
        <v>-1.4685999999999999</v>
      </c>
      <c r="E94" s="21">
        <v>0.5746</v>
      </c>
      <c r="F94" s="21">
        <v>9.4999999999999998E-3</v>
      </c>
      <c r="G94" s="21"/>
      <c r="H94" s="21">
        <v>1.2136</v>
      </c>
      <c r="I94" s="21">
        <v>0.97399999999999998</v>
      </c>
      <c r="J94" s="37">
        <v>-0.52470000000000006</v>
      </c>
    </row>
    <row r="95" spans="1:10" ht="12.75" customHeight="1" x14ac:dyDescent="0.2">
      <c r="A95" s="36" t="s">
        <v>1</v>
      </c>
      <c r="B95" s="20">
        <v>2</v>
      </c>
      <c r="C95" s="21">
        <v>1.3115000000000001</v>
      </c>
      <c r="D95" s="21">
        <v>-0.33600000000000002</v>
      </c>
      <c r="E95" s="21">
        <v>-0.2475</v>
      </c>
      <c r="F95" s="21">
        <v>-3.3999999999999998E-3</v>
      </c>
      <c r="G95" s="21"/>
      <c r="H95" s="21">
        <v>1.7024999999999999</v>
      </c>
      <c r="I95" s="21">
        <v>4.1569000000000003</v>
      </c>
      <c r="J95" s="37">
        <v>-0.1232</v>
      </c>
    </row>
    <row r="96" spans="1:10" ht="12.75" customHeight="1" x14ac:dyDescent="0.2">
      <c r="A96" s="36" t="s">
        <v>2</v>
      </c>
      <c r="B96" s="20">
        <v>3</v>
      </c>
      <c r="C96" s="21">
        <v>1.0768</v>
      </c>
      <c r="D96" s="21">
        <v>1.09E-2</v>
      </c>
      <c r="E96" s="21">
        <v>-0.26950000000000002</v>
      </c>
      <c r="F96" s="21">
        <v>2.0999999999999999E-3</v>
      </c>
      <c r="G96" s="21"/>
      <c r="H96" s="21">
        <v>1.8360000000000001</v>
      </c>
      <c r="I96" s="21">
        <v>2.8632</v>
      </c>
      <c r="J96" s="37">
        <v>3.5219999999999998</v>
      </c>
    </row>
    <row r="97" spans="1:10" ht="12.75" customHeight="1" x14ac:dyDescent="0.2">
      <c r="A97" s="36" t="s">
        <v>3</v>
      </c>
      <c r="B97" s="20">
        <v>5</v>
      </c>
      <c r="C97" s="21">
        <v>0.76819999999999999</v>
      </c>
      <c r="D97" s="21">
        <v>4.3900000000000002E-2</v>
      </c>
      <c r="E97" s="21">
        <v>-0.109</v>
      </c>
      <c r="F97" s="21">
        <v>1.0500000000000001E-2</v>
      </c>
      <c r="G97" s="21"/>
      <c r="H97" s="21">
        <v>2.1882000000000001</v>
      </c>
      <c r="I97" s="21">
        <v>-2.6520999999999999</v>
      </c>
      <c r="J97" s="37">
        <v>9.1960999999999995</v>
      </c>
    </row>
    <row r="98" spans="1:10" ht="12.75" customHeight="1" x14ac:dyDescent="0.2">
      <c r="A98" s="36" t="s">
        <v>4</v>
      </c>
      <c r="B98" s="20">
        <v>10</v>
      </c>
      <c r="C98" s="21">
        <v>0.57689999999999997</v>
      </c>
      <c r="D98" s="21">
        <v>1.7600000000000001E-2</v>
      </c>
      <c r="E98" s="21">
        <v>3.8E-3</v>
      </c>
      <c r="F98" s="21">
        <v>1.6500000000000001E-2</v>
      </c>
      <c r="G98" s="21"/>
      <c r="H98" s="21">
        <v>2.9681999999999999</v>
      </c>
      <c r="I98" s="21">
        <v>-10.305300000000001</v>
      </c>
      <c r="J98" s="37">
        <v>15.3161</v>
      </c>
    </row>
    <row r="99" spans="1:10" ht="12.75" customHeight="1" x14ac:dyDescent="0.2">
      <c r="A99" s="36" t="s">
        <v>5</v>
      </c>
      <c r="B99" s="20">
        <v>15</v>
      </c>
      <c r="C99" s="21">
        <v>0.48449999999999999</v>
      </c>
      <c r="D99" s="21">
        <v>3.3999999999999998E-3</v>
      </c>
      <c r="E99" s="21">
        <v>3.5999999999999999E-3</v>
      </c>
      <c r="F99" s="21">
        <v>1.8700000000000001E-2</v>
      </c>
      <c r="G99" s="21"/>
      <c r="H99" s="21">
        <v>4.6525999999999996</v>
      </c>
      <c r="I99" s="21">
        <v>-16.692</v>
      </c>
      <c r="J99" s="37">
        <v>19.853400000000001</v>
      </c>
    </row>
    <row r="100" spans="1:10" ht="12.75" customHeight="1" x14ac:dyDescent="0.2">
      <c r="A100" s="36" t="s">
        <v>6</v>
      </c>
      <c r="B100" s="20">
        <v>20</v>
      </c>
      <c r="C100" s="21">
        <v>0.47599999999999998</v>
      </c>
      <c r="D100" s="21">
        <v>7.1000000000000004E-3</v>
      </c>
      <c r="E100" s="21">
        <v>2.46E-2</v>
      </c>
      <c r="F100" s="21">
        <v>1.89E-2</v>
      </c>
      <c r="G100" s="21"/>
      <c r="H100" s="21">
        <v>7.1425000000000001</v>
      </c>
      <c r="I100" s="21">
        <v>-18.302099999999999</v>
      </c>
      <c r="J100" s="37">
        <v>22.416799999999999</v>
      </c>
    </row>
    <row r="101" spans="1:10" ht="12.75" customHeight="1" x14ac:dyDescent="0.2">
      <c r="A101" s="44"/>
      <c r="B101" s="45"/>
      <c r="C101" s="45"/>
      <c r="D101" s="45"/>
      <c r="E101" s="45"/>
      <c r="F101" s="45"/>
      <c r="G101" s="45"/>
      <c r="H101" s="45"/>
      <c r="I101" s="45"/>
      <c r="J101" s="46"/>
    </row>
  </sheetData>
  <sheetProtection sheet="1" objects="1" scenarios="1"/>
  <mergeCells count="29">
    <mergeCell ref="A1:J1"/>
    <mergeCell ref="L1:U1"/>
    <mergeCell ref="W1:AF1"/>
    <mergeCell ref="N4:U4"/>
    <mergeCell ref="Y4:AF4"/>
    <mergeCell ref="A4:J4"/>
    <mergeCell ref="H3:J3"/>
    <mergeCell ref="C3:E3"/>
    <mergeCell ref="N3:P3"/>
    <mergeCell ref="S3:U3"/>
    <mergeCell ref="Y3:AA3"/>
    <mergeCell ref="AD3:AF3"/>
    <mergeCell ref="A92:J92"/>
    <mergeCell ref="N15:U15"/>
    <mergeCell ref="Y15:AF15"/>
    <mergeCell ref="N26:U26"/>
    <mergeCell ref="Y26:AF26"/>
    <mergeCell ref="N37:U37"/>
    <mergeCell ref="Y37:AF37"/>
    <mergeCell ref="A15:J15"/>
    <mergeCell ref="A26:J26"/>
    <mergeCell ref="A37:J37"/>
    <mergeCell ref="AM5:AV5"/>
    <mergeCell ref="A48:J48"/>
    <mergeCell ref="A59:J59"/>
    <mergeCell ref="A70:J70"/>
    <mergeCell ref="A81:J81"/>
    <mergeCell ref="AH5:AJ5"/>
    <mergeCell ref="AM15:AN1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13"/>
  <sheetViews>
    <sheetView workbookViewId="0">
      <selection activeCell="A12" sqref="A12"/>
    </sheetView>
  </sheetViews>
  <sheetFormatPr baseColWidth="10" defaultColWidth="9.140625" defaultRowHeight="12.75" x14ac:dyDescent="0.2"/>
  <cols>
    <col min="1" max="1" width="10.140625" style="20" customWidth="1"/>
    <col min="2" max="30" width="10" style="20" customWidth="1"/>
    <col min="31" max="16384" width="9.140625" style="20"/>
  </cols>
  <sheetData>
    <row r="1" spans="1:28" x14ac:dyDescent="0.2">
      <c r="A1" s="20" t="s">
        <v>52</v>
      </c>
      <c r="B1" s="20" t="s">
        <v>89</v>
      </c>
    </row>
    <row r="2" spans="1:28" hidden="1" x14ac:dyDescent="0.2">
      <c r="B2" s="20">
        <v>111</v>
      </c>
      <c r="C2" s="20">
        <v>112</v>
      </c>
      <c r="D2" s="20">
        <v>113</v>
      </c>
      <c r="E2" s="20">
        <v>121</v>
      </c>
      <c r="F2" s="20">
        <v>122</v>
      </c>
      <c r="G2" s="20">
        <v>123</v>
      </c>
      <c r="H2" s="20">
        <v>131</v>
      </c>
      <c r="I2" s="20">
        <v>132</v>
      </c>
      <c r="J2" s="20">
        <v>133</v>
      </c>
      <c r="K2" s="20">
        <v>141</v>
      </c>
      <c r="L2" s="20">
        <v>142</v>
      </c>
      <c r="M2" s="20">
        <v>143</v>
      </c>
      <c r="N2" s="20">
        <v>211</v>
      </c>
      <c r="O2" s="20">
        <v>212</v>
      </c>
      <c r="P2" s="20">
        <v>213</v>
      </c>
      <c r="Q2" s="20">
        <v>221</v>
      </c>
      <c r="R2" s="20">
        <v>222</v>
      </c>
      <c r="S2" s="20">
        <v>223</v>
      </c>
      <c r="T2" s="20">
        <v>231</v>
      </c>
      <c r="U2" s="20">
        <v>232</v>
      </c>
      <c r="V2" s="20">
        <v>233</v>
      </c>
      <c r="W2" s="20">
        <v>241</v>
      </c>
      <c r="X2" s="20">
        <v>242</v>
      </c>
      <c r="Y2" s="20">
        <v>243</v>
      </c>
      <c r="Z2" s="20">
        <v>251</v>
      </c>
      <c r="AA2" s="20">
        <v>252</v>
      </c>
      <c r="AB2" s="20">
        <v>253</v>
      </c>
    </row>
    <row r="3" spans="1:28" s="24" customFormat="1" ht="16.5" x14ac:dyDescent="0.3">
      <c r="B3" s="174" t="s">
        <v>32</v>
      </c>
      <c r="C3" s="174"/>
      <c r="D3" s="174"/>
      <c r="E3" s="174" t="s">
        <v>37</v>
      </c>
      <c r="F3" s="174"/>
      <c r="G3" s="174"/>
      <c r="H3" s="174" t="s">
        <v>38</v>
      </c>
      <c r="I3" s="174"/>
      <c r="J3" s="174"/>
      <c r="K3" s="174" t="s">
        <v>39</v>
      </c>
      <c r="L3" s="174"/>
      <c r="M3" s="174"/>
      <c r="N3" s="174" t="s">
        <v>62</v>
      </c>
      <c r="O3" s="174"/>
      <c r="P3" s="174"/>
      <c r="Q3" s="174" t="s">
        <v>63</v>
      </c>
      <c r="R3" s="174"/>
      <c r="S3" s="174"/>
      <c r="T3" s="174" t="s">
        <v>33</v>
      </c>
      <c r="U3" s="174"/>
      <c r="V3" s="174"/>
      <c r="W3" s="174" t="s">
        <v>64</v>
      </c>
      <c r="X3" s="174"/>
      <c r="Y3" s="174"/>
      <c r="Z3" s="174" t="s">
        <v>34</v>
      </c>
      <c r="AA3" s="174"/>
      <c r="AB3" s="174"/>
    </row>
    <row r="4" spans="1:28" s="24" customFormat="1" ht="16.5" x14ac:dyDescent="0.3">
      <c r="A4" s="52" t="s">
        <v>28</v>
      </c>
      <c r="B4" s="74" t="s">
        <v>59</v>
      </c>
      <c r="C4" s="75" t="s">
        <v>58</v>
      </c>
      <c r="D4" s="76" t="s">
        <v>60</v>
      </c>
      <c r="E4" s="74" t="s">
        <v>59</v>
      </c>
      <c r="F4" s="75" t="s">
        <v>58</v>
      </c>
      <c r="G4" s="76" t="s">
        <v>60</v>
      </c>
      <c r="H4" s="74" t="s">
        <v>59</v>
      </c>
      <c r="I4" s="75" t="s">
        <v>58</v>
      </c>
      <c r="J4" s="76" t="s">
        <v>60</v>
      </c>
      <c r="K4" s="74" t="s">
        <v>59</v>
      </c>
      <c r="L4" s="75" t="s">
        <v>58</v>
      </c>
      <c r="M4" s="76" t="s">
        <v>60</v>
      </c>
      <c r="N4" s="74" t="s">
        <v>59</v>
      </c>
      <c r="O4" s="75" t="s">
        <v>58</v>
      </c>
      <c r="P4" s="76" t="s">
        <v>60</v>
      </c>
      <c r="Q4" s="74" t="s">
        <v>59</v>
      </c>
      <c r="R4" s="75" t="s">
        <v>58</v>
      </c>
      <c r="S4" s="76" t="s">
        <v>60</v>
      </c>
      <c r="T4" s="74" t="s">
        <v>59</v>
      </c>
      <c r="U4" s="75" t="s">
        <v>58</v>
      </c>
      <c r="V4" s="76" t="s">
        <v>60</v>
      </c>
      <c r="W4" s="74" t="s">
        <v>59</v>
      </c>
      <c r="X4" s="75" t="s">
        <v>58</v>
      </c>
      <c r="Y4" s="76" t="s">
        <v>60</v>
      </c>
      <c r="Z4" s="74" t="s">
        <v>59</v>
      </c>
      <c r="AA4" s="75" t="s">
        <v>58</v>
      </c>
      <c r="AB4" s="76" t="s">
        <v>60</v>
      </c>
    </row>
    <row r="5" spans="1:28" x14ac:dyDescent="0.2">
      <c r="A5" s="20">
        <v>0</v>
      </c>
      <c r="B5" s="62"/>
      <c r="C5" s="22"/>
      <c r="D5" s="63"/>
      <c r="E5" s="62"/>
      <c r="F5" s="22"/>
      <c r="G5" s="63"/>
      <c r="H5" s="62"/>
      <c r="I5" s="22"/>
      <c r="J5" s="63"/>
      <c r="K5" s="62"/>
      <c r="L5" s="22"/>
      <c r="M5" s="63"/>
      <c r="N5" s="62"/>
      <c r="O5" s="22"/>
      <c r="P5" s="63"/>
      <c r="Q5" s="62"/>
      <c r="R5" s="22"/>
      <c r="S5" s="63"/>
      <c r="T5" s="62"/>
      <c r="U5" s="22"/>
      <c r="V5" s="63"/>
      <c r="W5" s="62"/>
      <c r="X5" s="22"/>
      <c r="Y5" s="63"/>
      <c r="Z5" s="62"/>
      <c r="AA5" s="22"/>
      <c r="AB5" s="63"/>
    </row>
    <row r="6" spans="1:28" x14ac:dyDescent="0.2">
      <c r="A6" s="20">
        <v>1</v>
      </c>
      <c r="B6" s="68">
        <v>-1.3391918682730433</v>
      </c>
      <c r="C6" s="69">
        <v>-1.3205376539073994</v>
      </c>
      <c r="D6" s="70">
        <v>-1.3300166619272631</v>
      </c>
      <c r="E6" s="68">
        <v>-1.149542994259372</v>
      </c>
      <c r="F6" s="69">
        <v>-1.1287564594165489</v>
      </c>
      <c r="G6" s="70">
        <v>-1.1393153104759235</v>
      </c>
      <c r="H6" s="68">
        <v>-1.1995667190344683</v>
      </c>
      <c r="I6" s="69">
        <v>-1.159057693334963</v>
      </c>
      <c r="J6" s="70">
        <v>-1.1794669380666578</v>
      </c>
      <c r="K6" s="68">
        <v>-1.3008882857309396</v>
      </c>
      <c r="L6" s="69">
        <v>-1.2828282862915501</v>
      </c>
      <c r="M6" s="70">
        <v>-1.2920084625948782</v>
      </c>
      <c r="N6" s="68">
        <v>-1.2244024839391032</v>
      </c>
      <c r="O6" s="69">
        <v>-1.23753030934175</v>
      </c>
      <c r="P6" s="70">
        <v>-1.2307700164916384</v>
      </c>
      <c r="Q6" s="68">
        <v>-1.1881811084640668</v>
      </c>
      <c r="R6" s="69">
        <v>-1.1106269288043862</v>
      </c>
      <c r="S6" s="70">
        <v>-1.1491210108255552</v>
      </c>
      <c r="T6" s="68">
        <v>-1.1633364561886397</v>
      </c>
      <c r="U6" s="69">
        <v>-1.1378733283421005</v>
      </c>
      <c r="V6" s="70">
        <v>-1.1507828765224926</v>
      </c>
      <c r="W6" s="68">
        <v>-1.4833929444880147</v>
      </c>
      <c r="X6" s="69">
        <v>-1.3772257268162487</v>
      </c>
      <c r="Y6" s="70">
        <v>-1.4290933741165424</v>
      </c>
      <c r="Z6" s="68">
        <v>-1.2808737879735403</v>
      </c>
      <c r="AA6" s="69">
        <v>-1.2702343228546582</v>
      </c>
      <c r="AB6" s="70">
        <v>-1.2756596114442857</v>
      </c>
    </row>
    <row r="7" spans="1:28" x14ac:dyDescent="0.2">
      <c r="A7" s="20">
        <v>2</v>
      </c>
      <c r="B7" s="68">
        <v>-1.2482713700005119</v>
      </c>
      <c r="C7" s="69">
        <v>-1.2060902889860654</v>
      </c>
      <c r="D7" s="70">
        <v>-1.2273209044445137</v>
      </c>
      <c r="E7" s="68">
        <v>-1.0529219229132221</v>
      </c>
      <c r="F7" s="69">
        <v>-1.0009991172979613</v>
      </c>
      <c r="G7" s="70">
        <v>-1.0270730854502448</v>
      </c>
      <c r="H7" s="68">
        <v>-1.1377253644533953</v>
      </c>
      <c r="I7" s="69">
        <v>-1.0733530126616093</v>
      </c>
      <c r="J7" s="70">
        <v>-1.1054931620988286</v>
      </c>
      <c r="K7" s="68">
        <v>-1.2215537498283509</v>
      </c>
      <c r="L7" s="69">
        <v>-1.1769512130842383</v>
      </c>
      <c r="M7" s="70">
        <v>-1.199382018993584</v>
      </c>
      <c r="N7" s="68">
        <v>-1.1230471529817474</v>
      </c>
      <c r="O7" s="69">
        <v>-1.1005760900291686</v>
      </c>
      <c r="P7" s="70">
        <v>-1.111984110632724</v>
      </c>
      <c r="Q7" s="68">
        <v>-1.1426712858304264</v>
      </c>
      <c r="R7" s="69">
        <v>-1.0453999629280153</v>
      </c>
      <c r="S7" s="70">
        <v>-1.0933348058002088</v>
      </c>
      <c r="T7" s="68">
        <v>-1.0463868502835159</v>
      </c>
      <c r="U7" s="69">
        <v>-1.0078054280696105</v>
      </c>
      <c r="V7" s="70">
        <v>-1.0272791625090567</v>
      </c>
      <c r="W7" s="68">
        <v>-1.4168729131570437</v>
      </c>
      <c r="X7" s="69">
        <v>-1.2912753803659804</v>
      </c>
      <c r="Y7" s="70">
        <v>-1.3521595311804706</v>
      </c>
      <c r="Z7" s="68">
        <v>-1.1994285555271815</v>
      </c>
      <c r="AA7" s="69">
        <v>-1.1587986927915868</v>
      </c>
      <c r="AB7" s="70">
        <v>-1.1792678283331384</v>
      </c>
    </row>
    <row r="8" spans="1:28" x14ac:dyDescent="0.2">
      <c r="A8" s="20">
        <v>3</v>
      </c>
      <c r="B8" s="68">
        <v>-1.1910198660531051</v>
      </c>
      <c r="C8" s="69">
        <v>-1.1415199407859422</v>
      </c>
      <c r="D8" s="70">
        <v>-1.1663695111648762</v>
      </c>
      <c r="E8" s="68">
        <v>-1.011641800202346</v>
      </c>
      <c r="F8" s="69">
        <v>-0.94932382970969997</v>
      </c>
      <c r="G8" s="70">
        <v>-0.98051169273159389</v>
      </c>
      <c r="H8" s="68">
        <v>-1.1122189169025767</v>
      </c>
      <c r="I8" s="69">
        <v>-1.039688949985299</v>
      </c>
      <c r="J8" s="70">
        <v>-1.0757976651113399</v>
      </c>
      <c r="K8" s="68">
        <v>-1.1859677355284142</v>
      </c>
      <c r="L8" s="69">
        <v>-1.1323859197276216</v>
      </c>
      <c r="M8" s="70">
        <v>-1.1592413135184099</v>
      </c>
      <c r="N8" s="68">
        <v>-1.0763916155281843</v>
      </c>
      <c r="O8" s="69">
        <v>-1.0398150394030004</v>
      </c>
      <c r="P8" s="70">
        <v>-1.0582869252092624</v>
      </c>
      <c r="Q8" s="68">
        <v>-1.1204664319857272</v>
      </c>
      <c r="R8" s="69">
        <v>-1.0161031266207456</v>
      </c>
      <c r="S8" s="70">
        <v>-1.0674114838312492</v>
      </c>
      <c r="T8" s="68">
        <v>-0.99614963621114883</v>
      </c>
      <c r="U8" s="69">
        <v>-0.95267015404496225</v>
      </c>
      <c r="V8" s="70">
        <v>-0.9745854680761824</v>
      </c>
      <c r="W8" s="68">
        <v>-1.3824458803830362</v>
      </c>
      <c r="X8" s="69">
        <v>-1.2510802529977294</v>
      </c>
      <c r="Y8" s="70">
        <v>-1.3146345295832591</v>
      </c>
      <c r="Z8" s="68">
        <v>-1.1601037320689203</v>
      </c>
      <c r="AA8" s="69">
        <v>-1.1075442776129736</v>
      </c>
      <c r="AB8" s="70">
        <v>-1.1339041157033591</v>
      </c>
    </row>
    <row r="9" spans="1:28" x14ac:dyDescent="0.2">
      <c r="A9" s="20">
        <v>4</v>
      </c>
      <c r="B9" s="68">
        <v>-1.1495155578742873</v>
      </c>
      <c r="C9" s="69">
        <v>-1.0955047349247578</v>
      </c>
      <c r="D9" s="70">
        <v>-1.1225793890829769</v>
      </c>
      <c r="E9" s="68">
        <v>-0.99004099456392958</v>
      </c>
      <c r="F9" s="69">
        <v>-0.92335583908746821</v>
      </c>
      <c r="G9" s="70">
        <v>-0.95668616163910714</v>
      </c>
      <c r="H9" s="68">
        <v>-1.095915405129446</v>
      </c>
      <c r="I9" s="69">
        <v>-1.0182341470351175</v>
      </c>
      <c r="J9" s="70">
        <v>-1.0568390913683008</v>
      </c>
      <c r="K9" s="68">
        <v>-1.162235485562451</v>
      </c>
      <c r="L9" s="69">
        <v>-1.1053871731772904</v>
      </c>
      <c r="M9" s="70">
        <v>-1.133848489507731</v>
      </c>
      <c r="N9" s="68">
        <v>-1.0483131224481017</v>
      </c>
      <c r="O9" s="69">
        <v>-1.0046334008611115</v>
      </c>
      <c r="P9" s="70">
        <v>-1.0266375793312168</v>
      </c>
      <c r="Q9" s="68">
        <v>-1.1064494491943582</v>
      </c>
      <c r="R9" s="69">
        <v>-0.99875000439963968</v>
      </c>
      <c r="S9" s="70">
        <v>-1.0516452658577295</v>
      </c>
      <c r="T9" s="68">
        <v>-0.96773940096371158</v>
      </c>
      <c r="U9" s="69">
        <v>-0.9220865668115743</v>
      </c>
      <c r="V9" s="70">
        <v>-0.94508557737724608</v>
      </c>
      <c r="W9" s="68">
        <v>-1.3597144854110406</v>
      </c>
      <c r="X9" s="69">
        <v>-1.2265311577755469</v>
      </c>
      <c r="Y9" s="70">
        <v>-1.2909394381592718</v>
      </c>
      <c r="Z9" s="68">
        <v>-1.1355661598497071</v>
      </c>
      <c r="AA9" s="69">
        <v>-1.0767436947993454</v>
      </c>
      <c r="AB9" s="70">
        <v>-1.1061781300895608</v>
      </c>
    </row>
    <row r="10" spans="1:28" x14ac:dyDescent="0.2">
      <c r="A10" s="20">
        <v>5</v>
      </c>
      <c r="B10" s="68">
        <v>-1.1185632260148939</v>
      </c>
      <c r="C10" s="69">
        <v>-1.061325256602174</v>
      </c>
      <c r="D10" s="70">
        <v>-1.0899897929411233</v>
      </c>
      <c r="E10" s="68">
        <v>-0.97803104804351482</v>
      </c>
      <c r="F10" s="69">
        <v>-0.90879111177777439</v>
      </c>
      <c r="G10" s="70">
        <v>-0.94337274491278955</v>
      </c>
      <c r="H10" s="68">
        <v>-1.0839281949744348</v>
      </c>
      <c r="I10" s="69">
        <v>-1.0034528162299363</v>
      </c>
      <c r="J10" s="70">
        <v>-1.0434107208936003</v>
      </c>
      <c r="K10" s="68">
        <v>-1.1443836734991739</v>
      </c>
      <c r="L10" s="69">
        <v>-1.0842444395521329</v>
      </c>
      <c r="M10" s="70">
        <v>-1.1143192900977046</v>
      </c>
      <c r="N10" s="68">
        <v>-1.0292629455595335</v>
      </c>
      <c r="O10" s="69">
        <v>-0.98147966750972182</v>
      </c>
      <c r="P10" s="70">
        <v>-1.005518141540678</v>
      </c>
      <c r="Q10" s="68">
        <v>-1.0965955555752871</v>
      </c>
      <c r="R10" s="69">
        <v>-0.98713578518709799</v>
      </c>
      <c r="S10" s="70">
        <v>-1.040870571612214</v>
      </c>
      <c r="T10" s="68">
        <v>-0.9494788835701552</v>
      </c>
      <c r="U10" s="69">
        <v>-0.90273094854934122</v>
      </c>
      <c r="V10" s="70">
        <v>-0.92627696607578747</v>
      </c>
      <c r="W10" s="68">
        <v>-1.3430952157810709</v>
      </c>
      <c r="X10" s="69">
        <v>-1.2095785232792193</v>
      </c>
      <c r="Y10" s="70">
        <v>-1.2741582599497068</v>
      </c>
      <c r="Z10" s="68">
        <v>-1.1183426521790116</v>
      </c>
      <c r="AA10" s="69">
        <v>-1.0557703137725243</v>
      </c>
      <c r="AB10" s="70">
        <v>-1.0870408602371626</v>
      </c>
    </row>
    <row r="11" spans="1:28" x14ac:dyDescent="0.2">
      <c r="A11" s="20">
        <v>10</v>
      </c>
      <c r="B11" s="68">
        <v>-1.0393562968308907</v>
      </c>
      <c r="C11" s="69">
        <v>-0.97867737240738273</v>
      </c>
      <c r="D11" s="70">
        <v>-1.0090525505490437</v>
      </c>
      <c r="E11" s="68">
        <v>-0.94784307566733739</v>
      </c>
      <c r="F11" s="69">
        <v>-0.87426674682746675</v>
      </c>
      <c r="G11" s="70">
        <v>-0.9109759656016303</v>
      </c>
      <c r="H11" s="68">
        <v>-1.0472539080439389</v>
      </c>
      <c r="I11" s="69">
        <v>-0.96210277111891918</v>
      </c>
      <c r="J11" s="70">
        <v>-1.0043334640576214</v>
      </c>
      <c r="K11" s="68">
        <v>-1.0968312103313975</v>
      </c>
      <c r="L11" s="69">
        <v>-1.0329081865332934</v>
      </c>
      <c r="M11" s="70">
        <v>-1.0648450322432061</v>
      </c>
      <c r="N11" s="68">
        <v>-0.98369901448796815</v>
      </c>
      <c r="O11" s="69">
        <v>-0.93040263712809212</v>
      </c>
      <c r="P11" s="70">
        <v>-0.95717334253081887</v>
      </c>
      <c r="Q11" s="68">
        <v>-1.0710479766829692</v>
      </c>
      <c r="R11" s="69">
        <v>-0.96012756983373815</v>
      </c>
      <c r="S11" s="70">
        <v>-1.0145804306666857</v>
      </c>
      <c r="T11" s="68">
        <v>-0.91071238550681488</v>
      </c>
      <c r="U11" s="69">
        <v>-0.86341317190230826</v>
      </c>
      <c r="V11" s="70">
        <v>-0.88724264033592859</v>
      </c>
      <c r="W11" s="68">
        <v>-1.2967451336857732</v>
      </c>
      <c r="X11" s="69">
        <v>-1.1678086462282879</v>
      </c>
      <c r="Y11" s="70">
        <v>-1.2303496154337019</v>
      </c>
      <c r="Z11" s="68">
        <v>-1.0743948523980273</v>
      </c>
      <c r="AA11" s="69">
        <v>-1.0059690881890577</v>
      </c>
      <c r="AB11" s="70">
        <v>-1.0401061476730076</v>
      </c>
    </row>
    <row r="12" spans="1:28" x14ac:dyDescent="0.2">
      <c r="A12" s="20">
        <v>15</v>
      </c>
      <c r="B12" s="68">
        <v>-0.99810318323243907</v>
      </c>
      <c r="C12" s="69">
        <v>-0.93456378789298888</v>
      </c>
      <c r="D12" s="70">
        <v>-0.96635456814626275</v>
      </c>
      <c r="E12" s="68">
        <v>-0.92724294571284704</v>
      </c>
      <c r="F12" s="69">
        <v>-0.85272014880258951</v>
      </c>
      <c r="G12" s="70">
        <v>-0.88990310948808893</v>
      </c>
      <c r="H12" s="68">
        <v>-1.0232404683298353</v>
      </c>
      <c r="I12" s="69">
        <v>-0.93688771389348002</v>
      </c>
      <c r="J12" s="70">
        <v>-0.97971406825728613</v>
      </c>
      <c r="K12" s="68">
        <v>-1.0631132391187417</v>
      </c>
      <c r="L12" s="69">
        <v>-0.99562585121052949</v>
      </c>
      <c r="M12" s="70">
        <v>-1.0293119689456429</v>
      </c>
      <c r="N12" s="68">
        <v>-0.95845256110003996</v>
      </c>
      <c r="O12" s="69">
        <v>-0.90544375058891757</v>
      </c>
      <c r="P12" s="70">
        <v>-0.93208088942572564</v>
      </c>
      <c r="Q12" s="68">
        <v>-1.0502865418043261</v>
      </c>
      <c r="R12" s="69">
        <v>-0.93957838384724868</v>
      </c>
      <c r="S12" s="70">
        <v>-0.99395789712628757</v>
      </c>
      <c r="T12" s="68">
        <v>-0.89415623808717182</v>
      </c>
      <c r="U12" s="69">
        <v>-0.84720717813866564</v>
      </c>
      <c r="V12" s="70">
        <v>-0.87086768371809842</v>
      </c>
      <c r="W12" s="68">
        <v>-1.2584276949461242</v>
      </c>
      <c r="X12" s="69">
        <v>-1.1373286585570146</v>
      </c>
      <c r="Y12" s="70">
        <v>-1.1963047021648439</v>
      </c>
      <c r="Z12" s="68">
        <v>-1.046640904616448</v>
      </c>
      <c r="AA12" s="69">
        <v>-0.9778828398588445</v>
      </c>
      <c r="AB12" s="70">
        <v>-1.0121945536850772</v>
      </c>
    </row>
    <row r="13" spans="1:28" x14ac:dyDescent="0.2">
      <c r="A13" s="20">
        <v>20</v>
      </c>
      <c r="B13" s="71">
        <v>-0.9416333856114224</v>
      </c>
      <c r="C13" s="72">
        <v>-0.88577608039760869</v>
      </c>
      <c r="D13" s="73">
        <v>-0.91382222014342573</v>
      </c>
      <c r="E13" s="71">
        <v>-0.89806980739238718</v>
      </c>
      <c r="F13" s="72">
        <v>-0.82207221968309652</v>
      </c>
      <c r="G13" s="73">
        <v>-0.85999289910331278</v>
      </c>
      <c r="H13" s="71">
        <v>-0.98210627496614655</v>
      </c>
      <c r="I13" s="72">
        <v>-0.90144694160929184</v>
      </c>
      <c r="J13" s="73">
        <v>-0.94156371692343144</v>
      </c>
      <c r="K13" s="71">
        <v>-1.0130422551600544</v>
      </c>
      <c r="L13" s="72">
        <v>-0.94491044364009291</v>
      </c>
      <c r="M13" s="73">
        <v>-0.97893414503700538</v>
      </c>
      <c r="N13" s="71">
        <v>-0.92315126707712025</v>
      </c>
      <c r="O13" s="72">
        <v>-0.87353503704912039</v>
      </c>
      <c r="P13" s="73">
        <v>-0.89850801280079284</v>
      </c>
      <c r="Q13" s="71">
        <v>-1.0150860472583132</v>
      </c>
      <c r="R13" s="72">
        <v>-0.90716031396523533</v>
      </c>
      <c r="S13" s="73">
        <v>-0.96027265708124088</v>
      </c>
      <c r="T13" s="71">
        <v>-0.87450042882312029</v>
      </c>
      <c r="U13" s="72">
        <v>-0.82539225007655914</v>
      </c>
      <c r="V13" s="73">
        <v>-0.85012871104987098</v>
      </c>
      <c r="W13" s="71">
        <v>-1.2020971767372759</v>
      </c>
      <c r="X13" s="72">
        <v>-1.0804886999840153</v>
      </c>
      <c r="Y13" s="73">
        <v>-1.1397670872678705</v>
      </c>
      <c r="Z13" s="71">
        <v>-1.0066773582389617</v>
      </c>
      <c r="AA13" s="72">
        <v>-0.93810586936643969</v>
      </c>
      <c r="AB13" s="73">
        <v>-0.97234684182353814</v>
      </c>
    </row>
  </sheetData>
  <sheetProtection sheet="1" objects="1" scenarios="1"/>
  <mergeCells count="9">
    <mergeCell ref="B3:D3"/>
    <mergeCell ref="E3:G3"/>
    <mergeCell ref="H3:J3"/>
    <mergeCell ref="K3:M3"/>
    <mergeCell ref="Z3:AB3"/>
    <mergeCell ref="W3:Y3"/>
    <mergeCell ref="T3:V3"/>
    <mergeCell ref="Q3:S3"/>
    <mergeCell ref="N3:P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61663-B32C-4680-AA57-34A016594209}">
  <sheetPr>
    <tabColor rgb="FF00B050"/>
    <outlinePr summaryBelow="0" summaryRight="0"/>
  </sheetPr>
  <dimension ref="B2:AB45"/>
  <sheetViews>
    <sheetView showGridLines="0" tabSelected="1" topLeftCell="T27" zoomScaleNormal="100" workbookViewId="0">
      <selection activeCell="X9" sqref="X9"/>
    </sheetView>
  </sheetViews>
  <sheetFormatPr baseColWidth="10" defaultColWidth="14.42578125" defaultRowHeight="15" customHeight="1" x14ac:dyDescent="0.25"/>
  <cols>
    <col min="1" max="1" width="6.85546875" customWidth="1"/>
    <col min="21" max="21" width="3.28515625" customWidth="1"/>
    <col min="22" max="23" width="16.42578125" hidden="1" customWidth="1"/>
  </cols>
  <sheetData>
    <row r="2" spans="2:23" ht="15" customHeight="1" x14ac:dyDescent="0.25">
      <c r="B2" s="151" t="s">
        <v>114</v>
      </c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151"/>
      <c r="O2" s="151"/>
      <c r="P2" s="151"/>
      <c r="Q2" s="151"/>
      <c r="R2" s="151"/>
      <c r="S2" s="151"/>
      <c r="T2" s="151"/>
    </row>
    <row r="3" spans="2:23" ht="33" customHeight="1" x14ac:dyDescent="0.25">
      <c r="B3" s="113" t="s">
        <v>110</v>
      </c>
      <c r="C3" s="112" t="s">
        <v>109</v>
      </c>
      <c r="D3" s="112" t="s">
        <v>108</v>
      </c>
      <c r="E3" s="112" t="s">
        <v>107</v>
      </c>
      <c r="F3" s="111"/>
      <c r="G3" s="110"/>
      <c r="H3" s="110"/>
      <c r="I3" s="110" t="s">
        <v>106</v>
      </c>
      <c r="J3" s="110"/>
      <c r="K3" s="109" t="s">
        <v>105</v>
      </c>
      <c r="L3" s="110"/>
      <c r="M3" s="110" t="s">
        <v>104</v>
      </c>
      <c r="N3" s="110"/>
      <c r="O3" s="110" t="s">
        <v>103</v>
      </c>
      <c r="P3" s="110"/>
      <c r="Q3" s="110" t="s">
        <v>102</v>
      </c>
      <c r="R3" s="110" t="s">
        <v>101</v>
      </c>
      <c r="S3" s="109" t="s">
        <v>100</v>
      </c>
      <c r="T3" s="108" t="s">
        <v>99</v>
      </c>
    </row>
    <row r="4" spans="2:23" ht="15" customHeight="1" x14ac:dyDescent="0.25">
      <c r="B4" s="102">
        <v>0</v>
      </c>
      <c r="C4" s="101">
        <v>1</v>
      </c>
      <c r="D4" s="115">
        <f>'Defunciones generales'!D21</f>
        <v>694</v>
      </c>
      <c r="E4" s="115">
        <f>Homicidios!D553</f>
        <v>0</v>
      </c>
      <c r="F4" s="96">
        <f>(D4-E4)/D4</f>
        <v>1</v>
      </c>
      <c r="G4" s="117">
        <f>LT!G2</f>
        <v>100000</v>
      </c>
      <c r="H4" s="118">
        <f>1-LT!E2</f>
        <v>0.97946152600000003</v>
      </c>
      <c r="I4" s="100">
        <f t="shared" ref="I4:I22" si="0">1-H4</f>
        <v>2.0538473999999973E-2</v>
      </c>
      <c r="J4" s="119">
        <f>LT!F2</f>
        <v>0.1011621</v>
      </c>
      <c r="K4" s="127">
        <f>LT!K2</f>
        <v>71.491883000000001</v>
      </c>
      <c r="L4" s="100">
        <f>H4^F4</f>
        <v>0.97946152600000003</v>
      </c>
      <c r="M4" s="99">
        <f t="shared" ref="M4:M22" si="1">1-L4</f>
        <v>2.0538473999999973E-2</v>
      </c>
      <c r="N4" s="97">
        <v>100000</v>
      </c>
      <c r="O4" s="98">
        <f t="shared" ref="O4:O22" si="2">N4*M4</f>
        <v>2053.8473999999974</v>
      </c>
      <c r="P4" s="98">
        <f>C4+(F4*(I4/M4)*(J4-C4))</f>
        <v>0.10116210000000003</v>
      </c>
      <c r="Q4" s="97">
        <f t="shared" ref="Q4:Q20" si="3">(C4*N5)+(P4*O4)</f>
        <v>98153.924116063543</v>
      </c>
      <c r="R4" s="97">
        <f t="shared" ref="R4:R21" si="4">R5+Q4</f>
        <v>7219395.3818918895</v>
      </c>
      <c r="S4" s="128">
        <f t="shared" ref="S4:S22" si="5">R4/N4</f>
        <v>72.193953818918899</v>
      </c>
      <c r="T4" s="95">
        <f t="shared" ref="T4:T22" si="6">S4-K4</f>
        <v>0.702070818918898</v>
      </c>
    </row>
    <row r="5" spans="2:23" ht="15" customHeight="1" x14ac:dyDescent="0.25">
      <c r="B5" s="102">
        <v>1</v>
      </c>
      <c r="C5" s="101">
        <v>4</v>
      </c>
      <c r="D5" s="115">
        <f>'Defunciones generales'!D22</f>
        <v>107</v>
      </c>
      <c r="E5" s="115">
        <f>Homicidios!D554</f>
        <v>3</v>
      </c>
      <c r="F5" s="96">
        <f t="shared" ref="F5:F22" si="7">(D5-E5)/D5</f>
        <v>0.9719626168224299</v>
      </c>
      <c r="G5" s="117">
        <f>LT!G3</f>
        <v>97946.15</v>
      </c>
      <c r="H5" s="118">
        <f>1-LT!E3</f>
        <v>0.996611896</v>
      </c>
      <c r="I5" s="100">
        <f t="shared" si="0"/>
        <v>3.3881040000000029E-3</v>
      </c>
      <c r="J5" s="119">
        <f>LT!F3</f>
        <v>1.5920759</v>
      </c>
      <c r="K5" s="127">
        <f>LT!K3</f>
        <v>71.988884999999996</v>
      </c>
      <c r="L5" s="100">
        <f>H5^F5</f>
        <v>0.99670673297602308</v>
      </c>
      <c r="M5" s="99">
        <f t="shared" si="1"/>
        <v>3.2932670239769202E-3</v>
      </c>
      <c r="N5" s="97">
        <f t="shared" ref="N5:N22" si="8">N4*L4</f>
        <v>97946.152600000001</v>
      </c>
      <c r="O5" s="98">
        <f t="shared" si="2"/>
        <v>322.56283448299126</v>
      </c>
      <c r="P5" s="98">
        <f>C5+(F5*(I5/M5)*(J5-C5))</f>
        <v>1.592190396223121</v>
      </c>
      <c r="Q5" s="97">
        <f t="shared" si="3"/>
        <v>391007.9405093104</v>
      </c>
      <c r="R5" s="97">
        <f t="shared" si="4"/>
        <v>7121241.4577758256</v>
      </c>
      <c r="S5" s="96">
        <f t="shared" si="5"/>
        <v>72.70567826036104</v>
      </c>
      <c r="T5" s="95">
        <f t="shared" si="6"/>
        <v>0.71679326036104385</v>
      </c>
      <c r="V5" s="144" t="s">
        <v>111</v>
      </c>
      <c r="W5" s="145"/>
    </row>
    <row r="6" spans="2:23" ht="15" customHeight="1" x14ac:dyDescent="0.25">
      <c r="B6" s="102">
        <v>5</v>
      </c>
      <c r="C6" s="101">
        <v>5</v>
      </c>
      <c r="D6" s="115">
        <f>'Defunciones generales'!D23</f>
        <v>56</v>
      </c>
      <c r="E6" s="115">
        <f>Homicidios!D555</f>
        <v>0</v>
      </c>
      <c r="F6" s="96">
        <f>(D6-E6)/D6</f>
        <v>1</v>
      </c>
      <c r="G6" s="117">
        <f>LT!G4</f>
        <v>97614.3</v>
      </c>
      <c r="H6" s="118">
        <f>1-LT!E4</f>
        <v>0.99777862900000003</v>
      </c>
      <c r="I6" s="100">
        <f t="shared" si="0"/>
        <v>2.221370999999972E-3</v>
      </c>
      <c r="J6" s="119">
        <f>LT!F4</f>
        <v>2.5</v>
      </c>
      <c r="K6" s="127">
        <f>LT!K4</f>
        <v>68.228207999999995</v>
      </c>
      <c r="L6" s="100">
        <f t="shared" ref="L6:L22" si="9">H6^F6</f>
        <v>0.99777862900000003</v>
      </c>
      <c r="M6" s="99">
        <f t="shared" si="1"/>
        <v>2.221370999999972E-3</v>
      </c>
      <c r="N6" s="97">
        <f t="shared" si="8"/>
        <v>97623.589765517012</v>
      </c>
      <c r="O6" s="98">
        <f t="shared" si="2"/>
        <v>216.85821122101356</v>
      </c>
      <c r="P6" s="98">
        <f>C6+(F6*(I6/M6)*(J6-C6))</f>
        <v>2.5</v>
      </c>
      <c r="Q6" s="97">
        <f t="shared" si="3"/>
        <v>487575.8032995325</v>
      </c>
      <c r="R6" s="97">
        <f t="shared" si="4"/>
        <v>6730233.5172665156</v>
      </c>
      <c r="S6" s="96">
        <f t="shared" si="5"/>
        <v>68.940647782282184</v>
      </c>
      <c r="T6" s="95">
        <f t="shared" si="6"/>
        <v>0.71243978228218907</v>
      </c>
      <c r="V6" s="146"/>
      <c r="W6" s="147"/>
    </row>
    <row r="7" spans="2:23" ht="15" customHeight="1" x14ac:dyDescent="0.25">
      <c r="B7" s="102">
        <v>10</v>
      </c>
      <c r="C7" s="101">
        <v>5</v>
      </c>
      <c r="D7" s="115">
        <f>'Defunciones generales'!D24</f>
        <v>88</v>
      </c>
      <c r="E7" s="115">
        <f>Homicidios!D556</f>
        <v>6</v>
      </c>
      <c r="F7" s="96">
        <f t="shared" si="7"/>
        <v>0.93181818181818177</v>
      </c>
      <c r="G7" s="117">
        <f>LT!G5</f>
        <v>97397.46</v>
      </c>
      <c r="H7" s="118">
        <f>1-LT!E5</f>
        <v>0.99793647399999996</v>
      </c>
      <c r="I7" s="100">
        <f t="shared" si="0"/>
        <v>2.0635260000000377E-3</v>
      </c>
      <c r="J7" s="119">
        <f>LT!F5</f>
        <v>2.5</v>
      </c>
      <c r="K7" s="127">
        <f>LT!K5</f>
        <v>63.374540000000003</v>
      </c>
      <c r="L7" s="100">
        <f t="shared" si="9"/>
        <v>0.99807703358874034</v>
      </c>
      <c r="M7" s="99">
        <f t="shared" si="1"/>
        <v>1.9229664112596634E-3</v>
      </c>
      <c r="N7" s="97">
        <f t="shared" si="8"/>
        <v>97406.731554295999</v>
      </c>
      <c r="O7" s="98">
        <f t="shared" si="2"/>
        <v>187.30987300949798</v>
      </c>
      <c r="P7" s="100">
        <f t="shared" ref="P7:P20" si="10">(((-5/24)*O6)+((2.5)*O7)+((5/24)*O8))/O7</f>
        <v>2.8456809555633411</v>
      </c>
      <c r="Q7" s="97">
        <f t="shared" si="3"/>
        <v>486630.13254484464</v>
      </c>
      <c r="R7" s="97">
        <f t="shared" si="4"/>
        <v>6242657.7139669834</v>
      </c>
      <c r="S7" s="96">
        <f t="shared" si="5"/>
        <v>64.088565691039847</v>
      </c>
      <c r="T7" s="95">
        <f t="shared" si="6"/>
        <v>0.71402569103984348</v>
      </c>
      <c r="V7" s="148"/>
      <c r="W7" s="149"/>
    </row>
    <row r="8" spans="2:23" ht="15" customHeight="1" x14ac:dyDescent="0.25">
      <c r="B8" s="102">
        <v>15</v>
      </c>
      <c r="C8" s="101">
        <v>5</v>
      </c>
      <c r="D8" s="115">
        <f>'Defunciones generales'!D25</f>
        <v>290</v>
      </c>
      <c r="E8" s="115">
        <f>Homicidios!D557</f>
        <v>54</v>
      </c>
      <c r="F8" s="96">
        <f t="shared" si="7"/>
        <v>0.81379310344827582</v>
      </c>
      <c r="G8" s="117">
        <f>LT!G6</f>
        <v>97196.479999999996</v>
      </c>
      <c r="H8" s="118">
        <f>1-LT!E6</f>
        <v>0.99333479700000005</v>
      </c>
      <c r="I8" s="100">
        <f t="shared" si="0"/>
        <v>6.6652029999999529E-3</v>
      </c>
      <c r="J8" s="119">
        <f>LT!F6</f>
        <v>2.5</v>
      </c>
      <c r="K8" s="127">
        <f>LT!K6</f>
        <v>58.500416000000001</v>
      </c>
      <c r="L8" s="100">
        <f t="shared" si="9"/>
        <v>0.99457252892107295</v>
      </c>
      <c r="M8" s="99">
        <f t="shared" si="1"/>
        <v>5.4274710789270486E-3</v>
      </c>
      <c r="N8" s="97">
        <f t="shared" si="8"/>
        <v>97219.421681286505</v>
      </c>
      <c r="O8" s="98">
        <f t="shared" si="2"/>
        <v>527.65559948519581</v>
      </c>
      <c r="P8" s="100">
        <f t="shared" si="10"/>
        <v>2.6612902572589632</v>
      </c>
      <c r="Q8" s="97">
        <f t="shared" si="3"/>
        <v>484863.07511510467</v>
      </c>
      <c r="R8" s="97">
        <f t="shared" si="4"/>
        <v>5756027.581422139</v>
      </c>
      <c r="S8" s="96">
        <f t="shared" si="5"/>
        <v>59.206560601564455</v>
      </c>
      <c r="T8" s="95">
        <f t="shared" si="6"/>
        <v>0.70614460156445347</v>
      </c>
      <c r="V8" s="106" t="s">
        <v>97</v>
      </c>
      <c r="W8" s="106" t="s">
        <v>96</v>
      </c>
    </row>
    <row r="9" spans="2:23" ht="15" customHeight="1" x14ac:dyDescent="0.25">
      <c r="B9" s="102">
        <v>20</v>
      </c>
      <c r="C9" s="101">
        <v>5</v>
      </c>
      <c r="D9" s="115">
        <f>'Defunciones generales'!D26</f>
        <v>561</v>
      </c>
      <c r="E9" s="115">
        <f>Homicidios!D558</f>
        <v>168</v>
      </c>
      <c r="F9" s="96">
        <f t="shared" si="7"/>
        <v>0.70053475935828879</v>
      </c>
      <c r="G9" s="117">
        <f>LT!G7</f>
        <v>96548.65</v>
      </c>
      <c r="H9" s="118">
        <f>1-LT!E7</f>
        <v>0.99121542299999998</v>
      </c>
      <c r="I9" s="100">
        <f t="shared" si="0"/>
        <v>8.7845770000000156E-3</v>
      </c>
      <c r="J9" s="119">
        <f>LT!F7</f>
        <v>2.5</v>
      </c>
      <c r="K9" s="127">
        <f>LT!K7</f>
        <v>53.876173999999999</v>
      </c>
      <c r="L9" s="100">
        <f t="shared" si="9"/>
        <v>0.99383797304980537</v>
      </c>
      <c r="M9" s="99">
        <f t="shared" si="1"/>
        <v>6.1620269501946323E-3</v>
      </c>
      <c r="N9" s="97">
        <f t="shared" si="8"/>
        <v>96691.76608180131</v>
      </c>
      <c r="O9" s="98">
        <f t="shared" si="2"/>
        <v>595.81726845797493</v>
      </c>
      <c r="P9" s="100">
        <f t="shared" si="10"/>
        <v>2.5579348078885937</v>
      </c>
      <c r="Q9" s="97">
        <f t="shared" si="3"/>
        <v>482003.8057968464</v>
      </c>
      <c r="R9" s="97">
        <f t="shared" si="4"/>
        <v>5271164.5063070348</v>
      </c>
      <c r="S9" s="96">
        <f t="shared" si="5"/>
        <v>54.515133189806726</v>
      </c>
      <c r="T9" s="95">
        <f t="shared" si="6"/>
        <v>0.63895918980672661</v>
      </c>
      <c r="V9" s="103">
        <f>([1]TV!M53-[1]TV!M71)/[1]TV!J53</f>
        <v>66.401396448949356</v>
      </c>
      <c r="W9" s="103">
        <f>(R4-R22)/N4</f>
        <v>71.054309155138952</v>
      </c>
    </row>
    <row r="10" spans="2:23" ht="15" customHeight="1" x14ac:dyDescent="0.25">
      <c r="B10" s="102">
        <v>25</v>
      </c>
      <c r="C10" s="101">
        <v>5</v>
      </c>
      <c r="D10" s="115">
        <f>'Defunciones generales'!D27</f>
        <v>745</v>
      </c>
      <c r="E10" s="115">
        <f>Homicidios!D559</f>
        <v>190</v>
      </c>
      <c r="F10" s="96">
        <f t="shared" si="7"/>
        <v>0.74496644295302017</v>
      </c>
      <c r="G10" s="117">
        <f>LT!G8</f>
        <v>95700.51</v>
      </c>
      <c r="H10" s="118">
        <f>1-LT!E8</f>
        <v>0.99032680699999998</v>
      </c>
      <c r="I10" s="100">
        <f t="shared" si="0"/>
        <v>9.6731930000000244E-3</v>
      </c>
      <c r="J10" s="119">
        <f>LT!F8</f>
        <v>2.5</v>
      </c>
      <c r="K10" s="127">
        <f>LT!K8</f>
        <v>49.331491999999997</v>
      </c>
      <c r="L10" s="100">
        <f t="shared" si="9"/>
        <v>0.99278487083821731</v>
      </c>
      <c r="M10" s="99">
        <f t="shared" si="1"/>
        <v>7.2151291617826852E-3</v>
      </c>
      <c r="N10" s="97">
        <f t="shared" si="8"/>
        <v>96095.948813343333</v>
      </c>
      <c r="O10" s="98">
        <f t="shared" si="2"/>
        <v>693.34468261232973</v>
      </c>
      <c r="P10" s="100">
        <f t="shared" si="10"/>
        <v>2.5841752588008515</v>
      </c>
      <c r="Q10" s="97">
        <f t="shared" si="3"/>
        <v>478804.74482828297</v>
      </c>
      <c r="R10" s="97">
        <f t="shared" si="4"/>
        <v>4789160.700510188</v>
      </c>
      <c r="S10" s="96">
        <f t="shared" si="5"/>
        <v>49.837279923346699</v>
      </c>
      <c r="T10" s="95">
        <f t="shared" si="6"/>
        <v>0.50578792334670197</v>
      </c>
      <c r="V10" s="104" t="s">
        <v>95</v>
      </c>
      <c r="W10" s="103">
        <f>W9-V9</f>
        <v>4.6529127061895963</v>
      </c>
    </row>
    <row r="11" spans="2:23" ht="15" customHeight="1" x14ac:dyDescent="0.25">
      <c r="B11" s="102">
        <v>30</v>
      </c>
      <c r="C11" s="101">
        <v>5</v>
      </c>
      <c r="D11" s="115">
        <f>'Defunciones generales'!D28</f>
        <v>866</v>
      </c>
      <c r="E11" s="115">
        <f>Homicidios!D560</f>
        <v>173</v>
      </c>
      <c r="F11" s="96">
        <f t="shared" si="7"/>
        <v>0.80023094688221708</v>
      </c>
      <c r="G11" s="117">
        <f>LT!G9</f>
        <v>94774.78</v>
      </c>
      <c r="H11" s="118">
        <f>1-LT!E9</f>
        <v>0.98853937999999997</v>
      </c>
      <c r="I11" s="100">
        <f t="shared" si="0"/>
        <v>1.1460620000000032E-2</v>
      </c>
      <c r="J11" s="119">
        <f>LT!F9</f>
        <v>2.5</v>
      </c>
      <c r="K11" s="127">
        <f>LT!K9</f>
        <v>44.788927000000001</v>
      </c>
      <c r="L11" s="100">
        <f t="shared" si="9"/>
        <v>0.99081831022008937</v>
      </c>
      <c r="M11" s="99">
        <f t="shared" si="1"/>
        <v>9.181689779910629E-3</v>
      </c>
      <c r="N11" s="97">
        <f t="shared" si="8"/>
        <v>95402.604130731008</v>
      </c>
      <c r="O11" s="98">
        <f t="shared" si="2"/>
        <v>875.95711532399241</v>
      </c>
      <c r="P11" s="100">
        <f t="shared" si="10"/>
        <v>2.6105639744348426</v>
      </c>
      <c r="Q11" s="97">
        <f t="shared" si="3"/>
        <v>474919.9771654497</v>
      </c>
      <c r="R11" s="97">
        <f t="shared" si="4"/>
        <v>4310355.9556819052</v>
      </c>
      <c r="S11" s="96">
        <f t="shared" si="5"/>
        <v>45.180694960646854</v>
      </c>
      <c r="T11" s="95">
        <f t="shared" si="6"/>
        <v>0.39176796064685249</v>
      </c>
    </row>
    <row r="12" spans="2:23" ht="15" customHeight="1" x14ac:dyDescent="0.25">
      <c r="B12" s="102">
        <v>35</v>
      </c>
      <c r="C12" s="101">
        <v>5</v>
      </c>
      <c r="D12" s="115">
        <f>'Defunciones generales'!D29</f>
        <v>962</v>
      </c>
      <c r="E12" s="115">
        <f>Homicidios!D561</f>
        <v>142</v>
      </c>
      <c r="F12" s="96">
        <f t="shared" si="7"/>
        <v>0.85239085239085244</v>
      </c>
      <c r="G12" s="117">
        <f>LT!G10</f>
        <v>93688.6</v>
      </c>
      <c r="H12" s="118">
        <f>1-LT!E10</f>
        <v>0.985640611</v>
      </c>
      <c r="I12" s="100">
        <f t="shared" si="0"/>
        <v>1.4359389E-2</v>
      </c>
      <c r="J12" s="119">
        <f>LT!F10</f>
        <v>2.5</v>
      </c>
      <c r="K12" s="127">
        <f>LT!K10</f>
        <v>40.279203000000003</v>
      </c>
      <c r="L12" s="100">
        <f t="shared" si="9"/>
        <v>0.98774714475034631</v>
      </c>
      <c r="M12" s="99">
        <f t="shared" si="1"/>
        <v>1.2252855249653694E-2</v>
      </c>
      <c r="N12" s="97">
        <f t="shared" si="8"/>
        <v>94526.647015407012</v>
      </c>
      <c r="O12" s="98">
        <f t="shared" si="2"/>
        <v>1158.2213231148914</v>
      </c>
      <c r="P12" s="100">
        <f t="shared" si="10"/>
        <v>2.6296463985036058</v>
      </c>
      <c r="Q12" s="97">
        <f t="shared" si="3"/>
        <v>469887.84099245974</v>
      </c>
      <c r="R12" s="97">
        <f t="shared" si="4"/>
        <v>3835435.9785164557</v>
      </c>
      <c r="S12" s="96">
        <f t="shared" si="5"/>
        <v>40.575182761865165</v>
      </c>
      <c r="T12" s="95">
        <f t="shared" si="6"/>
        <v>0.29597976186516206</v>
      </c>
    </row>
    <row r="13" spans="2:23" ht="15" customHeight="1" x14ac:dyDescent="0.25">
      <c r="B13" s="102">
        <v>40</v>
      </c>
      <c r="C13" s="101">
        <v>5</v>
      </c>
      <c r="D13" s="115">
        <f>'Defunciones generales'!D30</f>
        <v>1209</v>
      </c>
      <c r="E13" s="115">
        <f>Homicidios!D562</f>
        <v>110</v>
      </c>
      <c r="F13" s="96">
        <f t="shared" si="7"/>
        <v>0.9090157154673284</v>
      </c>
      <c r="G13" s="117">
        <f>LT!G11</f>
        <v>92343.29</v>
      </c>
      <c r="H13" s="118">
        <f>1-LT!E11</f>
        <v>0.98120319899999997</v>
      </c>
      <c r="I13" s="100">
        <f t="shared" si="0"/>
        <v>1.879680100000003E-2</v>
      </c>
      <c r="J13" s="119">
        <f>LT!F11</f>
        <v>2.5</v>
      </c>
      <c r="K13" s="127">
        <f>LT!K11</f>
        <v>35.829593000000003</v>
      </c>
      <c r="L13" s="100">
        <f t="shared" si="9"/>
        <v>0.9828987007663228</v>
      </c>
      <c r="M13" s="99">
        <f t="shared" si="1"/>
        <v>1.7101299233677203E-2</v>
      </c>
      <c r="N13" s="97">
        <f t="shared" si="8"/>
        <v>93368.425692292119</v>
      </c>
      <c r="O13" s="98">
        <f t="shared" si="2"/>
        <v>1596.721386741242</v>
      </c>
      <c r="P13" s="100">
        <f t="shared" si="10"/>
        <v>2.6173755003371308</v>
      </c>
      <c r="Q13" s="97">
        <f t="shared" si="3"/>
        <v>463037.74096627528</v>
      </c>
      <c r="R13" s="97">
        <f t="shared" si="4"/>
        <v>3365548.1375239962</v>
      </c>
      <c r="S13" s="96">
        <f t="shared" si="5"/>
        <v>36.045891451737667</v>
      </c>
      <c r="T13" s="95">
        <f t="shared" si="6"/>
        <v>0.21629845173766427</v>
      </c>
    </row>
    <row r="14" spans="2:23" ht="15" customHeight="1" x14ac:dyDescent="0.25">
      <c r="B14" s="102">
        <v>45</v>
      </c>
      <c r="C14" s="101">
        <v>5</v>
      </c>
      <c r="D14" s="115">
        <f>'Defunciones generales'!D31</f>
        <v>1680</v>
      </c>
      <c r="E14" s="115">
        <f>Homicidios!D563</f>
        <v>100</v>
      </c>
      <c r="F14" s="96">
        <f t="shared" si="7"/>
        <v>0.94047619047619047</v>
      </c>
      <c r="G14" s="117">
        <f>LT!G12</f>
        <v>90607.53</v>
      </c>
      <c r="H14" s="118">
        <f>1-LT!E12</f>
        <v>0.97617461699999997</v>
      </c>
      <c r="I14" s="100">
        <f t="shared" si="0"/>
        <v>2.3825383000000033E-2</v>
      </c>
      <c r="J14" s="119">
        <f>LT!F12</f>
        <v>2.5</v>
      </c>
      <c r="K14" s="127">
        <f>LT!K12</f>
        <v>31.468084000000001</v>
      </c>
      <c r="L14" s="100">
        <f t="shared" si="9"/>
        <v>0.97757677050141012</v>
      </c>
      <c r="M14" s="99">
        <f t="shared" si="1"/>
        <v>2.2423229498589881E-2</v>
      </c>
      <c r="N14" s="97">
        <f t="shared" si="8"/>
        <v>91771.704305550884</v>
      </c>
      <c r="O14" s="98">
        <f t="shared" si="2"/>
        <v>2057.8179871200964</v>
      </c>
      <c r="P14" s="100">
        <f t="shared" si="10"/>
        <v>2.6298407989963484</v>
      </c>
      <c r="Q14" s="97">
        <f t="shared" si="3"/>
        <v>453981.16529159091</v>
      </c>
      <c r="R14" s="97">
        <f t="shared" si="4"/>
        <v>2902510.3965577208</v>
      </c>
      <c r="S14" s="96">
        <f t="shared" si="5"/>
        <v>31.627508920330254</v>
      </c>
      <c r="T14" s="95">
        <f t="shared" si="6"/>
        <v>0.15942492033025246</v>
      </c>
    </row>
    <row r="15" spans="2:23" ht="15" customHeight="1" x14ac:dyDescent="0.25">
      <c r="B15" s="102">
        <v>50</v>
      </c>
      <c r="C15" s="101">
        <v>5</v>
      </c>
      <c r="D15" s="115">
        <f>'Defunciones generales'!D32</f>
        <v>2027</v>
      </c>
      <c r="E15" s="115">
        <f>Homicidios!D564</f>
        <v>52</v>
      </c>
      <c r="F15" s="96">
        <f t="shared" si="7"/>
        <v>0.97434632461766157</v>
      </c>
      <c r="G15" s="117">
        <f>LT!G13</f>
        <v>88448.77</v>
      </c>
      <c r="H15" s="118">
        <f>1-LT!E13</f>
        <v>0.96707563100000005</v>
      </c>
      <c r="I15" s="100">
        <f t="shared" si="0"/>
        <v>3.2924368999999953E-2</v>
      </c>
      <c r="J15" s="119">
        <f>LT!F13</f>
        <v>2.5</v>
      </c>
      <c r="K15" s="127">
        <f>LT!K13</f>
        <v>27.175104999999999</v>
      </c>
      <c r="L15" s="100">
        <f t="shared" si="9"/>
        <v>0.96790655921004232</v>
      </c>
      <c r="M15" s="99">
        <f t="shared" si="1"/>
        <v>3.2093440789957683E-2</v>
      </c>
      <c r="N15" s="97">
        <f t="shared" si="8"/>
        <v>89713.886318430785</v>
      </c>
      <c r="O15" s="98">
        <f t="shared" si="2"/>
        <v>2879.2272985975533</v>
      </c>
      <c r="P15" s="100">
        <f t="shared" si="10"/>
        <v>2.6343801576340766</v>
      </c>
      <c r="Q15" s="97">
        <f t="shared" si="3"/>
        <v>441758.27436390985</v>
      </c>
      <c r="R15" s="97">
        <f t="shared" si="4"/>
        <v>2448529.2312661298</v>
      </c>
      <c r="S15" s="96">
        <f t="shared" si="5"/>
        <v>27.292644781603947</v>
      </c>
      <c r="T15" s="95">
        <f t="shared" si="6"/>
        <v>0.11753978160394851</v>
      </c>
    </row>
    <row r="16" spans="2:23" ht="15" customHeight="1" x14ac:dyDescent="0.25">
      <c r="B16" s="102">
        <v>55</v>
      </c>
      <c r="C16" s="101">
        <v>5</v>
      </c>
      <c r="D16" s="115">
        <f>'Defunciones generales'!D33</f>
        <v>2511</v>
      </c>
      <c r="E16" s="115">
        <f>Homicidios!D565</f>
        <v>29</v>
      </c>
      <c r="F16" s="96">
        <f t="shared" si="7"/>
        <v>0.98845081640780563</v>
      </c>
      <c r="G16" s="117">
        <f>LT!G14</f>
        <v>85536.65</v>
      </c>
      <c r="H16" s="118">
        <f>1-LT!E14</f>
        <v>0.954399832</v>
      </c>
      <c r="I16" s="100">
        <f t="shared" si="0"/>
        <v>4.5600167999999996E-2</v>
      </c>
      <c r="J16" s="119">
        <f>LT!F14</f>
        <v>2.5</v>
      </c>
      <c r="K16" s="127">
        <f>LT!K14</f>
        <v>23.015176</v>
      </c>
      <c r="L16" s="100">
        <f t="shared" si="9"/>
        <v>0.9549144210513304</v>
      </c>
      <c r="M16" s="99">
        <f t="shared" si="1"/>
        <v>4.5085578948669602E-2</v>
      </c>
      <c r="N16" s="97">
        <f t="shared" si="8"/>
        <v>86834.659019833227</v>
      </c>
      <c r="O16" s="98">
        <f t="shared" si="2"/>
        <v>3914.9908747194959</v>
      </c>
      <c r="P16" s="100">
        <f t="shared" si="10"/>
        <v>2.6638985637777877</v>
      </c>
      <c r="Q16" s="97">
        <f t="shared" si="3"/>
        <v>425027.47929393704</v>
      </c>
      <c r="R16" s="97">
        <f t="shared" si="4"/>
        <v>2006770.9569022197</v>
      </c>
      <c r="S16" s="96">
        <f t="shared" si="5"/>
        <v>23.110253204816164</v>
      </c>
      <c r="T16" s="95">
        <f t="shared" si="6"/>
        <v>9.5077204816163885E-2</v>
      </c>
    </row>
    <row r="17" spans="2:28" ht="15" customHeight="1" x14ac:dyDescent="0.25">
      <c r="B17" s="102">
        <v>60</v>
      </c>
      <c r="C17" s="101">
        <v>5</v>
      </c>
      <c r="D17" s="115">
        <f>'Defunciones generales'!D34</f>
        <v>3034</v>
      </c>
      <c r="E17" s="115">
        <f>Homicidios!D566</f>
        <v>24</v>
      </c>
      <c r="F17" s="96">
        <f t="shared" si="7"/>
        <v>0.992089650626236</v>
      </c>
      <c r="G17" s="117">
        <f>LT!G15</f>
        <v>81636.17</v>
      </c>
      <c r="H17" s="118">
        <f>1-LT!E15</f>
        <v>0.92758106900000004</v>
      </c>
      <c r="I17" s="100">
        <f t="shared" si="0"/>
        <v>7.2418930999999964E-2</v>
      </c>
      <c r="J17" s="119">
        <f>LT!F15</f>
        <v>2.5</v>
      </c>
      <c r="K17" s="127">
        <f>LT!K15</f>
        <v>18.995367999999999</v>
      </c>
      <c r="L17" s="100">
        <f t="shared" si="9"/>
        <v>0.9281328294789718</v>
      </c>
      <c r="M17" s="99">
        <f t="shared" si="1"/>
        <v>7.1867170521028201E-2</v>
      </c>
      <c r="N17" s="97">
        <f t="shared" si="8"/>
        <v>82919.668145113726</v>
      </c>
      <c r="O17" s="98">
        <f t="shared" si="2"/>
        <v>5959.2019301319588</v>
      </c>
      <c r="P17" s="100">
        <f t="shared" si="10"/>
        <v>2.6698426131821287</v>
      </c>
      <c r="Q17" s="97">
        <f t="shared" si="3"/>
        <v>400712.46232853236</v>
      </c>
      <c r="R17" s="97">
        <f t="shared" si="4"/>
        <v>1581743.4776082826</v>
      </c>
      <c r="S17" s="96">
        <f t="shared" si="5"/>
        <v>19.075612734485976</v>
      </c>
      <c r="T17" s="95">
        <f t="shared" si="6"/>
        <v>8.0244734485976466E-2</v>
      </c>
    </row>
    <row r="18" spans="2:28" ht="15" customHeight="1" x14ac:dyDescent="0.25">
      <c r="B18" s="102">
        <v>65</v>
      </c>
      <c r="C18" s="101">
        <v>5</v>
      </c>
      <c r="D18" s="115">
        <f>'Defunciones generales'!D35</f>
        <v>3246</v>
      </c>
      <c r="E18" s="115">
        <f>Homicidios!D567</f>
        <v>20</v>
      </c>
      <c r="F18" s="96">
        <f t="shared" si="7"/>
        <v>0.99383857054836722</v>
      </c>
      <c r="G18" s="117">
        <f>LT!G16</f>
        <v>75724.160000000003</v>
      </c>
      <c r="H18" s="118">
        <f>1-LT!E16</f>
        <v>0.88533926100000004</v>
      </c>
      <c r="I18" s="100">
        <f t="shared" si="0"/>
        <v>0.11466073899999996</v>
      </c>
      <c r="J18" s="119">
        <f>LT!F16</f>
        <v>2.5</v>
      </c>
      <c r="K18" s="127">
        <f>LT!K16</f>
        <v>15.283208999999999</v>
      </c>
      <c r="L18" s="100">
        <f t="shared" si="9"/>
        <v>0.88600383856795173</v>
      </c>
      <c r="M18" s="99">
        <f t="shared" si="1"/>
        <v>0.11399616143204827</v>
      </c>
      <c r="N18" s="97">
        <f t="shared" si="8"/>
        <v>76960.466214981774</v>
      </c>
      <c r="O18" s="98">
        <f t="shared" si="2"/>
        <v>8773.1977305287601</v>
      </c>
      <c r="P18" s="100">
        <f t="shared" si="10"/>
        <v>2.664633741429649</v>
      </c>
      <c r="Q18" s="97">
        <f t="shared" si="3"/>
        <v>364313.70111526607</v>
      </c>
      <c r="R18" s="97">
        <f t="shared" si="4"/>
        <v>1181031.0152797503</v>
      </c>
      <c r="S18" s="96">
        <f t="shared" si="5"/>
        <v>15.345944136833216</v>
      </c>
      <c r="T18" s="95">
        <f t="shared" si="6"/>
        <v>6.2735136833216743E-2</v>
      </c>
    </row>
    <row r="19" spans="2:28" ht="15" customHeight="1" x14ac:dyDescent="0.25">
      <c r="B19" s="102">
        <v>70</v>
      </c>
      <c r="C19" s="101">
        <v>5</v>
      </c>
      <c r="D19" s="115">
        <f>'Defunciones generales'!D36</f>
        <v>3323</v>
      </c>
      <c r="E19" s="115">
        <f>Homicidios!D568</f>
        <v>3</v>
      </c>
      <c r="F19" s="96">
        <f t="shared" si="7"/>
        <v>0.99909720132410473</v>
      </c>
      <c r="G19" s="117">
        <f>LT!G17</f>
        <v>67041.570000000007</v>
      </c>
      <c r="H19" s="118">
        <f>1-LT!E17</f>
        <v>0.81077668000000003</v>
      </c>
      <c r="I19" s="100">
        <f t="shared" si="0"/>
        <v>0.18922331999999997</v>
      </c>
      <c r="J19" s="119">
        <f>LT!F17</f>
        <v>2.5</v>
      </c>
      <c r="K19" s="127">
        <f>LT!K17</f>
        <v>11.938769000000001</v>
      </c>
      <c r="L19" s="100">
        <f t="shared" si="9"/>
        <v>0.81093023409302734</v>
      </c>
      <c r="M19" s="99">
        <f t="shared" si="1"/>
        <v>0.18906976590697266</v>
      </c>
      <c r="N19" s="97">
        <f t="shared" si="8"/>
        <v>68187.268484453016</v>
      </c>
      <c r="O19" s="98">
        <f t="shared" si="2"/>
        <v>12892.150890191426</v>
      </c>
      <c r="P19" s="100">
        <f t="shared" si="10"/>
        <v>2.6162447997431033</v>
      </c>
      <c r="Q19" s="97">
        <f>(C19*N20)+(P19*O19)</f>
        <v>310204.61069527466</v>
      </c>
      <c r="R19" s="97">
        <f t="shared" si="4"/>
        <v>816717.31416448439</v>
      </c>
      <c r="S19" s="96">
        <f t="shared" si="5"/>
        <v>11.977563148033996</v>
      </c>
      <c r="T19" s="95">
        <f t="shared" si="6"/>
        <v>3.8794148033995057E-2</v>
      </c>
    </row>
    <row r="20" spans="2:28" ht="15" customHeight="1" x14ac:dyDescent="0.25">
      <c r="B20" s="102">
        <v>75</v>
      </c>
      <c r="C20" s="101">
        <v>5</v>
      </c>
      <c r="D20" s="115">
        <f>'Defunciones generales'!D37</f>
        <v>3338</v>
      </c>
      <c r="E20" s="115">
        <f>Homicidios!D569</f>
        <v>6</v>
      </c>
      <c r="F20" s="96">
        <f t="shared" si="7"/>
        <v>0.99820251647693226</v>
      </c>
      <c r="G20" s="117">
        <f>LT!G18</f>
        <v>54355.74</v>
      </c>
      <c r="H20" s="118">
        <f>1-LT!E18</f>
        <v>0.71080955699999993</v>
      </c>
      <c r="I20" s="100">
        <f t="shared" si="0"/>
        <v>0.28919044300000007</v>
      </c>
      <c r="J20" s="119">
        <f>LT!F18</f>
        <v>2.5</v>
      </c>
      <c r="K20" s="127">
        <f>LT!K18</f>
        <v>9.1416380000000004</v>
      </c>
      <c r="L20" s="100">
        <f t="shared" si="9"/>
        <v>0.71124582390021052</v>
      </c>
      <c r="M20" s="99">
        <f t="shared" si="1"/>
        <v>0.28875417609978948</v>
      </c>
      <c r="N20" s="97">
        <f t="shared" si="8"/>
        <v>55295.117594261588</v>
      </c>
      <c r="O20" s="98">
        <f t="shared" si="2"/>
        <v>15966.696123271979</v>
      </c>
      <c r="P20" s="100">
        <f t="shared" si="10"/>
        <v>2.5479728812141236</v>
      </c>
      <c r="Q20" s="97">
        <f t="shared" si="3"/>
        <v>237324.81607963174</v>
      </c>
      <c r="R20" s="97">
        <f t="shared" si="4"/>
        <v>506512.70346920978</v>
      </c>
      <c r="S20" s="96">
        <f t="shared" si="5"/>
        <v>9.1601704726598605</v>
      </c>
      <c r="T20" s="95">
        <f t="shared" si="6"/>
        <v>1.8532472659860133E-2</v>
      </c>
    </row>
    <row r="21" spans="2:28" ht="15" customHeight="1" x14ac:dyDescent="0.25">
      <c r="B21" s="102">
        <v>80</v>
      </c>
      <c r="C21" s="101">
        <v>5</v>
      </c>
      <c r="D21" s="115">
        <f>'Defunciones generales'!D38</f>
        <v>3111</v>
      </c>
      <c r="E21" s="115">
        <f>Homicidios!D570</f>
        <v>1</v>
      </c>
      <c r="F21" s="96">
        <f t="shared" si="7"/>
        <v>0.99967855994856958</v>
      </c>
      <c r="G21" s="117">
        <f>LT!G19</f>
        <v>38636.58</v>
      </c>
      <c r="H21" s="118">
        <f>1-LT!E19</f>
        <v>0.57860496099999992</v>
      </c>
      <c r="I21" s="100">
        <f t="shared" si="0"/>
        <v>0.42139503900000008</v>
      </c>
      <c r="J21" s="119">
        <f>LT!F19</f>
        <v>2.5</v>
      </c>
      <c r="K21" s="127">
        <f>LT!K19</f>
        <v>6.8437659999999996</v>
      </c>
      <c r="L21" s="100">
        <f t="shared" si="9"/>
        <v>0.57870672989936245</v>
      </c>
      <c r="M21" s="99">
        <f t="shared" si="1"/>
        <v>0.42129327010063755</v>
      </c>
      <c r="N21" s="97">
        <f t="shared" si="8"/>
        <v>39328.421470989611</v>
      </c>
      <c r="O21" s="98">
        <f t="shared" si="2"/>
        <v>16568.79928940934</v>
      </c>
      <c r="P21" s="98">
        <f>C21+(F21*(I21/M21)*(J21-C21))</f>
        <v>2.5001998865519388</v>
      </c>
      <c r="Q21" s="97">
        <f>(C21*N22)+(P21*O21)</f>
        <v>155223.42101158443</v>
      </c>
      <c r="R21" s="97">
        <f t="shared" si="4"/>
        <v>269187.88738957804</v>
      </c>
      <c r="S21" s="96">
        <f t="shared" si="5"/>
        <v>6.8446145896840269</v>
      </c>
      <c r="T21" s="95">
        <f t="shared" si="6"/>
        <v>8.4858968402734547E-4</v>
      </c>
    </row>
    <row r="22" spans="2:28" ht="15" customHeight="1" x14ac:dyDescent="0.25">
      <c r="B22" s="94">
        <v>85</v>
      </c>
      <c r="C22" s="93">
        <v>5</v>
      </c>
      <c r="D22" s="116">
        <f>'Defunciones generales'!D39</f>
        <v>4952</v>
      </c>
      <c r="E22" s="116">
        <f>Homicidios!D571</f>
        <v>1</v>
      </c>
      <c r="F22" s="88">
        <f t="shared" si="7"/>
        <v>0.99979806138933769</v>
      </c>
      <c r="G22" s="117">
        <f>LT!G20</f>
        <v>22355.32</v>
      </c>
      <c r="H22" s="118">
        <f>1-LT!E20</f>
        <v>0</v>
      </c>
      <c r="I22" s="92">
        <f t="shared" si="0"/>
        <v>1</v>
      </c>
      <c r="J22" s="119" t="str">
        <f>LT!F20</f>
        <v>NA</v>
      </c>
      <c r="K22" s="127">
        <f>LT!K20</f>
        <v>5.0073090000000002</v>
      </c>
      <c r="L22" s="92">
        <f t="shared" si="9"/>
        <v>0</v>
      </c>
      <c r="M22" s="91">
        <f t="shared" si="1"/>
        <v>1</v>
      </c>
      <c r="N22" s="89">
        <f t="shared" si="8"/>
        <v>22759.622181580271</v>
      </c>
      <c r="O22" s="90">
        <f t="shared" si="2"/>
        <v>22759.622181580271</v>
      </c>
      <c r="P22" s="92">
        <f>K22/F22</f>
        <v>5.008320373257928</v>
      </c>
      <c r="Q22" s="120">
        <f>(N22/LT!D20)</f>
        <v>113964.46637799361</v>
      </c>
      <c r="R22" s="89">
        <f>Q22</f>
        <v>113964.46637799361</v>
      </c>
      <c r="S22" s="88">
        <f t="shared" si="5"/>
        <v>5.007309236891766</v>
      </c>
      <c r="T22" s="87">
        <f t="shared" si="6"/>
        <v>2.3689176575913962E-7</v>
      </c>
    </row>
    <row r="24" spans="2:28" ht="15" customHeight="1" x14ac:dyDescent="0.25">
      <c r="B24" s="150" t="s">
        <v>115</v>
      </c>
      <c r="C24" s="150"/>
      <c r="D24" s="150"/>
      <c r="E24" s="150"/>
      <c r="F24" s="150"/>
      <c r="G24" s="150"/>
      <c r="H24" s="150"/>
      <c r="I24" s="150"/>
      <c r="J24" s="150"/>
      <c r="K24" s="150"/>
      <c r="L24" s="150"/>
      <c r="M24" s="150"/>
      <c r="N24" s="150"/>
      <c r="O24" s="150"/>
      <c r="P24" s="150"/>
      <c r="Q24" s="150"/>
      <c r="R24" s="150"/>
      <c r="S24" s="150"/>
      <c r="T24" s="150"/>
    </row>
    <row r="25" spans="2:28" x14ac:dyDescent="0.25">
      <c r="C25" s="114"/>
      <c r="D25" s="114"/>
      <c r="E25" s="114"/>
      <c r="F25" s="114"/>
    </row>
    <row r="26" spans="2:28" ht="33" customHeight="1" x14ac:dyDescent="0.25">
      <c r="B26" s="113" t="s">
        <v>110</v>
      </c>
      <c r="C26" s="112" t="s">
        <v>109</v>
      </c>
      <c r="D26" s="112" t="s">
        <v>108</v>
      </c>
      <c r="E26" s="112" t="s">
        <v>107</v>
      </c>
      <c r="F26" s="111"/>
      <c r="G26" s="110"/>
      <c r="H26" s="110"/>
      <c r="I26" s="110" t="s">
        <v>106</v>
      </c>
      <c r="J26" s="110"/>
      <c r="K26" s="109" t="s">
        <v>105</v>
      </c>
      <c r="L26" s="110"/>
      <c r="M26" s="110" t="s">
        <v>104</v>
      </c>
      <c r="N26" s="110"/>
      <c r="O26" s="110" t="s">
        <v>103</v>
      </c>
      <c r="P26" s="110"/>
      <c r="Q26" s="110" t="s">
        <v>102</v>
      </c>
      <c r="R26" s="110" t="s">
        <v>101</v>
      </c>
      <c r="S26" s="109" t="s">
        <v>100</v>
      </c>
      <c r="T26" s="108" t="s">
        <v>99</v>
      </c>
      <c r="AA26" s="84" t="s">
        <v>113</v>
      </c>
      <c r="AB26" s="84" t="s">
        <v>112</v>
      </c>
    </row>
    <row r="27" spans="2:28" x14ac:dyDescent="0.25">
      <c r="B27" s="102">
        <v>0</v>
      </c>
      <c r="C27" s="101">
        <v>1</v>
      </c>
      <c r="D27" s="121">
        <f>'Defunciones generales'!D78</f>
        <v>485</v>
      </c>
      <c r="E27" s="121">
        <f>Homicidios!D1218</f>
        <v>1</v>
      </c>
      <c r="F27" s="96">
        <f t="shared" ref="F27:F45" si="11">(D27-E27)/D27</f>
        <v>0.99793814432989691</v>
      </c>
      <c r="G27" s="123">
        <f>LT!G22</f>
        <v>100000</v>
      </c>
      <c r="H27" s="124">
        <f>1-LT!E22</f>
        <v>0.98290412900000002</v>
      </c>
      <c r="I27" s="100">
        <f t="shared" ref="I27:I45" si="12">1-H27</f>
        <v>1.7095870999999985E-2</v>
      </c>
      <c r="J27" s="125">
        <f>LT!F22</f>
        <v>0.1016151</v>
      </c>
      <c r="K27" s="129">
        <f>LT!K22</f>
        <v>76.572626999999997</v>
      </c>
      <c r="L27" s="100">
        <f t="shared" ref="L27:L45" si="13">H27^F27</f>
        <v>0.98293907579988515</v>
      </c>
      <c r="M27" s="99">
        <f t="shared" ref="M27:M45" si="14">1-L27</f>
        <v>1.7060924200114846E-2</v>
      </c>
      <c r="N27" s="97">
        <v>100000</v>
      </c>
      <c r="O27" s="98">
        <f t="shared" ref="O27:O45" si="15">N27*M27</f>
        <v>1706.0924200114846</v>
      </c>
      <c r="P27" s="98">
        <f>C27+(F27*(I27/M27)*(J27-C27))</f>
        <v>0.10163102459850493</v>
      </c>
      <c r="Q27" s="97">
        <f t="shared" ref="Q27:Q44" si="16">(C27*N28)+(P27*O27)</f>
        <v>98467.299500694033</v>
      </c>
      <c r="R27" s="97">
        <f t="shared" ref="R27:R44" si="17">R28+Q27</f>
        <v>7675536.1624602992</v>
      </c>
      <c r="S27" s="130">
        <f t="shared" ref="S27:S45" si="18">R27/N27</f>
        <v>76.755361624602997</v>
      </c>
      <c r="T27" s="95">
        <f t="shared" ref="T27:T45" si="19">S27-K27</f>
        <v>0.18273462460300038</v>
      </c>
      <c r="Z27" s="133" t="s">
        <v>132</v>
      </c>
      <c r="AA27" s="86">
        <f>S4</f>
        <v>72.193953818918899</v>
      </c>
      <c r="AB27" s="86">
        <f>S27</f>
        <v>76.755361624602997</v>
      </c>
    </row>
    <row r="28" spans="2:28" x14ac:dyDescent="0.25">
      <c r="B28" s="102">
        <v>1</v>
      </c>
      <c r="C28" s="101">
        <v>4</v>
      </c>
      <c r="D28" s="121">
        <f>'Defunciones generales'!D79</f>
        <v>106</v>
      </c>
      <c r="E28" s="121">
        <f>Homicidios!D1219</f>
        <v>3</v>
      </c>
      <c r="F28" s="96">
        <f t="shared" si="11"/>
        <v>0.97169811320754718</v>
      </c>
      <c r="G28" s="123">
        <f>LT!G23</f>
        <v>98290.41</v>
      </c>
      <c r="H28" s="124">
        <f>1-LT!E23</f>
        <v>0.99732755100000003</v>
      </c>
      <c r="I28" s="100">
        <f t="shared" si="12"/>
        <v>2.6724489999999657E-3</v>
      </c>
      <c r="J28" s="125">
        <f>LT!F23</f>
        <v>1.4956437</v>
      </c>
      <c r="K28" s="129">
        <f>LT!K23</f>
        <v>76.902704</v>
      </c>
      <c r="L28" s="100">
        <f t="shared" si="13"/>
        <v>0.99740308805352207</v>
      </c>
      <c r="M28" s="99">
        <f t="shared" si="14"/>
        <v>2.5969119464779311E-3</v>
      </c>
      <c r="N28" s="97">
        <f t="shared" ref="N28:N45" si="20">N27*L27</f>
        <v>98293.907579988518</v>
      </c>
      <c r="O28" s="98">
        <f t="shared" si="15"/>
        <v>255.26062286046985</v>
      </c>
      <c r="P28" s="98">
        <f>C28+(F28*(I28/M28)*(J28-C28))</f>
        <v>1.4957384922171917</v>
      </c>
      <c r="Q28" s="97">
        <f t="shared" si="16"/>
        <v>392536.39096767193</v>
      </c>
      <c r="R28" s="97">
        <f t="shared" si="17"/>
        <v>7577068.8629596047</v>
      </c>
      <c r="S28" s="96">
        <f t="shared" si="18"/>
        <v>77.085844377421068</v>
      </c>
      <c r="T28" s="95">
        <f t="shared" si="19"/>
        <v>0.18314037742106848</v>
      </c>
      <c r="U28" s="107"/>
      <c r="V28" s="144" t="s">
        <v>98</v>
      </c>
      <c r="W28" s="145"/>
      <c r="Z28" s="133" t="s">
        <v>133</v>
      </c>
      <c r="AA28" s="86">
        <f>K4</f>
        <v>71.491883000000001</v>
      </c>
      <c r="AB28" s="86">
        <f>K27</f>
        <v>76.572626999999997</v>
      </c>
    </row>
    <row r="29" spans="2:28" x14ac:dyDescent="0.25">
      <c r="B29" s="102">
        <v>5</v>
      </c>
      <c r="C29" s="101">
        <v>5</v>
      </c>
      <c r="D29" s="121">
        <f>'Defunciones generales'!D80</f>
        <v>54</v>
      </c>
      <c r="E29" s="121">
        <f>Homicidios!D1220</f>
        <v>1</v>
      </c>
      <c r="F29" s="96">
        <f t="shared" si="11"/>
        <v>0.98148148148148151</v>
      </c>
      <c r="G29" s="123">
        <f>LT!G24</f>
        <v>98027.74</v>
      </c>
      <c r="H29" s="124">
        <f>1-LT!E24</f>
        <v>0.99823927700000004</v>
      </c>
      <c r="I29" s="100">
        <f t="shared" si="12"/>
        <v>1.7607229999999641E-3</v>
      </c>
      <c r="J29" s="125">
        <f>LT!F24</f>
        <v>2.5</v>
      </c>
      <c r="K29" s="129">
        <f>LT!K24</f>
        <v>73.104765999999998</v>
      </c>
      <c r="L29" s="100">
        <f t="shared" si="13"/>
        <v>0.99827185479114933</v>
      </c>
      <c r="M29" s="99">
        <f t="shared" si="14"/>
        <v>1.7281452088506732E-3</v>
      </c>
      <c r="N29" s="97">
        <f t="shared" si="20"/>
        <v>98038.646957128047</v>
      </c>
      <c r="O29" s="98">
        <f t="shared" si="15"/>
        <v>169.42501802116348</v>
      </c>
      <c r="P29" s="98">
        <f>C29+(F29*(I29/M29)*(J29-C29))</f>
        <v>2.5000407811971552</v>
      </c>
      <c r="Q29" s="97">
        <f t="shared" si="16"/>
        <v>489769.67914994236</v>
      </c>
      <c r="R29" s="97">
        <f t="shared" si="17"/>
        <v>7184532.471991933</v>
      </c>
      <c r="S29" s="96">
        <f t="shared" si="18"/>
        <v>73.282656329740078</v>
      </c>
      <c r="T29" s="95">
        <f t="shared" si="19"/>
        <v>0.17789032974008023</v>
      </c>
      <c r="U29" s="107"/>
      <c r="V29" s="146"/>
      <c r="W29" s="147"/>
      <c r="AA29" s="85">
        <f>AA27-AA28</f>
        <v>0.702070818918898</v>
      </c>
      <c r="AB29" s="85">
        <f>AB27-AB28</f>
        <v>0.18273462460300038</v>
      </c>
    </row>
    <row r="30" spans="2:28" x14ac:dyDescent="0.25">
      <c r="B30" s="102">
        <v>10</v>
      </c>
      <c r="C30" s="101">
        <v>5</v>
      </c>
      <c r="D30" s="121">
        <f>'Defunciones generales'!D81</f>
        <v>76</v>
      </c>
      <c r="E30" s="121">
        <f>Homicidios!D1221</f>
        <v>0</v>
      </c>
      <c r="F30" s="96">
        <f t="shared" si="11"/>
        <v>1</v>
      </c>
      <c r="G30" s="123">
        <f>LT!G25</f>
        <v>97855.14</v>
      </c>
      <c r="H30" s="124">
        <f>1-LT!E25</f>
        <v>0.99842062200000004</v>
      </c>
      <c r="I30" s="100">
        <f t="shared" si="12"/>
        <v>1.5793779999999646E-3</v>
      </c>
      <c r="J30" s="125">
        <f>LT!F25</f>
        <v>2.5</v>
      </c>
      <c r="K30" s="129">
        <f>LT!K25</f>
        <v>68.229299999999995</v>
      </c>
      <c r="L30" s="100">
        <f t="shared" si="13"/>
        <v>0.99842062200000004</v>
      </c>
      <c r="M30" s="99">
        <f t="shared" si="14"/>
        <v>1.5793779999999646E-3</v>
      </c>
      <c r="N30" s="97">
        <f t="shared" si="20"/>
        <v>97869.221939106879</v>
      </c>
      <c r="O30" s="98">
        <f t="shared" si="15"/>
        <v>154.57249600773929</v>
      </c>
      <c r="P30" s="100">
        <f>(((-5/24)*O29)+((2.5)*O30)+((5/24)*O31))/O30</f>
        <v>2.6708108616950184</v>
      </c>
      <c r="Q30" s="97">
        <f t="shared" si="16"/>
        <v>488986.08111675252</v>
      </c>
      <c r="R30" s="97">
        <f t="shared" si="17"/>
        <v>6694762.7928419905</v>
      </c>
      <c r="S30" s="96">
        <f t="shared" si="18"/>
        <v>68.405190724898134</v>
      </c>
      <c r="T30" s="95">
        <f t="shared" si="19"/>
        <v>0.17589072489813873</v>
      </c>
      <c r="U30" s="107"/>
      <c r="V30" s="148"/>
      <c r="W30" s="149"/>
    </row>
    <row r="31" spans="2:28" x14ac:dyDescent="0.25">
      <c r="B31" s="102">
        <v>15</v>
      </c>
      <c r="C31" s="101">
        <v>5</v>
      </c>
      <c r="D31" s="121">
        <f>'Defunciones generales'!D82</f>
        <v>112</v>
      </c>
      <c r="E31" s="121">
        <f>Homicidios!D1222</f>
        <v>3</v>
      </c>
      <c r="F31" s="96">
        <f t="shared" si="11"/>
        <v>0.9732142857142857</v>
      </c>
      <c r="G31" s="123">
        <f>LT!G26</f>
        <v>97700.59</v>
      </c>
      <c r="H31" s="124">
        <f>1-LT!E26</f>
        <v>0.99688586899999998</v>
      </c>
      <c r="I31" s="100">
        <f t="shared" si="12"/>
        <v>3.11413100000002E-3</v>
      </c>
      <c r="J31" s="125">
        <f>LT!F26</f>
        <v>2.5</v>
      </c>
      <c r="K31" s="129">
        <f>LT!K26</f>
        <v>63.333275999999998</v>
      </c>
      <c r="L31" s="100">
        <f t="shared" si="13"/>
        <v>0.99696915668583252</v>
      </c>
      <c r="M31" s="99">
        <f t="shared" si="14"/>
        <v>3.0308433141674751E-3</v>
      </c>
      <c r="N31" s="97">
        <f t="shared" si="20"/>
        <v>97714.649443099144</v>
      </c>
      <c r="O31" s="98">
        <f t="shared" si="15"/>
        <v>296.15779196083565</v>
      </c>
      <c r="P31" s="100">
        <f>(((-5/24)*O30)+((2.5)*O31)+((5/24)*O32))/O31</f>
        <v>2.6283103664915157</v>
      </c>
      <c r="Q31" s="97">
        <f t="shared" si="16"/>
        <v>487870.85285041941</v>
      </c>
      <c r="R31" s="97">
        <f t="shared" si="17"/>
        <v>6205776.7117252378</v>
      </c>
      <c r="S31" s="96">
        <f t="shared" si="18"/>
        <v>63.509174387807263</v>
      </c>
      <c r="T31" s="95">
        <f t="shared" si="19"/>
        <v>0.17589838780726552</v>
      </c>
      <c r="U31" s="84"/>
      <c r="V31" s="106" t="s">
        <v>97</v>
      </c>
      <c r="W31" s="106" t="s">
        <v>96</v>
      </c>
    </row>
    <row r="32" spans="2:28" x14ac:dyDescent="0.25">
      <c r="B32" s="102">
        <v>20</v>
      </c>
      <c r="C32" s="101">
        <v>5</v>
      </c>
      <c r="D32" s="121">
        <f>'Defunciones generales'!D83</f>
        <v>200</v>
      </c>
      <c r="E32" s="121">
        <f>Homicidios!D1223</f>
        <v>19</v>
      </c>
      <c r="F32" s="96">
        <f t="shared" si="11"/>
        <v>0.90500000000000003</v>
      </c>
      <c r="G32" s="123">
        <f>LT!G27</f>
        <v>97396.33</v>
      </c>
      <c r="H32" s="124">
        <f>1-LT!E27</f>
        <v>0.99617856699999996</v>
      </c>
      <c r="I32" s="100">
        <f t="shared" si="12"/>
        <v>3.8214330000000407E-3</v>
      </c>
      <c r="J32" s="125">
        <f>LT!F27</f>
        <v>2.5</v>
      </c>
      <c r="K32" s="129">
        <f>LT!K27</f>
        <v>58.523311</v>
      </c>
      <c r="L32" s="100">
        <f t="shared" si="13"/>
        <v>0.99654097449611145</v>
      </c>
      <c r="M32" s="99">
        <f t="shared" si="14"/>
        <v>3.4590255038885465E-3</v>
      </c>
      <c r="N32" s="97">
        <f t="shared" si="20"/>
        <v>97418.491651138305</v>
      </c>
      <c r="O32" s="98">
        <f t="shared" si="15"/>
        <v>336.97304717164081</v>
      </c>
      <c r="P32" s="100">
        <f>(((-5/24)*O31)+((2.5)*O32)+((5/24)*O33))/O32</f>
        <v>2.5637166366941364</v>
      </c>
      <c r="Q32" s="97">
        <f t="shared" si="16"/>
        <v>486271.49642698478</v>
      </c>
      <c r="R32" s="97">
        <f t="shared" si="17"/>
        <v>5717905.8588748183</v>
      </c>
      <c r="S32" s="96">
        <f t="shared" si="18"/>
        <v>58.694255699944478</v>
      </c>
      <c r="T32" s="95">
        <f t="shared" si="19"/>
        <v>0.17094469994447792</v>
      </c>
      <c r="U32" s="105"/>
      <c r="V32" s="103">
        <f>([1]TV!M29-[1]TV!M47)/[1]TV!J29</f>
        <v>73.32569985958979</v>
      </c>
      <c r="W32" s="103">
        <f>(R27-R45)/N27</f>
        <v>74.598251238998216</v>
      </c>
    </row>
    <row r="33" spans="2:23" x14ac:dyDescent="0.25">
      <c r="B33" s="102">
        <v>25</v>
      </c>
      <c r="C33" s="101">
        <v>5</v>
      </c>
      <c r="D33" s="121">
        <f>'Defunciones generales'!D84</f>
        <v>247</v>
      </c>
      <c r="E33" s="121">
        <f>Homicidios!D1224</f>
        <v>25</v>
      </c>
      <c r="F33" s="96">
        <f t="shared" si="11"/>
        <v>0.89878542510121462</v>
      </c>
      <c r="G33" s="123">
        <f>LT!G28</f>
        <v>97024.14</v>
      </c>
      <c r="H33" s="124">
        <f>1-LT!E28</f>
        <v>0.99542578699999995</v>
      </c>
      <c r="I33" s="100">
        <f t="shared" si="12"/>
        <v>4.5742130000000492E-3</v>
      </c>
      <c r="J33" s="125">
        <f>LT!F28</f>
        <v>2.5</v>
      </c>
      <c r="K33" s="129">
        <f>LT!K28</f>
        <v>53.738221000000003</v>
      </c>
      <c r="L33" s="100">
        <f t="shared" si="13"/>
        <v>0.99588781071857058</v>
      </c>
      <c r="M33" s="99">
        <f t="shared" si="14"/>
        <v>4.1121892814294236E-3</v>
      </c>
      <c r="N33" s="97">
        <f t="shared" si="20"/>
        <v>97081.518603966659</v>
      </c>
      <c r="O33" s="98">
        <f t="shared" si="15"/>
        <v>399.21758022812287</v>
      </c>
      <c r="P33" s="100">
        <f>(((-5/24)*O32)+((2.5)*O33)+((5/24)*O34))/O33</f>
        <v>2.5999698596490215</v>
      </c>
      <c r="Q33" s="97">
        <f t="shared" si="16"/>
        <v>484449.45879472781</v>
      </c>
      <c r="R33" s="97">
        <f t="shared" si="17"/>
        <v>5231634.3624478336</v>
      </c>
      <c r="S33" s="96">
        <f t="shared" si="18"/>
        <v>53.889086591132845</v>
      </c>
      <c r="T33" s="95">
        <f t="shared" si="19"/>
        <v>0.15086559113284181</v>
      </c>
      <c r="V33" s="104" t="s">
        <v>95</v>
      </c>
      <c r="W33" s="103">
        <f>W32-V32</f>
        <v>1.2725513794084264</v>
      </c>
    </row>
    <row r="34" spans="2:23" x14ac:dyDescent="0.25">
      <c r="B34" s="102">
        <v>30</v>
      </c>
      <c r="C34" s="101">
        <v>5</v>
      </c>
      <c r="D34" s="121">
        <f>'Defunciones generales'!D85</f>
        <v>259</v>
      </c>
      <c r="E34" s="121">
        <f>Homicidios!D1225</f>
        <v>20</v>
      </c>
      <c r="F34" s="96">
        <f t="shared" si="11"/>
        <v>0.92277992277992282</v>
      </c>
      <c r="G34" s="123">
        <f>LT!G29</f>
        <v>96580.33</v>
      </c>
      <c r="H34" s="124">
        <f>1-LT!E29</f>
        <v>0.99407711899999995</v>
      </c>
      <c r="I34" s="100">
        <f t="shared" si="12"/>
        <v>5.9228810000000465E-3</v>
      </c>
      <c r="J34" s="125">
        <f>LT!F29</f>
        <v>2.5</v>
      </c>
      <c r="K34" s="129">
        <f>LT!K29</f>
        <v>48.973672999999998</v>
      </c>
      <c r="L34" s="100">
        <f t="shared" si="13"/>
        <v>0.99453323179313824</v>
      </c>
      <c r="M34" s="99">
        <f t="shared" si="14"/>
        <v>5.4667682068617607E-3</v>
      </c>
      <c r="N34" s="97">
        <f t="shared" si="20"/>
        <v>96682.301023738532</v>
      </c>
      <c r="O34" s="98">
        <f t="shared" si="15"/>
        <v>528.5397294028121</v>
      </c>
      <c r="P34" s="100">
        <f t="shared" ref="P34:P42" si="21">(((-5/24)*O33)+((2.5)*O34)+((5/24)*O35))/O34</f>
        <v>2.6274092390686676</v>
      </c>
      <c r="Q34" s="97">
        <f t="shared" si="16"/>
        <v>482157.49663992639</v>
      </c>
      <c r="R34" s="97">
        <f t="shared" si="17"/>
        <v>4747184.9036531057</v>
      </c>
      <c r="S34" s="96">
        <f t="shared" si="18"/>
        <v>49.100868032583577</v>
      </c>
      <c r="T34" s="95">
        <f t="shared" si="19"/>
        <v>0.12719503258357889</v>
      </c>
    </row>
    <row r="35" spans="2:23" x14ac:dyDescent="0.25">
      <c r="B35" s="102">
        <v>35</v>
      </c>
      <c r="C35" s="101">
        <v>5</v>
      </c>
      <c r="D35" s="121">
        <f>'Defunciones generales'!D86</f>
        <v>352</v>
      </c>
      <c r="E35" s="121">
        <f>Homicidios!D1226</f>
        <v>14</v>
      </c>
      <c r="F35" s="96">
        <f t="shared" si="11"/>
        <v>0.96022727272727271</v>
      </c>
      <c r="G35" s="123">
        <f>LT!G30</f>
        <v>96008.3</v>
      </c>
      <c r="H35" s="124">
        <f>1-LT!E30</f>
        <v>0.992176485</v>
      </c>
      <c r="I35" s="100">
        <f t="shared" si="12"/>
        <v>7.8235150000000031E-3</v>
      </c>
      <c r="J35" s="125">
        <f>LT!F30</f>
        <v>2.5</v>
      </c>
      <c r="K35" s="129">
        <f>LT!K30</f>
        <v>44.250571000000001</v>
      </c>
      <c r="L35" s="100">
        <f t="shared" si="13"/>
        <v>0.99248647556519054</v>
      </c>
      <c r="M35" s="99">
        <f t="shared" si="14"/>
        <v>7.5135244348094599E-3</v>
      </c>
      <c r="N35" s="97">
        <f t="shared" si="20"/>
        <v>96153.761294335724</v>
      </c>
      <c r="O35" s="98">
        <f t="shared" si="15"/>
        <v>722.45363498382756</v>
      </c>
      <c r="P35" s="100">
        <f t="shared" si="21"/>
        <v>2.6512976517702374</v>
      </c>
      <c r="Q35" s="97">
        <f t="shared" si="16"/>
        <v>479071.97792270494</v>
      </c>
      <c r="R35" s="97">
        <f t="shared" si="17"/>
        <v>4265027.4070131797</v>
      </c>
      <c r="S35" s="96">
        <f t="shared" si="18"/>
        <v>44.356324179118992</v>
      </c>
      <c r="T35" s="95">
        <f t="shared" si="19"/>
        <v>0.10575317911899162</v>
      </c>
    </row>
    <row r="36" spans="2:23" x14ac:dyDescent="0.25">
      <c r="B36" s="102">
        <v>40</v>
      </c>
      <c r="C36" s="101">
        <v>5</v>
      </c>
      <c r="D36" s="121">
        <f>'Defunciones generales'!D87</f>
        <v>601</v>
      </c>
      <c r="E36" s="121">
        <f>Homicidios!D1227</f>
        <v>10</v>
      </c>
      <c r="F36" s="96">
        <f t="shared" si="11"/>
        <v>0.98336106489184694</v>
      </c>
      <c r="G36" s="123">
        <f>LT!G31</f>
        <v>95257.18</v>
      </c>
      <c r="H36" s="124">
        <f>1-LT!E31</f>
        <v>0.98877803600000003</v>
      </c>
      <c r="I36" s="100">
        <f t="shared" si="12"/>
        <v>1.1221963999999973E-2</v>
      </c>
      <c r="J36" s="125">
        <f>LT!F31</f>
        <v>2.5</v>
      </c>
      <c r="K36" s="129">
        <f>LT!K31</f>
        <v>39.579782999999999</v>
      </c>
      <c r="L36" s="100">
        <f t="shared" si="13"/>
        <v>0.98896372333181537</v>
      </c>
      <c r="M36" s="99">
        <f t="shared" si="14"/>
        <v>1.103627666818463E-2</v>
      </c>
      <c r="N36" s="97">
        <f t="shared" si="20"/>
        <v>95431.307659351893</v>
      </c>
      <c r="O36" s="98">
        <f t="shared" si="15"/>
        <v>1053.2063141352544</v>
      </c>
      <c r="P36" s="100">
        <f t="shared" si="21"/>
        <v>2.6437112052647223</v>
      </c>
      <c r="Q36" s="97">
        <f t="shared" si="16"/>
        <v>474674.8800602181</v>
      </c>
      <c r="R36" s="97">
        <f t="shared" si="17"/>
        <v>3785955.4290904752</v>
      </c>
      <c r="S36" s="96">
        <f t="shared" si="18"/>
        <v>39.672048114489677</v>
      </c>
      <c r="T36" s="95">
        <f t="shared" si="19"/>
        <v>9.2265114489677558E-2</v>
      </c>
    </row>
    <row r="37" spans="2:23" x14ac:dyDescent="0.25">
      <c r="B37" s="102">
        <v>45</v>
      </c>
      <c r="C37" s="101">
        <v>5</v>
      </c>
      <c r="D37" s="121">
        <f>'Defunciones generales'!D88</f>
        <v>915</v>
      </c>
      <c r="E37" s="121">
        <f>Homicidios!D1228</f>
        <v>14</v>
      </c>
      <c r="F37" s="96">
        <f t="shared" si="11"/>
        <v>0.98469945355191257</v>
      </c>
      <c r="G37" s="123">
        <f>LT!G32</f>
        <v>94188.2</v>
      </c>
      <c r="H37" s="124">
        <f>1-LT!E32</f>
        <v>0.98441049400000002</v>
      </c>
      <c r="I37" s="100">
        <f t="shared" si="12"/>
        <v>1.5589505999999975E-2</v>
      </c>
      <c r="J37" s="125">
        <f>LT!F32</f>
        <v>2.5</v>
      </c>
      <c r="K37" s="129">
        <f>LT!K32</f>
        <v>35.000613000000001</v>
      </c>
      <c r="L37" s="100">
        <f t="shared" si="13"/>
        <v>0.98464718140590279</v>
      </c>
      <c r="M37" s="99">
        <f t="shared" si="14"/>
        <v>1.5352818594097206E-2</v>
      </c>
      <c r="N37" s="97">
        <f t="shared" si="20"/>
        <v>94378.101345216637</v>
      </c>
      <c r="O37" s="98">
        <f t="shared" si="15"/>
        <v>1448.9698692084326</v>
      </c>
      <c r="P37" s="100">
        <f t="shared" si="21"/>
        <v>2.644258956493708</v>
      </c>
      <c r="Q37" s="97">
        <f t="shared" si="16"/>
        <v>468477.10893438495</v>
      </c>
      <c r="R37" s="97">
        <f t="shared" si="17"/>
        <v>3311280.5490302569</v>
      </c>
      <c r="S37" s="96">
        <f t="shared" si="18"/>
        <v>35.085263443881331</v>
      </c>
      <c r="T37" s="95">
        <f t="shared" si="19"/>
        <v>8.4650443881329807E-2</v>
      </c>
    </row>
    <row r="38" spans="2:23" x14ac:dyDescent="0.25">
      <c r="B38" s="102">
        <v>50</v>
      </c>
      <c r="C38" s="101">
        <v>5</v>
      </c>
      <c r="D38" s="121">
        <f>'Defunciones generales'!D89</f>
        <v>1294</v>
      </c>
      <c r="E38" s="121">
        <f>Homicidios!D1229</f>
        <v>7</v>
      </c>
      <c r="F38" s="96">
        <f t="shared" si="11"/>
        <v>0.99459041731066455</v>
      </c>
      <c r="G38" s="123">
        <f>LT!G33</f>
        <v>92719.86</v>
      </c>
      <c r="H38" s="124">
        <f>1-LT!E33</f>
        <v>0.97775083600000001</v>
      </c>
      <c r="I38" s="100">
        <f t="shared" si="12"/>
        <v>2.2249163999999988E-2</v>
      </c>
      <c r="J38" s="125">
        <f>LT!F33</f>
        <v>2.5</v>
      </c>
      <c r="K38" s="129">
        <f>LT!K33</f>
        <v>30.515305999999999</v>
      </c>
      <c r="L38" s="100">
        <f t="shared" si="13"/>
        <v>0.9778698529533143</v>
      </c>
      <c r="M38" s="99">
        <f t="shared" si="14"/>
        <v>2.21301470466857E-2</v>
      </c>
      <c r="N38" s="97">
        <f t="shared" si="20"/>
        <v>92929.131476008202</v>
      </c>
      <c r="O38" s="98">
        <f t="shared" si="15"/>
        <v>2056.5353444848502</v>
      </c>
      <c r="P38" s="100">
        <f t="shared" si="21"/>
        <v>2.6332256229233755</v>
      </c>
      <c r="Q38" s="97">
        <f t="shared" si="16"/>
        <v>459778.30222116184</v>
      </c>
      <c r="R38" s="97">
        <f t="shared" si="17"/>
        <v>2842803.4400958722</v>
      </c>
      <c r="S38" s="96">
        <f t="shared" si="18"/>
        <v>30.591090166702003</v>
      </c>
      <c r="T38" s="95">
        <f t="shared" si="19"/>
        <v>7.578416670200383E-2</v>
      </c>
    </row>
    <row r="39" spans="2:23" x14ac:dyDescent="0.25">
      <c r="B39" s="102">
        <v>55</v>
      </c>
      <c r="C39" s="101">
        <v>5</v>
      </c>
      <c r="D39" s="121">
        <f>'Defunciones generales'!D90</f>
        <v>1715</v>
      </c>
      <c r="E39" s="121">
        <f>Homicidios!D1230</f>
        <v>4</v>
      </c>
      <c r="F39" s="96">
        <f t="shared" si="11"/>
        <v>0.997667638483965</v>
      </c>
      <c r="G39" s="123">
        <f>LT!G34</f>
        <v>90656.92</v>
      </c>
      <c r="H39" s="124">
        <f>1-LT!E34</f>
        <v>0.96951279300000004</v>
      </c>
      <c r="I39" s="100">
        <f t="shared" si="12"/>
        <v>3.0487206999999961E-2</v>
      </c>
      <c r="J39" s="125">
        <f>LT!F34</f>
        <v>2.5</v>
      </c>
      <c r="K39" s="129">
        <f>LT!K34</f>
        <v>26.152806000000002</v>
      </c>
      <c r="L39" s="100">
        <f t="shared" si="13"/>
        <v>0.96958280760014892</v>
      </c>
      <c r="M39" s="99">
        <f t="shared" si="14"/>
        <v>3.0417192399851078E-2</v>
      </c>
      <c r="N39" s="97">
        <f t="shared" si="20"/>
        <v>90872.596131523358</v>
      </c>
      <c r="O39" s="98">
        <f t="shared" si="15"/>
        <v>2764.0892404065089</v>
      </c>
      <c r="P39" s="100">
        <f t="shared" si="21"/>
        <v>2.6652161703652824</v>
      </c>
      <c r="Q39" s="97">
        <f t="shared" si="16"/>
        <v>447909.42979544838</v>
      </c>
      <c r="R39" s="97">
        <f t="shared" si="17"/>
        <v>2383025.1378747104</v>
      </c>
      <c r="S39" s="96">
        <f t="shared" si="18"/>
        <v>26.22380386740209</v>
      </c>
      <c r="T39" s="95">
        <f t="shared" si="19"/>
        <v>7.0997867402088133E-2</v>
      </c>
    </row>
    <row r="40" spans="2:23" x14ac:dyDescent="0.25">
      <c r="B40" s="102">
        <v>60</v>
      </c>
      <c r="C40" s="101">
        <v>5</v>
      </c>
      <c r="D40" s="121">
        <f>'Defunciones generales'!D91</f>
        <v>2222</v>
      </c>
      <c r="E40" s="121">
        <f>Homicidios!D1231</f>
        <v>5</v>
      </c>
      <c r="F40" s="96">
        <f t="shared" si="11"/>
        <v>0.99774977497749773</v>
      </c>
      <c r="G40" s="123">
        <f>LT!G35</f>
        <v>87893.04</v>
      </c>
      <c r="H40" s="124">
        <f>1-LT!E35</f>
        <v>0.95167426300000002</v>
      </c>
      <c r="I40" s="100">
        <f t="shared" si="12"/>
        <v>4.832573699999998E-2</v>
      </c>
      <c r="J40" s="125">
        <f>LT!F35</f>
        <v>2.5</v>
      </c>
      <c r="K40" s="129">
        <f>LT!K35</f>
        <v>21.89659</v>
      </c>
      <c r="L40" s="100">
        <f t="shared" si="13"/>
        <v>0.95178034175287052</v>
      </c>
      <c r="M40" s="99">
        <f t="shared" si="14"/>
        <v>4.8219658247129482E-2</v>
      </c>
      <c r="N40" s="97">
        <f t="shared" si="20"/>
        <v>88108.506891116849</v>
      </c>
      <c r="O40" s="98">
        <f t="shared" si="15"/>
        <v>4248.5620909545078</v>
      </c>
      <c r="P40" s="100">
        <f t="shared" si="21"/>
        <v>2.6750344712781589</v>
      </c>
      <c r="Q40" s="97">
        <f t="shared" si="16"/>
        <v>430664.77404748061</v>
      </c>
      <c r="R40" s="97">
        <f t="shared" si="17"/>
        <v>1935115.7080792619</v>
      </c>
      <c r="S40" s="96">
        <f t="shared" si="18"/>
        <v>21.962870287549514</v>
      </c>
      <c r="T40" s="95">
        <f t="shared" si="19"/>
        <v>6.6280287549513872E-2</v>
      </c>
    </row>
    <row r="41" spans="2:23" x14ac:dyDescent="0.25">
      <c r="B41" s="102">
        <v>65</v>
      </c>
      <c r="C41" s="101">
        <v>5</v>
      </c>
      <c r="D41" s="121">
        <f>'Defunciones generales'!D92</f>
        <v>2715</v>
      </c>
      <c r="E41" s="121">
        <f>Homicidios!D1232</f>
        <v>3</v>
      </c>
      <c r="F41" s="96">
        <f t="shared" si="11"/>
        <v>0.99889502762430937</v>
      </c>
      <c r="G41" s="123">
        <f>LT!G36</f>
        <v>83645.539999999994</v>
      </c>
      <c r="H41" s="124">
        <f>1-LT!E36</f>
        <v>0.92439395499999999</v>
      </c>
      <c r="I41" s="100">
        <f t="shared" si="12"/>
        <v>7.5606045000000011E-2</v>
      </c>
      <c r="J41" s="125">
        <f>LT!F36</f>
        <v>2.5</v>
      </c>
      <c r="K41" s="129">
        <f>LT!K36</f>
        <v>17.881544000000002</v>
      </c>
      <c r="L41" s="100">
        <f t="shared" si="13"/>
        <v>0.92447426017205081</v>
      </c>
      <c r="M41" s="99">
        <f t="shared" si="14"/>
        <v>7.552573982794919E-2</v>
      </c>
      <c r="N41" s="97">
        <f t="shared" si="20"/>
        <v>83859.944800162339</v>
      </c>
      <c r="O41" s="98">
        <f t="shared" si="15"/>
        <v>6333.5843729632415</v>
      </c>
      <c r="P41" s="100">
        <f t="shared" si="21"/>
        <v>2.6974042828985403</v>
      </c>
      <c r="Q41" s="97">
        <f t="shared" si="16"/>
        <v>404716.03974972578</v>
      </c>
      <c r="R41" s="97">
        <f t="shared" si="17"/>
        <v>1504450.9340317813</v>
      </c>
      <c r="S41" s="96">
        <f t="shared" si="18"/>
        <v>17.940042026224525</v>
      </c>
      <c r="T41" s="95">
        <f t="shared" si="19"/>
        <v>5.8498026224523159E-2</v>
      </c>
    </row>
    <row r="42" spans="2:23" x14ac:dyDescent="0.25">
      <c r="B42" s="102">
        <v>70</v>
      </c>
      <c r="C42" s="101">
        <v>5</v>
      </c>
      <c r="D42" s="121">
        <f>'Defunciones generales'!D93</f>
        <v>3068</v>
      </c>
      <c r="E42" s="121">
        <f>Homicidios!D1233</f>
        <v>2</v>
      </c>
      <c r="F42" s="96">
        <f t="shared" si="11"/>
        <v>0.999348109517601</v>
      </c>
      <c r="G42" s="123">
        <f>LT!G37</f>
        <v>77321.440000000002</v>
      </c>
      <c r="H42" s="124">
        <f>1-LT!E37</f>
        <v>0.86770805299999998</v>
      </c>
      <c r="I42" s="100">
        <f t="shared" si="12"/>
        <v>0.13229194700000002</v>
      </c>
      <c r="J42" s="125">
        <f>LT!F37</f>
        <v>2.5</v>
      </c>
      <c r="K42" s="129">
        <f>LT!K37</f>
        <v>14.139597999999999</v>
      </c>
      <c r="L42" s="100">
        <f t="shared" si="13"/>
        <v>0.86778832251610394</v>
      </c>
      <c r="M42" s="99">
        <f t="shared" si="14"/>
        <v>0.13221167748389606</v>
      </c>
      <c r="N42" s="97">
        <f t="shared" si="20"/>
        <v>77526.360427199092</v>
      </c>
      <c r="O42" s="98">
        <f t="shared" si="15"/>
        <v>10249.890161301129</v>
      </c>
      <c r="P42" s="100">
        <f t="shared" si="21"/>
        <v>2.6659245071829649</v>
      </c>
      <c r="Q42" s="97">
        <f t="shared" si="16"/>
        <v>363707.7847064361</v>
      </c>
      <c r="R42" s="97">
        <f t="shared" si="17"/>
        <v>1099734.8942820556</v>
      </c>
      <c r="S42" s="96">
        <f t="shared" si="18"/>
        <v>14.185302756663761</v>
      </c>
      <c r="T42" s="95">
        <f t="shared" si="19"/>
        <v>4.5704756663761614E-2</v>
      </c>
    </row>
    <row r="43" spans="2:23" x14ac:dyDescent="0.25">
      <c r="B43" s="102">
        <v>75</v>
      </c>
      <c r="C43" s="101">
        <v>5</v>
      </c>
      <c r="D43" s="121">
        <f>'Defunciones generales'!D94</f>
        <v>3311</v>
      </c>
      <c r="E43" s="121">
        <f>Homicidios!D1234</f>
        <v>1</v>
      </c>
      <c r="F43" s="96">
        <f t="shared" si="11"/>
        <v>0.99969797644216252</v>
      </c>
      <c r="G43" s="123">
        <f>LT!G38</f>
        <v>67092.429999999993</v>
      </c>
      <c r="H43" s="124">
        <f>1-LT!E38</f>
        <v>0.78445878300000005</v>
      </c>
      <c r="I43" s="100">
        <f t="shared" si="12"/>
        <v>0.21554121699999995</v>
      </c>
      <c r="J43" s="125">
        <f>LT!F38</f>
        <v>2.5</v>
      </c>
      <c r="K43" s="129">
        <f>LT!K38</f>
        <v>10.914187</v>
      </c>
      <c r="L43" s="100">
        <f t="shared" si="13"/>
        <v>0.78451630132504058</v>
      </c>
      <c r="M43" s="99">
        <f t="shared" si="14"/>
        <v>0.21548369867495942</v>
      </c>
      <c r="N43" s="97">
        <f t="shared" si="20"/>
        <v>67276.470265897966</v>
      </c>
      <c r="O43" s="98">
        <f t="shared" si="15"/>
        <v>14496.982646691624</v>
      </c>
      <c r="P43" s="100">
        <f>(((-5/24)*O42)+((2.5)*O43)+((5/24)*O44))/O43</f>
        <v>2.613511017139126</v>
      </c>
      <c r="Q43" s="97">
        <f t="shared" si="16"/>
        <v>301785.46195843496</v>
      </c>
      <c r="R43" s="97">
        <f t="shared" si="17"/>
        <v>736027.10957561934</v>
      </c>
      <c r="S43" s="96">
        <f t="shared" si="18"/>
        <v>10.940334810470979</v>
      </c>
      <c r="T43" s="95">
        <f t="shared" si="19"/>
        <v>2.6147810470979138E-2</v>
      </c>
    </row>
    <row r="44" spans="2:23" x14ac:dyDescent="0.25">
      <c r="B44" s="102">
        <v>80</v>
      </c>
      <c r="C44" s="101">
        <v>5</v>
      </c>
      <c r="D44" s="121">
        <f>'Defunciones generales'!D95</f>
        <v>3782</v>
      </c>
      <c r="E44" s="121">
        <f>Homicidios!D1235</f>
        <v>2</v>
      </c>
      <c r="F44" s="96">
        <f t="shared" si="11"/>
        <v>0.99947117927022744</v>
      </c>
      <c r="G44" s="123">
        <f>LT!G39</f>
        <v>52631.25</v>
      </c>
      <c r="H44" s="124">
        <f>1-LT!E39</f>
        <v>0.655996413</v>
      </c>
      <c r="I44" s="100">
        <f t="shared" si="12"/>
        <v>0.344003587</v>
      </c>
      <c r="J44" s="125">
        <f>LT!F39</f>
        <v>2.5</v>
      </c>
      <c r="K44" s="129">
        <f>LT!K39</f>
        <v>8.2261039999999994</v>
      </c>
      <c r="L44" s="100">
        <f t="shared" si="13"/>
        <v>0.65614268422846211</v>
      </c>
      <c r="M44" s="99">
        <f t="shared" si="14"/>
        <v>0.34385731577153789</v>
      </c>
      <c r="N44" s="97">
        <f t="shared" si="20"/>
        <v>52779.487619206338</v>
      </c>
      <c r="O44" s="98">
        <f t="shared" si="15"/>
        <v>18148.612940537409</v>
      </c>
      <c r="P44" s="98">
        <f>C44+(F44*(I44/M44)*(J44-C44))</f>
        <v>2.5002591554536195</v>
      </c>
      <c r="Q44" s="97">
        <f t="shared" si="16"/>
        <v>218530.60905670733</v>
      </c>
      <c r="R44" s="97">
        <f t="shared" si="17"/>
        <v>434241.64761718438</v>
      </c>
      <c r="S44" s="96">
        <f t="shared" si="18"/>
        <v>8.2274699358613095</v>
      </c>
      <c r="T44" s="95">
        <f t="shared" si="19"/>
        <v>1.3659358613100636E-3</v>
      </c>
    </row>
    <row r="45" spans="2:23" x14ac:dyDescent="0.25">
      <c r="B45" s="94">
        <v>85</v>
      </c>
      <c r="C45" s="93">
        <v>5</v>
      </c>
      <c r="D45" s="122">
        <f>'Defunciones generales'!D96</f>
        <v>8650</v>
      </c>
      <c r="E45" s="122">
        <f>Homicidios!D1236</f>
        <v>1</v>
      </c>
      <c r="F45" s="88">
        <f t="shared" si="11"/>
        <v>0.99988439306358379</v>
      </c>
      <c r="G45" s="123">
        <f>LT!G40</f>
        <v>34525.910000000003</v>
      </c>
      <c r="H45" s="124">
        <f>1-LT!E40</f>
        <v>0</v>
      </c>
      <c r="I45" s="92">
        <f t="shared" si="12"/>
        <v>1</v>
      </c>
      <c r="J45" s="125" t="str">
        <f>LT!F40</f>
        <v>NA</v>
      </c>
      <c r="K45" s="129">
        <f>LT!K40</f>
        <v>6.2288649999999999</v>
      </c>
      <c r="L45" s="92">
        <f t="shared" si="13"/>
        <v>0</v>
      </c>
      <c r="M45" s="91">
        <f t="shared" si="14"/>
        <v>1</v>
      </c>
      <c r="N45" s="89">
        <f t="shared" si="20"/>
        <v>34630.87467866893</v>
      </c>
      <c r="O45" s="90">
        <f t="shared" si="15"/>
        <v>34630.87467866893</v>
      </c>
      <c r="P45" s="92">
        <f>K45/F45</f>
        <v>6.2295851832581803</v>
      </c>
      <c r="Q45" s="126">
        <f>N45/LT!D40</f>
        <v>215711.03856047706</v>
      </c>
      <c r="R45" s="89">
        <f>Q45</f>
        <v>215711.03856047706</v>
      </c>
      <c r="S45" s="88">
        <f t="shared" si="18"/>
        <v>6.2288648658748835</v>
      </c>
      <c r="T45" s="87">
        <f t="shared" si="19"/>
        <v>-1.3412511634669499E-7</v>
      </c>
    </row>
  </sheetData>
  <mergeCells count="4">
    <mergeCell ref="V28:W30"/>
    <mergeCell ref="B24:T24"/>
    <mergeCell ref="B2:T2"/>
    <mergeCell ref="V5:W7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26464-BB10-5E4B-98BB-55EFEA55309B}">
  <dimension ref="A1:M118"/>
  <sheetViews>
    <sheetView topLeftCell="A26" workbookViewId="0">
      <selection activeCell="N9" sqref="N9"/>
    </sheetView>
  </sheetViews>
  <sheetFormatPr baseColWidth="10" defaultRowHeight="15" x14ac:dyDescent="0.25"/>
  <sheetData>
    <row r="1" spans="1:11" x14ac:dyDescent="0.25">
      <c r="A1" t="s">
        <v>116</v>
      </c>
      <c r="B1" t="s">
        <v>117</v>
      </c>
      <c r="C1" t="s">
        <v>118</v>
      </c>
      <c r="D1" t="s">
        <v>122</v>
      </c>
      <c r="E1" t="s">
        <v>123</v>
      </c>
      <c r="F1" t="s">
        <v>124</v>
      </c>
      <c r="G1" t="s">
        <v>125</v>
      </c>
      <c r="H1" t="s">
        <v>126</v>
      </c>
      <c r="I1" t="s">
        <v>127</v>
      </c>
      <c r="J1" t="s">
        <v>128</v>
      </c>
      <c r="K1" t="s">
        <v>129</v>
      </c>
    </row>
    <row r="2" spans="1:11" ht="15.75" thickBot="1" x14ac:dyDescent="0.3">
      <c r="A2" s="141">
        <v>2019</v>
      </c>
      <c r="B2" s="141" t="s">
        <v>135</v>
      </c>
      <c r="C2" s="141">
        <v>0</v>
      </c>
      <c r="D2" s="143">
        <v>2.0924761300000001E-2</v>
      </c>
      <c r="E2" s="143">
        <v>2.0538474000000001E-2</v>
      </c>
      <c r="F2" s="143">
        <v>0.1011621</v>
      </c>
      <c r="G2" s="143">
        <v>100000</v>
      </c>
      <c r="H2" s="143">
        <v>2053.8474000000001</v>
      </c>
      <c r="I2" s="143">
        <v>98153.919999999998</v>
      </c>
      <c r="J2" s="143">
        <v>7149188.2999999998</v>
      </c>
      <c r="K2" s="143">
        <v>71.491883000000001</v>
      </c>
    </row>
    <row r="3" spans="1:11" ht="15.75" thickBot="1" x14ac:dyDescent="0.3">
      <c r="A3" s="141">
        <v>2019</v>
      </c>
      <c r="B3" s="141" t="s">
        <v>135</v>
      </c>
      <c r="C3" s="141">
        <v>1</v>
      </c>
      <c r="D3" s="143">
        <v>8.4875700000000001E-4</v>
      </c>
      <c r="E3" s="143">
        <v>3.3881039999999999E-3</v>
      </c>
      <c r="F3" s="143">
        <v>1.5920759</v>
      </c>
      <c r="G3" s="143">
        <v>97946.15</v>
      </c>
      <c r="H3" s="143">
        <v>331.85169999999999</v>
      </c>
      <c r="I3" s="143">
        <v>390985.54</v>
      </c>
      <c r="J3" s="143">
        <v>7051034.2999999998</v>
      </c>
      <c r="K3" s="143">
        <v>71.988884999999996</v>
      </c>
    </row>
    <row r="4" spans="1:11" ht="15.75" thickBot="1" x14ac:dyDescent="0.3">
      <c r="A4" s="141">
        <v>2019</v>
      </c>
      <c r="B4" s="141" t="s">
        <v>135</v>
      </c>
      <c r="C4" s="141">
        <v>5</v>
      </c>
      <c r="D4" s="143">
        <v>4.447683E-4</v>
      </c>
      <c r="E4" s="143">
        <v>2.2213710000000002E-3</v>
      </c>
      <c r="F4" s="143">
        <v>2.5</v>
      </c>
      <c r="G4" s="143">
        <v>97614.3</v>
      </c>
      <c r="H4" s="143">
        <v>216.83760000000001</v>
      </c>
      <c r="I4" s="143">
        <v>487529.41</v>
      </c>
      <c r="J4" s="143">
        <v>6660048.7999999998</v>
      </c>
      <c r="K4" s="143">
        <v>68.228207999999995</v>
      </c>
    </row>
    <row r="5" spans="1:11" ht="15.75" thickBot="1" x14ac:dyDescent="0.3">
      <c r="A5" s="141">
        <v>2019</v>
      </c>
      <c r="B5" s="141" t="s">
        <v>135</v>
      </c>
      <c r="C5" s="141">
        <v>10</v>
      </c>
      <c r="D5" s="143">
        <v>4.1313150000000002E-4</v>
      </c>
      <c r="E5" s="143">
        <v>2.063526E-3</v>
      </c>
      <c r="F5" s="143">
        <v>2.5</v>
      </c>
      <c r="G5" s="143">
        <v>97397.46</v>
      </c>
      <c r="H5" s="143">
        <v>200.98220000000001</v>
      </c>
      <c r="I5" s="143">
        <v>486484.86</v>
      </c>
      <c r="J5" s="143">
        <v>6172519.4000000004</v>
      </c>
      <c r="K5" s="143">
        <v>63.374540000000003</v>
      </c>
    </row>
    <row r="6" spans="1:11" ht="15.75" thickBot="1" x14ac:dyDescent="0.3">
      <c r="A6" s="141">
        <v>2019</v>
      </c>
      <c r="B6" s="141" t="s">
        <v>135</v>
      </c>
      <c r="C6" s="141">
        <v>15</v>
      </c>
      <c r="D6" s="143">
        <v>1.3374979000000001E-3</v>
      </c>
      <c r="E6" s="143">
        <v>6.6652029999999998E-3</v>
      </c>
      <c r="F6" s="143">
        <v>2.5</v>
      </c>
      <c r="G6" s="143">
        <v>97196.479999999996</v>
      </c>
      <c r="H6" s="143">
        <v>647.83429999999998</v>
      </c>
      <c r="I6" s="143">
        <v>484362.82</v>
      </c>
      <c r="J6" s="143">
        <v>5686034.5</v>
      </c>
      <c r="K6" s="143">
        <v>58.500416000000001</v>
      </c>
    </row>
    <row r="7" spans="1:11" ht="15.75" thickBot="1" x14ac:dyDescent="0.3">
      <c r="A7" s="141">
        <v>2019</v>
      </c>
      <c r="B7" s="141" t="s">
        <v>135</v>
      </c>
      <c r="C7" s="141">
        <v>20</v>
      </c>
      <c r="D7" s="143">
        <v>1.7646663999999999E-3</v>
      </c>
      <c r="E7" s="143">
        <v>8.784577E-3</v>
      </c>
      <c r="F7" s="143">
        <v>2.5</v>
      </c>
      <c r="G7" s="143">
        <v>96548.65</v>
      </c>
      <c r="H7" s="143">
        <v>848.13909999999998</v>
      </c>
      <c r="I7" s="143">
        <v>480622.89</v>
      </c>
      <c r="J7" s="143">
        <v>5201671.7</v>
      </c>
      <c r="K7" s="143">
        <v>53.876173999999999</v>
      </c>
    </row>
    <row r="8" spans="1:11" ht="15.75" thickBot="1" x14ac:dyDescent="0.3">
      <c r="A8" s="141">
        <v>2019</v>
      </c>
      <c r="B8" s="141" t="s">
        <v>135</v>
      </c>
      <c r="C8" s="141">
        <v>25</v>
      </c>
      <c r="D8" s="143">
        <v>1.9440411999999999E-3</v>
      </c>
      <c r="E8" s="143">
        <v>9.6731930000000001E-3</v>
      </c>
      <c r="F8" s="143">
        <v>2.5</v>
      </c>
      <c r="G8" s="143">
        <v>95700.51</v>
      </c>
      <c r="H8" s="143">
        <v>925.72950000000003</v>
      </c>
      <c r="I8" s="143">
        <v>476188.21</v>
      </c>
      <c r="J8" s="143">
        <v>4721048.8</v>
      </c>
      <c r="K8" s="143">
        <v>49.331491999999997</v>
      </c>
    </row>
    <row r="9" spans="1:11" ht="15.75" thickBot="1" x14ac:dyDescent="0.3">
      <c r="A9" s="141">
        <v>2019</v>
      </c>
      <c r="B9" s="141" t="s">
        <v>135</v>
      </c>
      <c r="C9" s="141">
        <v>30</v>
      </c>
      <c r="D9" s="143">
        <v>2.3053343000000001E-3</v>
      </c>
      <c r="E9" s="143">
        <v>1.1460619999999999E-2</v>
      </c>
      <c r="F9" s="143">
        <v>2.5</v>
      </c>
      <c r="G9" s="143">
        <v>94774.78</v>
      </c>
      <c r="H9" s="143">
        <v>1086.1777</v>
      </c>
      <c r="I9" s="143">
        <v>471158.45</v>
      </c>
      <c r="J9" s="143">
        <v>4244860.5999999996</v>
      </c>
      <c r="K9" s="143">
        <v>44.788927000000001</v>
      </c>
    </row>
    <row r="10" spans="1:11" ht="15.75" thickBot="1" x14ac:dyDescent="0.3">
      <c r="A10" s="141">
        <v>2019</v>
      </c>
      <c r="B10" s="141" t="s">
        <v>135</v>
      </c>
      <c r="C10" s="141">
        <v>35</v>
      </c>
      <c r="D10" s="143">
        <v>2.892646E-3</v>
      </c>
      <c r="E10" s="143">
        <v>1.4359389E-2</v>
      </c>
      <c r="F10" s="143">
        <v>2.5</v>
      </c>
      <c r="G10" s="143">
        <v>93688.6</v>
      </c>
      <c r="H10" s="143">
        <v>1345.3109999999999</v>
      </c>
      <c r="I10" s="143">
        <v>465079.72</v>
      </c>
      <c r="J10" s="143">
        <v>3773702.2</v>
      </c>
      <c r="K10" s="143">
        <v>40.279203000000003</v>
      </c>
    </row>
    <row r="11" spans="1:11" ht="15.75" thickBot="1" x14ac:dyDescent="0.3">
      <c r="A11" s="141">
        <v>2019</v>
      </c>
      <c r="B11" s="141" t="s">
        <v>135</v>
      </c>
      <c r="C11" s="141">
        <v>40</v>
      </c>
      <c r="D11" s="143">
        <v>3.7950273E-3</v>
      </c>
      <c r="E11" s="143">
        <v>1.8796800999999998E-2</v>
      </c>
      <c r="F11" s="143">
        <v>2.5</v>
      </c>
      <c r="G11" s="143">
        <v>92343.29</v>
      </c>
      <c r="H11" s="143">
        <v>1735.7583999999999</v>
      </c>
      <c r="I11" s="143">
        <v>457377.05</v>
      </c>
      <c r="J11" s="143">
        <v>3308622.4</v>
      </c>
      <c r="K11" s="143">
        <v>35.829593000000003</v>
      </c>
    </row>
    <row r="12" spans="1:11" ht="15.75" thickBot="1" x14ac:dyDescent="0.3">
      <c r="A12" s="141">
        <v>2019</v>
      </c>
      <c r="B12" s="141" t="s">
        <v>135</v>
      </c>
      <c r="C12" s="141">
        <v>45</v>
      </c>
      <c r="D12" s="143">
        <v>4.8225259999999997E-3</v>
      </c>
      <c r="E12" s="143">
        <v>2.3825382999999999E-2</v>
      </c>
      <c r="F12" s="143">
        <v>2.5</v>
      </c>
      <c r="G12" s="143">
        <v>90607.53</v>
      </c>
      <c r="H12" s="143">
        <v>2158.7592</v>
      </c>
      <c r="I12" s="143">
        <v>447640.76</v>
      </c>
      <c r="J12" s="143">
        <v>2851245.4</v>
      </c>
      <c r="K12" s="143">
        <v>31.468084000000001</v>
      </c>
    </row>
    <row r="13" spans="1:11" ht="15.75" thickBot="1" x14ac:dyDescent="0.3">
      <c r="A13" s="141">
        <v>2019</v>
      </c>
      <c r="B13" s="141" t="s">
        <v>135</v>
      </c>
      <c r="C13" s="141">
        <v>50</v>
      </c>
      <c r="D13" s="143">
        <v>6.6950895999999998E-3</v>
      </c>
      <c r="E13" s="143">
        <v>3.2924369000000002E-2</v>
      </c>
      <c r="F13" s="143">
        <v>2.5</v>
      </c>
      <c r="G13" s="143">
        <v>88448.77</v>
      </c>
      <c r="H13" s="143">
        <v>2912.12</v>
      </c>
      <c r="I13" s="143">
        <v>434963.56</v>
      </c>
      <c r="J13" s="143">
        <v>2403604.6</v>
      </c>
      <c r="K13" s="143">
        <v>27.175104999999999</v>
      </c>
    </row>
    <row r="14" spans="1:11" ht="15.75" thickBot="1" x14ac:dyDescent="0.3">
      <c r="A14" s="141">
        <v>2019</v>
      </c>
      <c r="B14" s="141" t="s">
        <v>135</v>
      </c>
      <c r="C14" s="141">
        <v>55</v>
      </c>
      <c r="D14" s="143">
        <v>9.3328227999999996E-3</v>
      </c>
      <c r="E14" s="143">
        <v>4.5600168000000003E-2</v>
      </c>
      <c r="F14" s="143">
        <v>2.5</v>
      </c>
      <c r="G14" s="143">
        <v>85536.65</v>
      </c>
      <c r="H14" s="143">
        <v>3900.4857000000002</v>
      </c>
      <c r="I14" s="143">
        <v>417932.05</v>
      </c>
      <c r="J14" s="143">
        <v>1968641.1</v>
      </c>
      <c r="K14" s="143">
        <v>23.015176</v>
      </c>
    </row>
    <row r="15" spans="1:11" ht="15.75" thickBot="1" x14ac:dyDescent="0.3">
      <c r="A15" s="141">
        <v>2019</v>
      </c>
      <c r="B15" s="141" t="s">
        <v>135</v>
      </c>
      <c r="C15" s="141">
        <v>60</v>
      </c>
      <c r="D15" s="143">
        <v>1.50279399E-2</v>
      </c>
      <c r="E15" s="143">
        <v>7.2418931000000006E-2</v>
      </c>
      <c r="F15" s="143">
        <v>2.5</v>
      </c>
      <c r="G15" s="143">
        <v>81636.17</v>
      </c>
      <c r="H15" s="143">
        <v>5912.0038999999997</v>
      </c>
      <c r="I15" s="143">
        <v>393400.82</v>
      </c>
      <c r="J15" s="143">
        <v>1550709</v>
      </c>
      <c r="K15" s="143">
        <v>18.995367999999999</v>
      </c>
    </row>
    <row r="16" spans="1:11" ht="15.75" thickBot="1" x14ac:dyDescent="0.3">
      <c r="A16" s="141">
        <v>2019</v>
      </c>
      <c r="B16" s="141" t="s">
        <v>135</v>
      </c>
      <c r="C16" s="141">
        <v>65</v>
      </c>
      <c r="D16" s="143">
        <v>2.4326812999999999E-2</v>
      </c>
      <c r="E16" s="143">
        <v>0.114660739</v>
      </c>
      <c r="F16" s="143">
        <v>2.5</v>
      </c>
      <c r="G16" s="143">
        <v>75724.160000000003</v>
      </c>
      <c r="H16" s="143">
        <v>8682.5884000000005</v>
      </c>
      <c r="I16" s="143">
        <v>356914.34</v>
      </c>
      <c r="J16" s="143">
        <v>1157308.2</v>
      </c>
      <c r="K16" s="143">
        <v>15.283208999999999</v>
      </c>
    </row>
    <row r="17" spans="1:11" ht="15.75" thickBot="1" x14ac:dyDescent="0.3">
      <c r="A17" s="141">
        <v>2019</v>
      </c>
      <c r="B17" s="141" t="s">
        <v>135</v>
      </c>
      <c r="C17" s="141">
        <v>70</v>
      </c>
      <c r="D17" s="143">
        <v>4.17993719E-2</v>
      </c>
      <c r="E17" s="143">
        <v>0.18922332</v>
      </c>
      <c r="F17" s="143">
        <v>2.5</v>
      </c>
      <c r="G17" s="143">
        <v>67041.570000000007</v>
      </c>
      <c r="H17" s="143">
        <v>12685.8292</v>
      </c>
      <c r="I17" s="143">
        <v>303493.3</v>
      </c>
      <c r="J17" s="143">
        <v>800393.9</v>
      </c>
      <c r="K17" s="143">
        <v>11.938769000000001</v>
      </c>
    </row>
    <row r="18" spans="1:11" ht="15.75" thickBot="1" x14ac:dyDescent="0.3">
      <c r="A18" s="141">
        <v>2019</v>
      </c>
      <c r="B18" s="141" t="s">
        <v>135</v>
      </c>
      <c r="C18" s="141">
        <v>75</v>
      </c>
      <c r="D18" s="143">
        <v>6.7614876599999998E-2</v>
      </c>
      <c r="E18" s="143">
        <v>0.28919044300000002</v>
      </c>
      <c r="F18" s="143">
        <v>2.5</v>
      </c>
      <c r="G18" s="143">
        <v>54355.74</v>
      </c>
      <c r="H18" s="143">
        <v>15719.161899999999</v>
      </c>
      <c r="I18" s="143">
        <v>232480.82</v>
      </c>
      <c r="J18" s="143">
        <v>496900.6</v>
      </c>
      <c r="K18" s="143">
        <v>9.1416380000000004</v>
      </c>
    </row>
    <row r="19" spans="1:11" ht="15.75" thickBot="1" x14ac:dyDescent="0.3">
      <c r="A19" s="141">
        <v>2019</v>
      </c>
      <c r="B19" s="141" t="s">
        <v>135</v>
      </c>
      <c r="C19" s="141">
        <v>80</v>
      </c>
      <c r="D19" s="143">
        <v>0.1067765654</v>
      </c>
      <c r="E19" s="143">
        <v>0.42139503900000003</v>
      </c>
      <c r="F19" s="143">
        <v>2.5</v>
      </c>
      <c r="G19" s="143">
        <v>38636.58</v>
      </c>
      <c r="H19" s="143">
        <v>16281.264300000001</v>
      </c>
      <c r="I19" s="143">
        <v>152479.75</v>
      </c>
      <c r="J19" s="143">
        <v>264419.7</v>
      </c>
      <c r="K19" s="143">
        <v>6.8437659999999996</v>
      </c>
    </row>
    <row r="20" spans="1:11" ht="15.75" thickBot="1" x14ac:dyDescent="0.3">
      <c r="A20" s="141">
        <v>2019</v>
      </c>
      <c r="B20" s="141" t="s">
        <v>135</v>
      </c>
      <c r="C20" s="141">
        <v>85</v>
      </c>
      <c r="D20" s="143">
        <v>0.19970805729999999</v>
      </c>
      <c r="E20" s="143">
        <v>1</v>
      </c>
      <c r="F20" s="142" t="s">
        <v>131</v>
      </c>
      <c r="G20" s="143">
        <v>22355.32</v>
      </c>
      <c r="H20" s="143">
        <v>22355.318500000001</v>
      </c>
      <c r="I20" s="143">
        <v>111939.99</v>
      </c>
      <c r="J20" s="143">
        <v>111940</v>
      </c>
      <c r="K20" s="143">
        <v>5.0073090000000002</v>
      </c>
    </row>
    <row r="21" spans="1:11" x14ac:dyDescent="0.25">
      <c r="A21" t="s">
        <v>116</v>
      </c>
      <c r="B21" t="s">
        <v>117</v>
      </c>
      <c r="C21" t="s">
        <v>118</v>
      </c>
      <c r="D21" t="s">
        <v>122</v>
      </c>
      <c r="E21" t="s">
        <v>123</v>
      </c>
      <c r="F21" t="s">
        <v>124</v>
      </c>
      <c r="G21" t="s">
        <v>125</v>
      </c>
      <c r="H21" t="s">
        <v>126</v>
      </c>
      <c r="I21" t="s">
        <v>127</v>
      </c>
      <c r="J21" t="s">
        <v>128</v>
      </c>
      <c r="K21" t="s">
        <v>129</v>
      </c>
    </row>
    <row r="22" spans="1:11" ht="15.75" thickBot="1" x14ac:dyDescent="0.3">
      <c r="A22" s="138">
        <v>2019</v>
      </c>
      <c r="B22" s="138" t="s">
        <v>130</v>
      </c>
      <c r="C22" s="138">
        <v>0</v>
      </c>
      <c r="D22" s="139">
        <v>1.7362536800000002E-2</v>
      </c>
      <c r="E22" s="139">
        <v>1.7095870999999999E-2</v>
      </c>
      <c r="F22" s="139">
        <v>0.1016151</v>
      </c>
      <c r="G22" s="139">
        <v>100000</v>
      </c>
      <c r="H22" s="139">
        <v>1709.5871</v>
      </c>
      <c r="I22" s="139">
        <v>98464.13</v>
      </c>
      <c r="J22" s="139">
        <v>7657262.7000000002</v>
      </c>
      <c r="K22" s="139">
        <v>76.572626999999997</v>
      </c>
    </row>
    <row r="23" spans="1:11" ht="15.75" thickBot="1" x14ac:dyDescent="0.3">
      <c r="A23" s="138">
        <v>2019</v>
      </c>
      <c r="B23" s="138" t="s">
        <v>130</v>
      </c>
      <c r="C23" s="138">
        <v>1</v>
      </c>
      <c r="D23" s="139">
        <v>6.692321E-4</v>
      </c>
      <c r="E23" s="139">
        <v>2.6724489999999999E-3</v>
      </c>
      <c r="F23" s="139">
        <v>1.4956437</v>
      </c>
      <c r="G23" s="139">
        <v>98290.41</v>
      </c>
      <c r="H23" s="139">
        <v>262.67610000000002</v>
      </c>
      <c r="I23" s="139">
        <v>392503.82</v>
      </c>
      <c r="J23" s="139">
        <v>7558798.5999999996</v>
      </c>
      <c r="K23" s="139">
        <v>76.902704</v>
      </c>
    </row>
    <row r="24" spans="1:11" ht="15.75" thickBot="1" x14ac:dyDescent="0.3">
      <c r="A24" s="138">
        <v>2019</v>
      </c>
      <c r="B24" s="138" t="s">
        <v>130</v>
      </c>
      <c r="C24" s="138">
        <v>5</v>
      </c>
      <c r="D24" s="139">
        <v>3.5245490000000002E-4</v>
      </c>
      <c r="E24" s="139">
        <v>1.7607230000000001E-3</v>
      </c>
      <c r="F24" s="139">
        <v>2.5</v>
      </c>
      <c r="G24" s="139">
        <v>98027.74</v>
      </c>
      <c r="H24" s="139">
        <v>172.59970000000001</v>
      </c>
      <c r="I24" s="139">
        <v>489707.18</v>
      </c>
      <c r="J24" s="139">
        <v>7166294.7000000002</v>
      </c>
      <c r="K24" s="139">
        <v>73.104765999999998</v>
      </c>
    </row>
    <row r="25" spans="1:11" ht="15.75" thickBot="1" x14ac:dyDescent="0.3">
      <c r="A25" s="138">
        <v>2019</v>
      </c>
      <c r="B25" s="138" t="s">
        <v>130</v>
      </c>
      <c r="C25" s="138">
        <v>10</v>
      </c>
      <c r="D25" s="139">
        <v>3.1612520000000001E-4</v>
      </c>
      <c r="E25" s="139">
        <v>1.579378E-3</v>
      </c>
      <c r="F25" s="139">
        <v>2.5</v>
      </c>
      <c r="G25" s="139">
        <v>97855.14</v>
      </c>
      <c r="H25" s="139">
        <v>154.55029999999999</v>
      </c>
      <c r="I25" s="139">
        <v>488889.31</v>
      </c>
      <c r="J25" s="139">
        <v>6676587.5</v>
      </c>
      <c r="K25" s="139">
        <v>68.229299999999995</v>
      </c>
    </row>
    <row r="26" spans="1:11" ht="15.75" thickBot="1" x14ac:dyDescent="0.3">
      <c r="A26" s="138">
        <v>2019</v>
      </c>
      <c r="B26" s="138" t="s">
        <v>130</v>
      </c>
      <c r="C26" s="138">
        <v>15</v>
      </c>
      <c r="D26" s="139">
        <v>6.237975E-4</v>
      </c>
      <c r="E26" s="139">
        <v>3.114131E-3</v>
      </c>
      <c r="F26" s="139">
        <v>2.5</v>
      </c>
      <c r="G26" s="139">
        <v>97700.59</v>
      </c>
      <c r="H26" s="139">
        <v>304.25240000000002</v>
      </c>
      <c r="I26" s="139">
        <v>487742.3</v>
      </c>
      <c r="J26" s="139">
        <v>6187698.2000000002</v>
      </c>
      <c r="K26" s="139">
        <v>63.333275999999998</v>
      </c>
    </row>
    <row r="27" spans="1:11" ht="15.75" thickBot="1" x14ac:dyDescent="0.3">
      <c r="A27" s="138">
        <v>2019</v>
      </c>
      <c r="B27" s="138" t="s">
        <v>130</v>
      </c>
      <c r="C27" s="138">
        <v>20</v>
      </c>
      <c r="D27" s="139">
        <v>7.6574970000000005E-4</v>
      </c>
      <c r="E27" s="139">
        <v>3.8214329999999999E-3</v>
      </c>
      <c r="F27" s="139">
        <v>2.5</v>
      </c>
      <c r="G27" s="139">
        <v>97396.33</v>
      </c>
      <c r="H27" s="139">
        <v>372.19349999999997</v>
      </c>
      <c r="I27" s="139">
        <v>486051.19</v>
      </c>
      <c r="J27" s="139">
        <v>5699955.9000000004</v>
      </c>
      <c r="K27" s="139">
        <v>58.523311</v>
      </c>
    </row>
    <row r="28" spans="1:11" ht="15.75" thickBot="1" x14ac:dyDescent="0.3">
      <c r="A28" s="138">
        <v>2019</v>
      </c>
      <c r="B28" s="138" t="s">
        <v>130</v>
      </c>
      <c r="C28" s="138">
        <v>25</v>
      </c>
      <c r="D28" s="139">
        <v>9.1693969999999999E-4</v>
      </c>
      <c r="E28" s="139">
        <v>4.5742129999999997E-3</v>
      </c>
      <c r="F28" s="139">
        <v>2.5</v>
      </c>
      <c r="G28" s="139">
        <v>97024.14</v>
      </c>
      <c r="H28" s="139">
        <v>443.80900000000003</v>
      </c>
      <c r="I28" s="139">
        <v>484011.18</v>
      </c>
      <c r="J28" s="139">
        <v>5213904.7</v>
      </c>
      <c r="K28" s="139">
        <v>53.738221000000003</v>
      </c>
    </row>
    <row r="29" spans="1:11" ht="15.75" thickBot="1" x14ac:dyDescent="0.3">
      <c r="A29" s="138">
        <v>2019</v>
      </c>
      <c r="B29" s="138" t="s">
        <v>130</v>
      </c>
      <c r="C29" s="138">
        <v>30</v>
      </c>
      <c r="D29" s="139">
        <v>1.1880946E-3</v>
      </c>
      <c r="E29" s="139">
        <v>5.9228809999999996E-3</v>
      </c>
      <c r="F29" s="139">
        <v>2.5</v>
      </c>
      <c r="G29" s="139">
        <v>96580.33</v>
      </c>
      <c r="H29" s="139">
        <v>572.03380000000004</v>
      </c>
      <c r="I29" s="139">
        <v>481471.57</v>
      </c>
      <c r="J29" s="139">
        <v>4729893.5999999996</v>
      </c>
      <c r="K29" s="139">
        <v>48.973672999999998</v>
      </c>
    </row>
    <row r="30" spans="1:11" ht="15.75" thickBot="1" x14ac:dyDescent="0.3">
      <c r="A30" s="138">
        <v>2019</v>
      </c>
      <c r="B30" s="138" t="s">
        <v>130</v>
      </c>
      <c r="C30" s="138">
        <v>35</v>
      </c>
      <c r="D30" s="139">
        <v>1.5708478000000001E-3</v>
      </c>
      <c r="E30" s="139">
        <v>7.8235149999999996E-3</v>
      </c>
      <c r="F30" s="139">
        <v>2.5</v>
      </c>
      <c r="G30" s="139">
        <v>96008.3</v>
      </c>
      <c r="H30" s="139">
        <v>751.12239999999997</v>
      </c>
      <c r="I30" s="139">
        <v>478163.68</v>
      </c>
      <c r="J30" s="139">
        <v>4248422</v>
      </c>
      <c r="K30" s="139">
        <v>44.250571000000001</v>
      </c>
    </row>
    <row r="31" spans="1:11" ht="15.75" thickBot="1" x14ac:dyDescent="0.3">
      <c r="A31" s="138">
        <v>2019</v>
      </c>
      <c r="B31" s="138" t="s">
        <v>130</v>
      </c>
      <c r="C31" s="138">
        <v>40</v>
      </c>
      <c r="D31" s="139">
        <v>2.2570570999999998E-3</v>
      </c>
      <c r="E31" s="139">
        <v>1.1221963999999999E-2</v>
      </c>
      <c r="F31" s="139">
        <v>2.5</v>
      </c>
      <c r="G31" s="139">
        <v>95257.18</v>
      </c>
      <c r="H31" s="139">
        <v>1068.9726000000001</v>
      </c>
      <c r="I31" s="139">
        <v>473613.45</v>
      </c>
      <c r="J31" s="139">
        <v>3770258.3</v>
      </c>
      <c r="K31" s="139">
        <v>39.579782999999999</v>
      </c>
    </row>
    <row r="32" spans="1:11" ht="15.75" thickBot="1" x14ac:dyDescent="0.3">
      <c r="A32" s="138">
        <v>2019</v>
      </c>
      <c r="B32" s="138" t="s">
        <v>130</v>
      </c>
      <c r="C32" s="138">
        <v>45</v>
      </c>
      <c r="D32" s="139">
        <v>3.1423953999999998E-3</v>
      </c>
      <c r="E32" s="139">
        <v>1.5589506E-2</v>
      </c>
      <c r="F32" s="139">
        <v>2.5</v>
      </c>
      <c r="G32" s="139">
        <v>94188.2</v>
      </c>
      <c r="H32" s="139">
        <v>1468.3476000000001</v>
      </c>
      <c r="I32" s="139">
        <v>467270.15</v>
      </c>
      <c r="J32" s="139">
        <v>3296644.9</v>
      </c>
      <c r="K32" s="139">
        <v>35.000613000000001</v>
      </c>
    </row>
    <row r="33" spans="1:11" ht="15.75" thickBot="1" x14ac:dyDescent="0.3">
      <c r="A33" s="138">
        <v>2019</v>
      </c>
      <c r="B33" s="138" t="s">
        <v>130</v>
      </c>
      <c r="C33" s="138">
        <v>50</v>
      </c>
      <c r="D33" s="139">
        <v>4.4998922000000002E-3</v>
      </c>
      <c r="E33" s="139">
        <v>2.2249163999999998E-2</v>
      </c>
      <c r="F33" s="139">
        <v>2.5</v>
      </c>
      <c r="G33" s="139">
        <v>92719.86</v>
      </c>
      <c r="H33" s="139">
        <v>2062.9391999999998</v>
      </c>
      <c r="I33" s="139">
        <v>458441.93</v>
      </c>
      <c r="J33" s="139">
        <v>2829374.7</v>
      </c>
      <c r="K33" s="139">
        <v>30.515305999999999</v>
      </c>
    </row>
    <row r="34" spans="1:11" ht="15.75" thickBot="1" x14ac:dyDescent="0.3">
      <c r="A34" s="138">
        <v>2019</v>
      </c>
      <c r="B34" s="138" t="s">
        <v>130</v>
      </c>
      <c r="C34" s="138">
        <v>55</v>
      </c>
      <c r="D34" s="139">
        <v>6.1918271999999996E-3</v>
      </c>
      <c r="E34" s="139">
        <v>3.0487206999999999E-2</v>
      </c>
      <c r="F34" s="139">
        <v>2.5</v>
      </c>
      <c r="G34" s="139">
        <v>90656.92</v>
      </c>
      <c r="H34" s="139">
        <v>2763.8762000000002</v>
      </c>
      <c r="I34" s="139">
        <v>446374.89</v>
      </c>
      <c r="J34" s="139">
        <v>2370932.7999999998</v>
      </c>
      <c r="K34" s="139">
        <v>26.152806000000002</v>
      </c>
    </row>
    <row r="35" spans="1:11" ht="15.75" thickBot="1" x14ac:dyDescent="0.3">
      <c r="A35" s="138">
        <v>2019</v>
      </c>
      <c r="B35" s="138" t="s">
        <v>130</v>
      </c>
      <c r="C35" s="138">
        <v>60</v>
      </c>
      <c r="D35" s="139">
        <v>9.9044678000000004E-3</v>
      </c>
      <c r="E35" s="139">
        <v>4.8325737000000001E-2</v>
      </c>
      <c r="F35" s="139">
        <v>2.5</v>
      </c>
      <c r="G35" s="139">
        <v>87893.04</v>
      </c>
      <c r="H35" s="139">
        <v>4247.4960000000001</v>
      </c>
      <c r="I35" s="139">
        <v>428846.46</v>
      </c>
      <c r="J35" s="139">
        <v>1924557.9</v>
      </c>
      <c r="K35" s="139">
        <v>21.89659</v>
      </c>
    </row>
    <row r="36" spans="1:11" ht="15.75" thickBot="1" x14ac:dyDescent="0.3">
      <c r="A36" s="138">
        <v>2019</v>
      </c>
      <c r="B36" s="138" t="s">
        <v>130</v>
      </c>
      <c r="C36" s="138">
        <v>65</v>
      </c>
      <c r="D36" s="139">
        <v>1.5715294599999999E-2</v>
      </c>
      <c r="E36" s="139">
        <v>7.5606044999999997E-2</v>
      </c>
      <c r="F36" s="139">
        <v>2.5</v>
      </c>
      <c r="G36" s="139">
        <v>83645.539999999994</v>
      </c>
      <c r="H36" s="139">
        <v>6324.1086999999998</v>
      </c>
      <c r="I36" s="139">
        <v>402417.45</v>
      </c>
      <c r="J36" s="139">
        <v>1495711.4</v>
      </c>
      <c r="K36" s="139">
        <v>17.881544000000002</v>
      </c>
    </row>
    <row r="37" spans="1:11" ht="15.75" thickBot="1" x14ac:dyDescent="0.3">
      <c r="A37" s="138">
        <v>2019</v>
      </c>
      <c r="B37" s="138" t="s">
        <v>130</v>
      </c>
      <c r="C37" s="138">
        <v>70</v>
      </c>
      <c r="D37" s="139">
        <v>2.8332468100000001E-2</v>
      </c>
      <c r="E37" s="139">
        <v>0.13229194699999999</v>
      </c>
      <c r="F37" s="139">
        <v>2.5</v>
      </c>
      <c r="G37" s="139">
        <v>77321.440000000002</v>
      </c>
      <c r="H37" s="139">
        <v>10229.003199999999</v>
      </c>
      <c r="I37" s="139">
        <v>361034.67</v>
      </c>
      <c r="J37" s="139">
        <v>1093294</v>
      </c>
      <c r="K37" s="139">
        <v>14.139597999999999</v>
      </c>
    </row>
    <row r="38" spans="1:11" ht="15.75" thickBot="1" x14ac:dyDescent="0.3">
      <c r="A38" s="138">
        <v>2019</v>
      </c>
      <c r="B38" s="138" t="s">
        <v>130</v>
      </c>
      <c r="C38" s="138">
        <v>75</v>
      </c>
      <c r="D38" s="139">
        <v>4.8315202100000003E-2</v>
      </c>
      <c r="E38" s="139">
        <v>0.21554121700000001</v>
      </c>
      <c r="F38" s="139">
        <v>2.5</v>
      </c>
      <c r="G38" s="139">
        <v>67092.429999999993</v>
      </c>
      <c r="H38" s="139">
        <v>14461.184499999999</v>
      </c>
      <c r="I38" s="139">
        <v>299309.2</v>
      </c>
      <c r="J38" s="139">
        <v>732259.3</v>
      </c>
      <c r="K38" s="139">
        <v>10.914187</v>
      </c>
    </row>
    <row r="39" spans="1:11" ht="15.75" thickBot="1" x14ac:dyDescent="0.3">
      <c r="A39" s="138">
        <v>2019</v>
      </c>
      <c r="B39" s="138" t="s">
        <v>130</v>
      </c>
      <c r="C39" s="138">
        <v>80</v>
      </c>
      <c r="D39" s="139">
        <v>8.3092834000000004E-2</v>
      </c>
      <c r="E39" s="139">
        <v>0.344003587</v>
      </c>
      <c r="F39" s="139">
        <v>2.5</v>
      </c>
      <c r="G39" s="139">
        <v>52631.25</v>
      </c>
      <c r="H39" s="139">
        <v>18105.338</v>
      </c>
      <c r="I39" s="139">
        <v>217892.89</v>
      </c>
      <c r="J39" s="139">
        <v>432950.1</v>
      </c>
      <c r="K39" s="139">
        <v>8.2261039999999994</v>
      </c>
    </row>
    <row r="40" spans="1:11" ht="15.75" thickBot="1" x14ac:dyDescent="0.3">
      <c r="A40" s="138">
        <v>2019</v>
      </c>
      <c r="B40" s="138" t="s">
        <v>130</v>
      </c>
      <c r="C40" s="138">
        <v>85</v>
      </c>
      <c r="D40" s="139">
        <v>0.16054289529999999</v>
      </c>
      <c r="E40" s="139">
        <v>1</v>
      </c>
      <c r="F40" s="140" t="s">
        <v>131</v>
      </c>
      <c r="G40" s="139">
        <v>34525.910000000003</v>
      </c>
      <c r="H40" s="139">
        <v>34525.909699999997</v>
      </c>
      <c r="I40" s="139">
        <v>215057.23</v>
      </c>
      <c r="J40" s="139">
        <v>215057.2</v>
      </c>
      <c r="K40" s="139">
        <v>6.2288649999999999</v>
      </c>
    </row>
    <row r="41" spans="1:11" x14ac:dyDescent="0.25">
      <c r="A41" t="s">
        <v>134</v>
      </c>
      <c r="B41" t="s">
        <v>134</v>
      </c>
      <c r="C41" t="s">
        <v>134</v>
      </c>
      <c r="D41" t="s">
        <v>134</v>
      </c>
      <c r="E41" t="s">
        <v>134</v>
      </c>
      <c r="F41" t="s">
        <v>134</v>
      </c>
      <c r="G41" t="s">
        <v>134</v>
      </c>
      <c r="H41" t="s">
        <v>134</v>
      </c>
      <c r="I41" t="s">
        <v>134</v>
      </c>
      <c r="J41" t="s">
        <v>134</v>
      </c>
      <c r="K41" t="s">
        <v>134</v>
      </c>
    </row>
    <row r="42" spans="1:11" x14ac:dyDescent="0.25">
      <c r="A42" t="s">
        <v>134</v>
      </c>
      <c r="B42" t="s">
        <v>134</v>
      </c>
      <c r="C42" t="s">
        <v>134</v>
      </c>
      <c r="D42" t="s">
        <v>134</v>
      </c>
      <c r="E42" t="s">
        <v>134</v>
      </c>
      <c r="F42" t="s">
        <v>134</v>
      </c>
      <c r="G42" t="s">
        <v>134</v>
      </c>
      <c r="H42" t="s">
        <v>134</v>
      </c>
      <c r="I42" t="s">
        <v>134</v>
      </c>
      <c r="J42" t="s">
        <v>134</v>
      </c>
      <c r="K42" t="s">
        <v>134</v>
      </c>
    </row>
    <row r="43" spans="1:11" x14ac:dyDescent="0.25">
      <c r="A43" t="s">
        <v>134</v>
      </c>
      <c r="B43" t="s">
        <v>134</v>
      </c>
      <c r="C43" t="s">
        <v>134</v>
      </c>
      <c r="D43" t="s">
        <v>134</v>
      </c>
      <c r="E43" t="s">
        <v>134</v>
      </c>
      <c r="F43" t="s">
        <v>134</v>
      </c>
      <c r="G43" t="s">
        <v>134</v>
      </c>
      <c r="H43" t="s">
        <v>134</v>
      </c>
      <c r="I43" t="s">
        <v>134</v>
      </c>
      <c r="J43" t="s">
        <v>134</v>
      </c>
      <c r="K43" t="s">
        <v>134</v>
      </c>
    </row>
    <row r="44" spans="1:11" x14ac:dyDescent="0.25">
      <c r="A44" t="s">
        <v>134</v>
      </c>
      <c r="B44" t="s">
        <v>134</v>
      </c>
      <c r="C44" t="s">
        <v>134</v>
      </c>
      <c r="D44" t="s">
        <v>134</v>
      </c>
      <c r="E44" t="s">
        <v>134</v>
      </c>
      <c r="F44" t="s">
        <v>134</v>
      </c>
      <c r="G44" t="s">
        <v>134</v>
      </c>
      <c r="H44" t="s">
        <v>134</v>
      </c>
      <c r="I44" t="s">
        <v>134</v>
      </c>
      <c r="J44" t="s">
        <v>134</v>
      </c>
      <c r="K44" t="s">
        <v>134</v>
      </c>
    </row>
    <row r="45" spans="1:11" x14ac:dyDescent="0.25">
      <c r="A45" t="s">
        <v>134</v>
      </c>
      <c r="B45" t="s">
        <v>134</v>
      </c>
      <c r="C45" t="s">
        <v>134</v>
      </c>
      <c r="D45" t="s">
        <v>134</v>
      </c>
      <c r="E45" t="s">
        <v>134</v>
      </c>
      <c r="F45" t="s">
        <v>134</v>
      </c>
      <c r="G45" t="s">
        <v>134</v>
      </c>
      <c r="H45" t="s">
        <v>134</v>
      </c>
      <c r="I45" t="s">
        <v>134</v>
      </c>
      <c r="J45" t="s">
        <v>134</v>
      </c>
      <c r="K45" t="s">
        <v>134</v>
      </c>
    </row>
    <row r="46" spans="1:11" x14ac:dyDescent="0.25">
      <c r="A46" t="s">
        <v>134</v>
      </c>
      <c r="B46" t="s">
        <v>134</v>
      </c>
      <c r="C46" t="s">
        <v>134</v>
      </c>
      <c r="D46" t="s">
        <v>134</v>
      </c>
      <c r="E46" t="s">
        <v>134</v>
      </c>
      <c r="F46" t="s">
        <v>134</v>
      </c>
      <c r="G46" t="s">
        <v>134</v>
      </c>
      <c r="H46" t="s">
        <v>134</v>
      </c>
      <c r="I46" t="s">
        <v>134</v>
      </c>
      <c r="J46" t="s">
        <v>134</v>
      </c>
      <c r="K46" t="s">
        <v>134</v>
      </c>
    </row>
    <row r="47" spans="1:11" x14ac:dyDescent="0.25">
      <c r="A47" t="s">
        <v>134</v>
      </c>
      <c r="B47" t="s">
        <v>134</v>
      </c>
      <c r="C47" t="s">
        <v>134</v>
      </c>
      <c r="D47" t="s">
        <v>134</v>
      </c>
      <c r="E47" t="s">
        <v>134</v>
      </c>
      <c r="F47" t="s">
        <v>134</v>
      </c>
      <c r="G47" t="s">
        <v>134</v>
      </c>
      <c r="H47" t="s">
        <v>134</v>
      </c>
      <c r="I47" t="s">
        <v>134</v>
      </c>
      <c r="J47" t="s">
        <v>134</v>
      </c>
      <c r="K47" t="s">
        <v>134</v>
      </c>
    </row>
    <row r="48" spans="1:11" x14ac:dyDescent="0.25">
      <c r="A48" t="s">
        <v>134</v>
      </c>
      <c r="B48" t="s">
        <v>134</v>
      </c>
      <c r="C48" t="s">
        <v>134</v>
      </c>
      <c r="D48" t="s">
        <v>134</v>
      </c>
      <c r="E48" t="s">
        <v>134</v>
      </c>
      <c r="F48" t="s">
        <v>134</v>
      </c>
      <c r="G48" t="s">
        <v>134</v>
      </c>
      <c r="H48" t="s">
        <v>134</v>
      </c>
      <c r="I48" t="s">
        <v>134</v>
      </c>
      <c r="J48" t="s">
        <v>134</v>
      </c>
      <c r="K48" t="s">
        <v>134</v>
      </c>
    </row>
    <row r="49" spans="1:12" x14ac:dyDescent="0.25">
      <c r="A49" t="s">
        <v>134</v>
      </c>
      <c r="B49" t="s">
        <v>134</v>
      </c>
      <c r="C49" t="s">
        <v>134</v>
      </c>
      <c r="D49" t="s">
        <v>134</v>
      </c>
      <c r="E49" t="s">
        <v>134</v>
      </c>
      <c r="F49" t="s">
        <v>134</v>
      </c>
      <c r="G49" t="s">
        <v>134</v>
      </c>
      <c r="H49" t="s">
        <v>134</v>
      </c>
      <c r="I49" t="s">
        <v>134</v>
      </c>
      <c r="J49" t="s">
        <v>134</v>
      </c>
      <c r="K49" t="s">
        <v>134</v>
      </c>
    </row>
    <row r="50" spans="1:12" x14ac:dyDescent="0.25">
      <c r="A50" t="s">
        <v>134</v>
      </c>
      <c r="B50" t="s">
        <v>134</v>
      </c>
      <c r="C50" t="s">
        <v>134</v>
      </c>
      <c r="D50" t="s">
        <v>134</v>
      </c>
      <c r="E50" t="s">
        <v>134</v>
      </c>
      <c r="F50" t="s">
        <v>134</v>
      </c>
      <c r="G50" t="s">
        <v>134</v>
      </c>
      <c r="H50" t="s">
        <v>134</v>
      </c>
      <c r="I50" t="s">
        <v>134</v>
      </c>
      <c r="J50" t="s">
        <v>134</v>
      </c>
      <c r="K50" t="s">
        <v>134</v>
      </c>
    </row>
    <row r="51" spans="1:12" x14ac:dyDescent="0.25">
      <c r="A51" t="s">
        <v>134</v>
      </c>
      <c r="B51" t="s">
        <v>134</v>
      </c>
      <c r="C51" t="s">
        <v>134</v>
      </c>
      <c r="D51" t="s">
        <v>134</v>
      </c>
      <c r="E51" t="s">
        <v>134</v>
      </c>
      <c r="F51" t="s">
        <v>134</v>
      </c>
      <c r="G51" t="s">
        <v>134</v>
      </c>
      <c r="H51" t="s">
        <v>134</v>
      </c>
      <c r="I51" t="s">
        <v>134</v>
      </c>
      <c r="J51" t="s">
        <v>134</v>
      </c>
      <c r="K51" t="s">
        <v>134</v>
      </c>
    </row>
    <row r="52" spans="1:12" x14ac:dyDescent="0.25">
      <c r="A52" t="s">
        <v>134</v>
      </c>
      <c r="B52" t="s">
        <v>134</v>
      </c>
      <c r="C52" t="s">
        <v>134</v>
      </c>
      <c r="D52" t="s">
        <v>134</v>
      </c>
      <c r="E52" t="s">
        <v>134</v>
      </c>
      <c r="F52" t="s">
        <v>134</v>
      </c>
      <c r="G52" t="s">
        <v>134</v>
      </c>
      <c r="H52" t="s">
        <v>134</v>
      </c>
      <c r="I52" t="s">
        <v>134</v>
      </c>
      <c r="J52" t="s">
        <v>134</v>
      </c>
      <c r="K52" t="s">
        <v>134</v>
      </c>
    </row>
    <row r="53" spans="1:12" x14ac:dyDescent="0.25">
      <c r="A53" t="s">
        <v>134</v>
      </c>
      <c r="B53" t="s">
        <v>134</v>
      </c>
      <c r="C53" t="s">
        <v>134</v>
      </c>
      <c r="D53" t="s">
        <v>134</v>
      </c>
      <c r="E53" t="s">
        <v>134</v>
      </c>
      <c r="F53" t="s">
        <v>134</v>
      </c>
      <c r="G53" t="s">
        <v>134</v>
      </c>
      <c r="H53" t="s">
        <v>134</v>
      </c>
      <c r="I53" t="s">
        <v>134</v>
      </c>
      <c r="J53" t="s">
        <v>134</v>
      </c>
      <c r="K53" t="s">
        <v>134</v>
      </c>
    </row>
    <row r="54" spans="1:12" x14ac:dyDescent="0.25">
      <c r="A54" t="s">
        <v>134</v>
      </c>
      <c r="B54" t="s">
        <v>134</v>
      </c>
      <c r="C54" t="s">
        <v>134</v>
      </c>
      <c r="D54" t="s">
        <v>134</v>
      </c>
      <c r="E54" t="s">
        <v>134</v>
      </c>
      <c r="F54" t="s">
        <v>134</v>
      </c>
      <c r="G54" t="s">
        <v>134</v>
      </c>
      <c r="H54" t="s">
        <v>134</v>
      </c>
      <c r="I54" t="s">
        <v>134</v>
      </c>
      <c r="J54" t="s">
        <v>134</v>
      </c>
      <c r="K54" t="s">
        <v>134</v>
      </c>
    </row>
    <row r="55" spans="1:12" x14ac:dyDescent="0.25">
      <c r="A55" t="s">
        <v>134</v>
      </c>
      <c r="B55" t="s">
        <v>134</v>
      </c>
      <c r="C55" t="s">
        <v>134</v>
      </c>
      <c r="D55" t="s">
        <v>134</v>
      </c>
      <c r="E55" t="s">
        <v>134</v>
      </c>
      <c r="F55" t="s">
        <v>134</v>
      </c>
      <c r="G55" t="s">
        <v>134</v>
      </c>
      <c r="H55" t="s">
        <v>134</v>
      </c>
      <c r="I55" t="s">
        <v>134</v>
      </c>
      <c r="J55" t="s">
        <v>134</v>
      </c>
      <c r="K55" t="s">
        <v>134</v>
      </c>
    </row>
    <row r="56" spans="1:12" x14ac:dyDescent="0.25">
      <c r="A56" t="s">
        <v>134</v>
      </c>
      <c r="B56" t="s">
        <v>134</v>
      </c>
      <c r="C56" t="s">
        <v>134</v>
      </c>
      <c r="D56" t="s">
        <v>134</v>
      </c>
      <c r="E56" t="s">
        <v>134</v>
      </c>
      <c r="F56" t="s">
        <v>134</v>
      </c>
      <c r="G56" t="s">
        <v>134</v>
      </c>
      <c r="H56" t="s">
        <v>134</v>
      </c>
      <c r="I56" t="s">
        <v>134</v>
      </c>
      <c r="J56" t="s">
        <v>134</v>
      </c>
      <c r="K56" t="s">
        <v>134</v>
      </c>
    </row>
    <row r="57" spans="1:12" x14ac:dyDescent="0.25">
      <c r="A57" t="s">
        <v>134</v>
      </c>
      <c r="B57" t="s">
        <v>134</v>
      </c>
      <c r="C57" t="s">
        <v>134</v>
      </c>
      <c r="D57" t="s">
        <v>134</v>
      </c>
      <c r="E57" t="s">
        <v>134</v>
      </c>
      <c r="F57" t="s">
        <v>134</v>
      </c>
      <c r="G57" t="s">
        <v>134</v>
      </c>
      <c r="H57" t="s">
        <v>134</v>
      </c>
      <c r="I57" t="s">
        <v>134</v>
      </c>
      <c r="J57" t="s">
        <v>134</v>
      </c>
      <c r="K57" t="s">
        <v>134</v>
      </c>
    </row>
    <row r="58" spans="1:12" x14ac:dyDescent="0.25">
      <c r="A58" t="s">
        <v>134</v>
      </c>
      <c r="B58" t="s">
        <v>134</v>
      </c>
      <c r="C58" t="s">
        <v>134</v>
      </c>
      <c r="D58" t="s">
        <v>134</v>
      </c>
      <c r="E58" t="s">
        <v>134</v>
      </c>
      <c r="F58" t="s">
        <v>134</v>
      </c>
      <c r="G58" t="s">
        <v>134</v>
      </c>
      <c r="H58" t="s">
        <v>134</v>
      </c>
      <c r="I58" t="s">
        <v>134</v>
      </c>
      <c r="J58" t="s">
        <v>134</v>
      </c>
      <c r="K58" t="s">
        <v>134</v>
      </c>
    </row>
    <row r="59" spans="1:12" x14ac:dyDescent="0.25">
      <c r="A59" t="s">
        <v>134</v>
      </c>
      <c r="B59" t="s">
        <v>134</v>
      </c>
      <c r="C59" t="s">
        <v>134</v>
      </c>
      <c r="D59" t="s">
        <v>134</v>
      </c>
      <c r="E59" t="s">
        <v>134</v>
      </c>
      <c r="F59" t="s">
        <v>134</v>
      </c>
      <c r="G59" t="s">
        <v>134</v>
      </c>
      <c r="H59" t="s">
        <v>134</v>
      </c>
      <c r="I59" t="s">
        <v>134</v>
      </c>
      <c r="J59" t="s">
        <v>134</v>
      </c>
      <c r="K59" t="s">
        <v>134</v>
      </c>
    </row>
    <row r="60" spans="1:12" x14ac:dyDescent="0.25">
      <c r="A60" t="s">
        <v>134</v>
      </c>
      <c r="B60" t="s">
        <v>134</v>
      </c>
      <c r="C60" t="s">
        <v>134</v>
      </c>
      <c r="D60" t="s">
        <v>134</v>
      </c>
      <c r="E60" t="s">
        <v>134</v>
      </c>
      <c r="F60" t="s">
        <v>134</v>
      </c>
      <c r="G60" t="s">
        <v>134</v>
      </c>
      <c r="H60" t="s">
        <v>134</v>
      </c>
      <c r="I60" t="s">
        <v>134</v>
      </c>
      <c r="J60" t="s">
        <v>134</v>
      </c>
      <c r="K60" t="s">
        <v>134</v>
      </c>
      <c r="L60" t="s">
        <v>134</v>
      </c>
    </row>
    <row r="61" spans="1:12" x14ac:dyDescent="0.25">
      <c r="A61" t="s">
        <v>134</v>
      </c>
      <c r="B61" t="s">
        <v>134</v>
      </c>
      <c r="C61" t="s">
        <v>134</v>
      </c>
      <c r="D61" t="s">
        <v>134</v>
      </c>
      <c r="E61" t="s">
        <v>134</v>
      </c>
      <c r="F61" t="s">
        <v>134</v>
      </c>
      <c r="G61" t="s">
        <v>134</v>
      </c>
      <c r="H61" t="s">
        <v>134</v>
      </c>
      <c r="I61" t="s">
        <v>134</v>
      </c>
      <c r="J61" t="s">
        <v>134</v>
      </c>
      <c r="K61" t="s">
        <v>134</v>
      </c>
      <c r="L61" t="s">
        <v>134</v>
      </c>
    </row>
    <row r="62" spans="1:12" x14ac:dyDescent="0.25">
      <c r="A62" t="s">
        <v>134</v>
      </c>
      <c r="B62" t="s">
        <v>134</v>
      </c>
      <c r="C62" t="s">
        <v>134</v>
      </c>
      <c r="D62" t="s">
        <v>134</v>
      </c>
      <c r="E62" t="s">
        <v>134</v>
      </c>
      <c r="F62" t="s">
        <v>134</v>
      </c>
      <c r="G62" t="s">
        <v>134</v>
      </c>
      <c r="H62" t="s">
        <v>134</v>
      </c>
      <c r="I62" t="s">
        <v>134</v>
      </c>
      <c r="J62" t="s">
        <v>134</v>
      </c>
      <c r="K62" t="s">
        <v>134</v>
      </c>
      <c r="L62" t="s">
        <v>134</v>
      </c>
    </row>
    <row r="63" spans="1:12" x14ac:dyDescent="0.25">
      <c r="A63" t="s">
        <v>134</v>
      </c>
      <c r="B63" t="s">
        <v>134</v>
      </c>
      <c r="C63" t="s">
        <v>134</v>
      </c>
      <c r="D63" t="s">
        <v>134</v>
      </c>
      <c r="E63" t="s">
        <v>134</v>
      </c>
      <c r="F63" t="s">
        <v>134</v>
      </c>
      <c r="G63" t="s">
        <v>134</v>
      </c>
      <c r="H63" t="s">
        <v>134</v>
      </c>
      <c r="I63" t="s">
        <v>134</v>
      </c>
      <c r="J63" t="s">
        <v>134</v>
      </c>
      <c r="K63" t="s">
        <v>134</v>
      </c>
      <c r="L63" t="s">
        <v>134</v>
      </c>
    </row>
    <row r="64" spans="1:12" x14ac:dyDescent="0.25">
      <c r="A64" t="s">
        <v>134</v>
      </c>
      <c r="B64" t="s">
        <v>134</v>
      </c>
      <c r="C64" t="s">
        <v>134</v>
      </c>
      <c r="D64" t="s">
        <v>134</v>
      </c>
      <c r="E64" t="s">
        <v>134</v>
      </c>
      <c r="F64" t="s">
        <v>134</v>
      </c>
      <c r="G64" t="s">
        <v>134</v>
      </c>
      <c r="H64" t="s">
        <v>134</v>
      </c>
      <c r="I64" t="s">
        <v>134</v>
      </c>
      <c r="J64" t="s">
        <v>134</v>
      </c>
      <c r="K64" t="s">
        <v>134</v>
      </c>
      <c r="L64" t="s">
        <v>134</v>
      </c>
    </row>
    <row r="65" spans="1:12" x14ac:dyDescent="0.25">
      <c r="A65" t="s">
        <v>134</v>
      </c>
      <c r="B65" t="s">
        <v>134</v>
      </c>
      <c r="C65" t="s">
        <v>134</v>
      </c>
      <c r="D65" t="s">
        <v>134</v>
      </c>
      <c r="E65" t="s">
        <v>134</v>
      </c>
      <c r="F65" t="s">
        <v>134</v>
      </c>
      <c r="G65" t="s">
        <v>134</v>
      </c>
      <c r="H65" t="s">
        <v>134</v>
      </c>
      <c r="I65" t="s">
        <v>134</v>
      </c>
      <c r="J65" t="s">
        <v>134</v>
      </c>
      <c r="K65" t="s">
        <v>134</v>
      </c>
      <c r="L65" t="s">
        <v>134</v>
      </c>
    </row>
    <row r="66" spans="1:12" x14ac:dyDescent="0.25">
      <c r="A66" t="s">
        <v>134</v>
      </c>
      <c r="B66" t="s">
        <v>134</v>
      </c>
      <c r="C66" t="s">
        <v>134</v>
      </c>
      <c r="D66" t="s">
        <v>134</v>
      </c>
      <c r="E66" t="s">
        <v>134</v>
      </c>
      <c r="F66" t="s">
        <v>134</v>
      </c>
      <c r="G66" t="s">
        <v>134</v>
      </c>
      <c r="H66" t="s">
        <v>134</v>
      </c>
      <c r="I66" t="s">
        <v>134</v>
      </c>
      <c r="J66" t="s">
        <v>134</v>
      </c>
      <c r="K66" t="s">
        <v>134</v>
      </c>
      <c r="L66" t="s">
        <v>134</v>
      </c>
    </row>
    <row r="67" spans="1:12" x14ac:dyDescent="0.25">
      <c r="A67" t="s">
        <v>134</v>
      </c>
      <c r="B67" t="s">
        <v>134</v>
      </c>
      <c r="C67" t="s">
        <v>134</v>
      </c>
      <c r="D67" t="s">
        <v>134</v>
      </c>
      <c r="E67" t="s">
        <v>134</v>
      </c>
      <c r="F67" t="s">
        <v>134</v>
      </c>
      <c r="G67" t="s">
        <v>134</v>
      </c>
      <c r="H67" t="s">
        <v>134</v>
      </c>
      <c r="I67" t="s">
        <v>134</v>
      </c>
      <c r="J67" t="s">
        <v>134</v>
      </c>
      <c r="K67" t="s">
        <v>134</v>
      </c>
      <c r="L67" t="s">
        <v>134</v>
      </c>
    </row>
    <row r="68" spans="1:12" x14ac:dyDescent="0.25">
      <c r="A68" t="s">
        <v>134</v>
      </c>
      <c r="B68" t="s">
        <v>134</v>
      </c>
      <c r="C68" t="s">
        <v>134</v>
      </c>
      <c r="D68" t="s">
        <v>134</v>
      </c>
      <c r="E68" t="s">
        <v>134</v>
      </c>
      <c r="F68" t="s">
        <v>134</v>
      </c>
      <c r="G68" t="s">
        <v>134</v>
      </c>
      <c r="H68" t="s">
        <v>134</v>
      </c>
      <c r="I68" t="s">
        <v>134</v>
      </c>
      <c r="J68" t="s">
        <v>134</v>
      </c>
      <c r="K68" t="s">
        <v>134</v>
      </c>
      <c r="L68" t="s">
        <v>134</v>
      </c>
    </row>
    <row r="69" spans="1:12" x14ac:dyDescent="0.25">
      <c r="A69" t="s">
        <v>134</v>
      </c>
      <c r="B69" t="s">
        <v>134</v>
      </c>
      <c r="C69" t="s">
        <v>134</v>
      </c>
      <c r="D69" t="s">
        <v>134</v>
      </c>
      <c r="E69" t="s">
        <v>134</v>
      </c>
      <c r="F69" t="s">
        <v>134</v>
      </c>
      <c r="G69" t="s">
        <v>134</v>
      </c>
      <c r="H69" t="s">
        <v>134</v>
      </c>
      <c r="I69" t="s">
        <v>134</v>
      </c>
      <c r="J69" t="s">
        <v>134</v>
      </c>
      <c r="K69" t="s">
        <v>134</v>
      </c>
      <c r="L69" t="s">
        <v>134</v>
      </c>
    </row>
    <row r="70" spans="1:12" x14ac:dyDescent="0.25">
      <c r="A70" t="s">
        <v>134</v>
      </c>
      <c r="B70" t="s">
        <v>134</v>
      </c>
      <c r="C70" t="s">
        <v>134</v>
      </c>
      <c r="D70" t="s">
        <v>134</v>
      </c>
      <c r="E70" t="s">
        <v>134</v>
      </c>
      <c r="F70" t="s">
        <v>134</v>
      </c>
      <c r="G70" t="s">
        <v>134</v>
      </c>
      <c r="H70" t="s">
        <v>134</v>
      </c>
      <c r="I70" t="s">
        <v>134</v>
      </c>
      <c r="J70" t="s">
        <v>134</v>
      </c>
      <c r="K70" t="s">
        <v>134</v>
      </c>
      <c r="L70" t="s">
        <v>134</v>
      </c>
    </row>
    <row r="71" spans="1:12" x14ac:dyDescent="0.25">
      <c r="A71" t="s">
        <v>134</v>
      </c>
      <c r="B71" t="s">
        <v>134</v>
      </c>
      <c r="C71" t="s">
        <v>134</v>
      </c>
      <c r="D71" t="s">
        <v>134</v>
      </c>
      <c r="E71" t="s">
        <v>134</v>
      </c>
      <c r="F71" t="s">
        <v>134</v>
      </c>
      <c r="G71" t="s">
        <v>134</v>
      </c>
      <c r="H71" t="s">
        <v>134</v>
      </c>
      <c r="I71" t="s">
        <v>134</v>
      </c>
      <c r="J71" t="s">
        <v>134</v>
      </c>
      <c r="K71" t="s">
        <v>134</v>
      </c>
      <c r="L71" t="s">
        <v>134</v>
      </c>
    </row>
    <row r="72" spans="1:12" x14ac:dyDescent="0.25">
      <c r="A72" t="s">
        <v>134</v>
      </c>
      <c r="B72" t="s">
        <v>134</v>
      </c>
      <c r="C72" t="s">
        <v>134</v>
      </c>
      <c r="D72" t="s">
        <v>134</v>
      </c>
      <c r="E72" t="s">
        <v>134</v>
      </c>
      <c r="F72" t="s">
        <v>134</v>
      </c>
      <c r="G72" t="s">
        <v>134</v>
      </c>
      <c r="H72" t="s">
        <v>134</v>
      </c>
      <c r="I72" t="s">
        <v>134</v>
      </c>
      <c r="J72" t="s">
        <v>134</v>
      </c>
      <c r="K72" t="s">
        <v>134</v>
      </c>
      <c r="L72" t="s">
        <v>134</v>
      </c>
    </row>
    <row r="73" spans="1:12" x14ac:dyDescent="0.25">
      <c r="A73" t="s">
        <v>134</v>
      </c>
      <c r="B73" t="s">
        <v>134</v>
      </c>
      <c r="C73" t="s">
        <v>134</v>
      </c>
      <c r="D73" t="s">
        <v>134</v>
      </c>
      <c r="E73" t="s">
        <v>134</v>
      </c>
      <c r="F73" t="s">
        <v>134</v>
      </c>
      <c r="G73" t="s">
        <v>134</v>
      </c>
      <c r="H73" t="s">
        <v>134</v>
      </c>
      <c r="I73" t="s">
        <v>134</v>
      </c>
      <c r="J73" t="s">
        <v>134</v>
      </c>
      <c r="K73" t="s">
        <v>134</v>
      </c>
      <c r="L73" t="s">
        <v>134</v>
      </c>
    </row>
    <row r="74" spans="1:12" x14ac:dyDescent="0.25">
      <c r="A74" t="s">
        <v>134</v>
      </c>
      <c r="B74" t="s">
        <v>134</v>
      </c>
      <c r="C74" t="s">
        <v>134</v>
      </c>
      <c r="D74" t="s">
        <v>134</v>
      </c>
      <c r="E74" t="s">
        <v>134</v>
      </c>
      <c r="F74" t="s">
        <v>134</v>
      </c>
      <c r="G74" t="s">
        <v>134</v>
      </c>
      <c r="H74" t="s">
        <v>134</v>
      </c>
      <c r="I74" t="s">
        <v>134</v>
      </c>
      <c r="J74" t="s">
        <v>134</v>
      </c>
      <c r="K74" t="s">
        <v>134</v>
      </c>
      <c r="L74" t="s">
        <v>134</v>
      </c>
    </row>
    <row r="75" spans="1:12" x14ac:dyDescent="0.25">
      <c r="A75" t="s">
        <v>134</v>
      </c>
      <c r="B75" t="s">
        <v>134</v>
      </c>
      <c r="C75" t="s">
        <v>134</v>
      </c>
      <c r="D75" t="s">
        <v>134</v>
      </c>
      <c r="E75" t="s">
        <v>134</v>
      </c>
      <c r="F75" t="s">
        <v>134</v>
      </c>
      <c r="G75" t="s">
        <v>134</v>
      </c>
      <c r="H75" t="s">
        <v>134</v>
      </c>
      <c r="I75" t="s">
        <v>134</v>
      </c>
      <c r="J75" t="s">
        <v>134</v>
      </c>
      <c r="K75" t="s">
        <v>134</v>
      </c>
      <c r="L75" t="s">
        <v>134</v>
      </c>
    </row>
    <row r="76" spans="1:12" x14ac:dyDescent="0.25">
      <c r="A76" t="s">
        <v>134</v>
      </c>
      <c r="B76" t="s">
        <v>134</v>
      </c>
      <c r="C76" t="s">
        <v>134</v>
      </c>
      <c r="D76" t="s">
        <v>134</v>
      </c>
      <c r="E76" t="s">
        <v>134</v>
      </c>
      <c r="F76" t="s">
        <v>134</v>
      </c>
      <c r="G76" t="s">
        <v>134</v>
      </c>
      <c r="H76" t="s">
        <v>134</v>
      </c>
      <c r="I76" t="s">
        <v>134</v>
      </c>
      <c r="J76" t="s">
        <v>134</v>
      </c>
      <c r="K76" t="s">
        <v>134</v>
      </c>
      <c r="L76" t="s">
        <v>134</v>
      </c>
    </row>
    <row r="97" spans="1:12" x14ac:dyDescent="0.25">
      <c r="A97" t="s">
        <v>134</v>
      </c>
      <c r="B97" t="s">
        <v>134</v>
      </c>
      <c r="C97" t="s">
        <v>134</v>
      </c>
      <c r="D97" t="s">
        <v>134</v>
      </c>
      <c r="E97" t="s">
        <v>134</v>
      </c>
      <c r="F97" t="s">
        <v>134</v>
      </c>
      <c r="G97" t="s">
        <v>134</v>
      </c>
      <c r="H97" t="s">
        <v>134</v>
      </c>
      <c r="I97" t="s">
        <v>134</v>
      </c>
      <c r="J97" t="s">
        <v>134</v>
      </c>
      <c r="K97" t="s">
        <v>134</v>
      </c>
      <c r="L97" t="s">
        <v>134</v>
      </c>
    </row>
    <row r="98" spans="1:12" x14ac:dyDescent="0.25">
      <c r="A98" t="s">
        <v>134</v>
      </c>
      <c r="B98" t="s">
        <v>134</v>
      </c>
      <c r="C98" t="s">
        <v>134</v>
      </c>
      <c r="D98" t="s">
        <v>134</v>
      </c>
      <c r="E98" t="s">
        <v>134</v>
      </c>
      <c r="F98" t="s">
        <v>134</v>
      </c>
      <c r="G98" t="s">
        <v>134</v>
      </c>
      <c r="H98" t="s">
        <v>134</v>
      </c>
      <c r="I98" t="s">
        <v>134</v>
      </c>
      <c r="J98" t="s">
        <v>134</v>
      </c>
      <c r="K98" t="s">
        <v>134</v>
      </c>
      <c r="L98" t="s">
        <v>134</v>
      </c>
    </row>
    <row r="99" spans="1:12" x14ac:dyDescent="0.25">
      <c r="A99" t="s">
        <v>134</v>
      </c>
      <c r="B99" t="s">
        <v>134</v>
      </c>
      <c r="C99" t="s">
        <v>134</v>
      </c>
      <c r="D99" t="s">
        <v>134</v>
      </c>
      <c r="E99" t="s">
        <v>134</v>
      </c>
      <c r="F99" t="s">
        <v>134</v>
      </c>
      <c r="G99" t="s">
        <v>134</v>
      </c>
      <c r="H99" t="s">
        <v>134</v>
      </c>
      <c r="I99" t="s">
        <v>134</v>
      </c>
      <c r="J99" t="s">
        <v>134</v>
      </c>
      <c r="K99" t="s">
        <v>134</v>
      </c>
      <c r="L99" t="s">
        <v>134</v>
      </c>
    </row>
    <row r="100" spans="1:12" x14ac:dyDescent="0.25">
      <c r="A100" t="s">
        <v>134</v>
      </c>
      <c r="B100" t="s">
        <v>134</v>
      </c>
      <c r="C100" t="s">
        <v>134</v>
      </c>
      <c r="D100" t="s">
        <v>134</v>
      </c>
      <c r="E100" t="s">
        <v>134</v>
      </c>
      <c r="F100" t="s">
        <v>134</v>
      </c>
      <c r="G100" t="s">
        <v>134</v>
      </c>
      <c r="H100" t="s">
        <v>134</v>
      </c>
      <c r="I100" t="s">
        <v>134</v>
      </c>
      <c r="J100" t="s">
        <v>134</v>
      </c>
      <c r="K100" t="s">
        <v>134</v>
      </c>
      <c r="L100" t="s">
        <v>134</v>
      </c>
    </row>
    <row r="101" spans="1:12" x14ac:dyDescent="0.25">
      <c r="A101" t="s">
        <v>134</v>
      </c>
      <c r="B101" t="s">
        <v>134</v>
      </c>
      <c r="C101" t="s">
        <v>134</v>
      </c>
      <c r="D101" t="s">
        <v>134</v>
      </c>
      <c r="E101" t="s">
        <v>134</v>
      </c>
      <c r="F101" t="s">
        <v>134</v>
      </c>
      <c r="G101" t="s">
        <v>134</v>
      </c>
      <c r="H101" t="s">
        <v>134</v>
      </c>
      <c r="I101" t="s">
        <v>134</v>
      </c>
      <c r="J101" t="s">
        <v>134</v>
      </c>
      <c r="K101" t="s">
        <v>134</v>
      </c>
      <c r="L101" t="s">
        <v>134</v>
      </c>
    </row>
    <row r="102" spans="1:12" x14ac:dyDescent="0.25">
      <c r="A102" t="s">
        <v>134</v>
      </c>
      <c r="B102" t="s">
        <v>134</v>
      </c>
      <c r="C102" t="s">
        <v>134</v>
      </c>
      <c r="D102" t="s">
        <v>134</v>
      </c>
      <c r="E102" t="s">
        <v>134</v>
      </c>
      <c r="F102" t="s">
        <v>134</v>
      </c>
      <c r="G102" t="s">
        <v>134</v>
      </c>
      <c r="H102" t="s">
        <v>134</v>
      </c>
      <c r="I102" t="s">
        <v>134</v>
      </c>
      <c r="J102" t="s">
        <v>134</v>
      </c>
      <c r="K102" t="s">
        <v>134</v>
      </c>
      <c r="L102" t="s">
        <v>134</v>
      </c>
    </row>
    <row r="103" spans="1:12" x14ac:dyDescent="0.25">
      <c r="A103" t="s">
        <v>134</v>
      </c>
      <c r="B103" t="s">
        <v>134</v>
      </c>
      <c r="C103" t="s">
        <v>134</v>
      </c>
      <c r="D103" t="s">
        <v>134</v>
      </c>
      <c r="E103" t="s">
        <v>134</v>
      </c>
      <c r="F103" t="s">
        <v>134</v>
      </c>
      <c r="G103" t="s">
        <v>134</v>
      </c>
      <c r="H103" t="s">
        <v>134</v>
      </c>
      <c r="I103" t="s">
        <v>134</v>
      </c>
      <c r="J103" t="s">
        <v>134</v>
      </c>
      <c r="K103" t="s">
        <v>134</v>
      </c>
      <c r="L103" t="s">
        <v>134</v>
      </c>
    </row>
    <row r="104" spans="1:12" x14ac:dyDescent="0.25">
      <c r="A104" t="s">
        <v>134</v>
      </c>
      <c r="B104" t="s">
        <v>134</v>
      </c>
      <c r="C104" t="s">
        <v>134</v>
      </c>
      <c r="D104" t="s">
        <v>134</v>
      </c>
      <c r="E104" t="s">
        <v>134</v>
      </c>
      <c r="F104" t="s">
        <v>134</v>
      </c>
      <c r="G104" t="s">
        <v>134</v>
      </c>
      <c r="H104" t="s">
        <v>134</v>
      </c>
      <c r="I104" t="s">
        <v>134</v>
      </c>
      <c r="J104" t="s">
        <v>134</v>
      </c>
      <c r="K104" t="s">
        <v>134</v>
      </c>
      <c r="L104" t="s">
        <v>134</v>
      </c>
    </row>
    <row r="105" spans="1:12" x14ac:dyDescent="0.25">
      <c r="A105" t="s">
        <v>134</v>
      </c>
      <c r="B105" t="s">
        <v>134</v>
      </c>
      <c r="C105" t="s">
        <v>134</v>
      </c>
      <c r="D105" t="s">
        <v>134</v>
      </c>
      <c r="E105" t="s">
        <v>134</v>
      </c>
      <c r="F105" t="s">
        <v>134</v>
      </c>
      <c r="G105" t="s">
        <v>134</v>
      </c>
      <c r="H105" t="s">
        <v>134</v>
      </c>
      <c r="I105" t="s">
        <v>134</v>
      </c>
      <c r="J105" t="s">
        <v>134</v>
      </c>
      <c r="K105" t="s">
        <v>134</v>
      </c>
      <c r="L105" t="s">
        <v>134</v>
      </c>
    </row>
    <row r="106" spans="1:12" x14ac:dyDescent="0.25">
      <c r="A106" t="s">
        <v>134</v>
      </c>
      <c r="B106" t="s">
        <v>134</v>
      </c>
      <c r="C106" t="s">
        <v>134</v>
      </c>
      <c r="D106" t="s">
        <v>134</v>
      </c>
      <c r="E106" t="s">
        <v>134</v>
      </c>
      <c r="F106" t="s">
        <v>134</v>
      </c>
      <c r="G106" t="s">
        <v>134</v>
      </c>
      <c r="H106" t="s">
        <v>134</v>
      </c>
      <c r="I106" t="s">
        <v>134</v>
      </c>
      <c r="J106" t="s">
        <v>134</v>
      </c>
      <c r="K106" t="s">
        <v>134</v>
      </c>
      <c r="L106" t="s">
        <v>134</v>
      </c>
    </row>
    <row r="107" spans="1:12" x14ac:dyDescent="0.25">
      <c r="A107" t="s">
        <v>134</v>
      </c>
      <c r="B107" t="s">
        <v>134</v>
      </c>
      <c r="C107" t="s">
        <v>134</v>
      </c>
      <c r="D107" t="s">
        <v>134</v>
      </c>
      <c r="E107" t="s">
        <v>134</v>
      </c>
      <c r="F107" t="s">
        <v>134</v>
      </c>
      <c r="G107" t="s">
        <v>134</v>
      </c>
      <c r="H107" t="s">
        <v>134</v>
      </c>
      <c r="I107" t="s">
        <v>134</v>
      </c>
      <c r="J107" t="s">
        <v>134</v>
      </c>
      <c r="K107" t="s">
        <v>134</v>
      </c>
      <c r="L107" t="s">
        <v>134</v>
      </c>
    </row>
    <row r="108" spans="1:12" x14ac:dyDescent="0.25">
      <c r="A108" t="s">
        <v>134</v>
      </c>
      <c r="B108" t="s">
        <v>134</v>
      </c>
      <c r="C108" t="s">
        <v>134</v>
      </c>
      <c r="D108" t="s">
        <v>134</v>
      </c>
      <c r="E108" t="s">
        <v>134</v>
      </c>
      <c r="F108" t="s">
        <v>134</v>
      </c>
      <c r="G108" t="s">
        <v>134</v>
      </c>
      <c r="H108" t="s">
        <v>134</v>
      </c>
      <c r="I108" t="s">
        <v>134</v>
      </c>
      <c r="J108" t="s">
        <v>134</v>
      </c>
      <c r="K108" t="s">
        <v>134</v>
      </c>
      <c r="L108" t="s">
        <v>134</v>
      </c>
    </row>
    <row r="109" spans="1:12" x14ac:dyDescent="0.25">
      <c r="A109" t="s">
        <v>134</v>
      </c>
      <c r="B109" t="s">
        <v>134</v>
      </c>
      <c r="C109" t="s">
        <v>134</v>
      </c>
      <c r="D109" t="s">
        <v>134</v>
      </c>
      <c r="E109" t="s">
        <v>134</v>
      </c>
      <c r="F109" t="s">
        <v>134</v>
      </c>
      <c r="G109" t="s">
        <v>134</v>
      </c>
      <c r="H109" t="s">
        <v>134</v>
      </c>
      <c r="I109" t="s">
        <v>134</v>
      </c>
      <c r="J109" t="s">
        <v>134</v>
      </c>
      <c r="K109" t="s">
        <v>134</v>
      </c>
      <c r="L109" t="s">
        <v>134</v>
      </c>
    </row>
    <row r="110" spans="1:12" x14ac:dyDescent="0.25">
      <c r="A110" t="s">
        <v>134</v>
      </c>
      <c r="B110" t="s">
        <v>134</v>
      </c>
      <c r="C110" t="s">
        <v>134</v>
      </c>
      <c r="D110" t="s">
        <v>134</v>
      </c>
      <c r="E110" t="s">
        <v>134</v>
      </c>
      <c r="F110" t="s">
        <v>134</v>
      </c>
      <c r="G110" t="s">
        <v>134</v>
      </c>
      <c r="H110" t="s">
        <v>134</v>
      </c>
      <c r="I110" t="s">
        <v>134</v>
      </c>
      <c r="J110" t="s">
        <v>134</v>
      </c>
      <c r="K110" t="s">
        <v>134</v>
      </c>
      <c r="L110" t="s">
        <v>134</v>
      </c>
    </row>
    <row r="111" spans="1:12" x14ac:dyDescent="0.25">
      <c r="A111" t="s">
        <v>134</v>
      </c>
      <c r="B111" t="s">
        <v>134</v>
      </c>
      <c r="C111" t="s">
        <v>134</v>
      </c>
      <c r="D111" t="s">
        <v>134</v>
      </c>
      <c r="E111" t="s">
        <v>134</v>
      </c>
      <c r="F111" t="s">
        <v>134</v>
      </c>
      <c r="G111" t="s">
        <v>134</v>
      </c>
      <c r="H111" t="s">
        <v>134</v>
      </c>
      <c r="I111" t="s">
        <v>134</v>
      </c>
      <c r="J111" t="s">
        <v>134</v>
      </c>
      <c r="K111" t="s">
        <v>134</v>
      </c>
      <c r="L111" t="s">
        <v>134</v>
      </c>
    </row>
    <row r="112" spans="1:12" x14ac:dyDescent="0.25">
      <c r="A112" t="s">
        <v>134</v>
      </c>
      <c r="B112" t="s">
        <v>134</v>
      </c>
      <c r="C112" t="s">
        <v>134</v>
      </c>
      <c r="D112" t="s">
        <v>134</v>
      </c>
      <c r="E112" t="s">
        <v>134</v>
      </c>
      <c r="F112" t="s">
        <v>134</v>
      </c>
      <c r="G112" t="s">
        <v>134</v>
      </c>
      <c r="H112" t="s">
        <v>134</v>
      </c>
      <c r="I112" t="s">
        <v>134</v>
      </c>
      <c r="J112" t="s">
        <v>134</v>
      </c>
      <c r="K112" t="s">
        <v>134</v>
      </c>
      <c r="L112" t="s">
        <v>134</v>
      </c>
    </row>
    <row r="113" spans="1:13" x14ac:dyDescent="0.25">
      <c r="A113" t="s">
        <v>134</v>
      </c>
      <c r="B113" t="s">
        <v>134</v>
      </c>
      <c r="C113" t="s">
        <v>134</v>
      </c>
      <c r="D113" t="s">
        <v>134</v>
      </c>
      <c r="E113" t="s">
        <v>134</v>
      </c>
      <c r="F113" t="s">
        <v>134</v>
      </c>
      <c r="G113" t="s">
        <v>134</v>
      </c>
      <c r="H113" t="s">
        <v>134</v>
      </c>
      <c r="I113" t="s">
        <v>134</v>
      </c>
      <c r="J113" t="s">
        <v>134</v>
      </c>
      <c r="K113" t="s">
        <v>134</v>
      </c>
      <c r="L113" t="s">
        <v>134</v>
      </c>
    </row>
    <row r="114" spans="1:13" x14ac:dyDescent="0.25">
      <c r="A114" t="s">
        <v>134</v>
      </c>
      <c r="B114" t="s">
        <v>134</v>
      </c>
      <c r="C114" t="s">
        <v>134</v>
      </c>
      <c r="D114" t="s">
        <v>134</v>
      </c>
      <c r="E114" t="s">
        <v>134</v>
      </c>
      <c r="F114" t="s">
        <v>134</v>
      </c>
      <c r="G114" t="s">
        <v>134</v>
      </c>
      <c r="H114" t="s">
        <v>134</v>
      </c>
      <c r="I114" t="s">
        <v>134</v>
      </c>
      <c r="J114" t="s">
        <v>134</v>
      </c>
      <c r="K114" t="s">
        <v>134</v>
      </c>
      <c r="L114" t="s">
        <v>134</v>
      </c>
      <c r="M114" t="s">
        <v>134</v>
      </c>
    </row>
    <row r="115" spans="1:13" x14ac:dyDescent="0.25">
      <c r="A115" t="s">
        <v>134</v>
      </c>
      <c r="B115" t="s">
        <v>134</v>
      </c>
      <c r="C115" t="s">
        <v>134</v>
      </c>
      <c r="D115" t="s">
        <v>134</v>
      </c>
      <c r="E115" t="s">
        <v>134</v>
      </c>
      <c r="F115" t="s">
        <v>134</v>
      </c>
      <c r="G115" t="s">
        <v>134</v>
      </c>
      <c r="H115" t="s">
        <v>134</v>
      </c>
      <c r="I115" t="s">
        <v>134</v>
      </c>
      <c r="J115" t="s">
        <v>134</v>
      </c>
      <c r="K115" t="s">
        <v>134</v>
      </c>
      <c r="L115" t="s">
        <v>134</v>
      </c>
      <c r="M115" t="s">
        <v>134</v>
      </c>
    </row>
    <row r="116" spans="1:13" x14ac:dyDescent="0.25">
      <c r="A116" t="s">
        <v>134</v>
      </c>
      <c r="B116" t="s">
        <v>134</v>
      </c>
      <c r="C116" t="s">
        <v>134</v>
      </c>
      <c r="D116" t="s">
        <v>134</v>
      </c>
      <c r="E116" t="s">
        <v>134</v>
      </c>
      <c r="F116" t="s">
        <v>134</v>
      </c>
      <c r="G116" t="s">
        <v>134</v>
      </c>
      <c r="H116" t="s">
        <v>134</v>
      </c>
      <c r="I116" t="s">
        <v>134</v>
      </c>
      <c r="J116" t="s">
        <v>134</v>
      </c>
      <c r="K116" t="s">
        <v>134</v>
      </c>
      <c r="L116" t="s">
        <v>134</v>
      </c>
      <c r="M116" t="s">
        <v>134</v>
      </c>
    </row>
    <row r="117" spans="1:13" x14ac:dyDescent="0.25">
      <c r="A117" t="s">
        <v>134</v>
      </c>
      <c r="B117" t="s">
        <v>134</v>
      </c>
      <c r="C117" t="s">
        <v>134</v>
      </c>
      <c r="D117" t="s">
        <v>134</v>
      </c>
      <c r="E117" t="s">
        <v>134</v>
      </c>
      <c r="F117" t="s">
        <v>134</v>
      </c>
      <c r="G117" t="s">
        <v>134</v>
      </c>
      <c r="H117" t="s">
        <v>134</v>
      </c>
      <c r="I117" t="s">
        <v>134</v>
      </c>
      <c r="J117" t="s">
        <v>134</v>
      </c>
      <c r="K117" t="s">
        <v>134</v>
      </c>
      <c r="L117" t="s">
        <v>134</v>
      </c>
      <c r="M117" t="s">
        <v>134</v>
      </c>
    </row>
    <row r="118" spans="1:13" x14ac:dyDescent="0.25">
      <c r="A118" t="s">
        <v>134</v>
      </c>
      <c r="B118" t="s">
        <v>134</v>
      </c>
      <c r="C118" t="s">
        <v>134</v>
      </c>
      <c r="D118" t="s">
        <v>134</v>
      </c>
      <c r="E118" t="s">
        <v>134</v>
      </c>
      <c r="F118" t="s">
        <v>134</v>
      </c>
      <c r="G118" t="s">
        <v>134</v>
      </c>
      <c r="H118" t="s">
        <v>134</v>
      </c>
      <c r="I118" t="s">
        <v>134</v>
      </c>
      <c r="J118" t="s">
        <v>134</v>
      </c>
      <c r="K118" t="s">
        <v>134</v>
      </c>
      <c r="L118" t="s">
        <v>134</v>
      </c>
      <c r="M118" t="s">
        <v>134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4A00F-1CAA-2348-B6FF-2FA43A51F02B}">
  <dimension ref="A1:D1331"/>
  <sheetViews>
    <sheetView topLeftCell="A550" workbookViewId="0">
      <selection activeCell="G1328" sqref="G1328"/>
    </sheetView>
  </sheetViews>
  <sheetFormatPr baseColWidth="10" defaultRowHeight="15" x14ac:dyDescent="0.25"/>
  <sheetData>
    <row r="1" spans="1:4" x14ac:dyDescent="0.25">
      <c r="A1" t="s">
        <v>116</v>
      </c>
      <c r="B1" t="s">
        <v>117</v>
      </c>
      <c r="C1" t="s">
        <v>118</v>
      </c>
      <c r="D1" t="s">
        <v>119</v>
      </c>
    </row>
    <row r="2" spans="1:4" x14ac:dyDescent="0.25">
      <c r="A2" t="s">
        <v>134</v>
      </c>
      <c r="B2" t="s">
        <v>134</v>
      </c>
      <c r="C2" t="s">
        <v>134</v>
      </c>
      <c r="D2" t="s">
        <v>134</v>
      </c>
    </row>
    <row r="3" spans="1:4" x14ac:dyDescent="0.25">
      <c r="A3" t="s">
        <v>134</v>
      </c>
      <c r="B3" t="s">
        <v>134</v>
      </c>
      <c r="C3" t="s">
        <v>134</v>
      </c>
      <c r="D3" t="s">
        <v>134</v>
      </c>
    </row>
    <row r="4" spans="1:4" x14ac:dyDescent="0.25">
      <c r="A4" t="s">
        <v>134</v>
      </c>
      <c r="B4" t="s">
        <v>134</v>
      </c>
      <c r="C4" t="s">
        <v>134</v>
      </c>
      <c r="D4" t="s">
        <v>134</v>
      </c>
    </row>
    <row r="5" spans="1:4" x14ac:dyDescent="0.25">
      <c r="A5" t="s">
        <v>134</v>
      </c>
      <c r="B5" t="s">
        <v>134</v>
      </c>
      <c r="C5" t="s">
        <v>134</v>
      </c>
      <c r="D5" t="s">
        <v>134</v>
      </c>
    </row>
    <row r="6" spans="1:4" x14ac:dyDescent="0.25">
      <c r="A6" t="s">
        <v>134</v>
      </c>
      <c r="B6" t="s">
        <v>134</v>
      </c>
      <c r="C6" t="s">
        <v>134</v>
      </c>
      <c r="D6" t="s">
        <v>134</v>
      </c>
    </row>
    <row r="7" spans="1:4" x14ac:dyDescent="0.25">
      <c r="A7" t="s">
        <v>134</v>
      </c>
      <c r="B7" t="s">
        <v>134</v>
      </c>
      <c r="C7" t="s">
        <v>134</v>
      </c>
      <c r="D7" t="s">
        <v>134</v>
      </c>
    </row>
    <row r="8" spans="1:4" x14ac:dyDescent="0.25">
      <c r="A8" t="s">
        <v>134</v>
      </c>
      <c r="B8" t="s">
        <v>134</v>
      </c>
      <c r="C8" t="s">
        <v>134</v>
      </c>
      <c r="D8" t="s">
        <v>134</v>
      </c>
    </row>
    <row r="9" spans="1:4" x14ac:dyDescent="0.25">
      <c r="A9" t="s">
        <v>134</v>
      </c>
      <c r="B9" t="s">
        <v>134</v>
      </c>
      <c r="C9" t="s">
        <v>134</v>
      </c>
      <c r="D9" t="s">
        <v>134</v>
      </c>
    </row>
    <row r="10" spans="1:4" x14ac:dyDescent="0.25">
      <c r="A10" t="s">
        <v>134</v>
      </c>
      <c r="B10" t="s">
        <v>134</v>
      </c>
      <c r="C10" t="s">
        <v>134</v>
      </c>
      <c r="D10" t="s">
        <v>134</v>
      </c>
    </row>
    <row r="11" spans="1:4" x14ac:dyDescent="0.25">
      <c r="A11" t="s">
        <v>134</v>
      </c>
      <c r="B11" t="s">
        <v>134</v>
      </c>
      <c r="C11" t="s">
        <v>134</v>
      </c>
      <c r="D11" t="s">
        <v>134</v>
      </c>
    </row>
    <row r="12" spans="1:4" x14ac:dyDescent="0.25">
      <c r="A12" t="s">
        <v>134</v>
      </c>
      <c r="B12" t="s">
        <v>134</v>
      </c>
      <c r="C12" t="s">
        <v>134</v>
      </c>
      <c r="D12" t="s">
        <v>134</v>
      </c>
    </row>
    <row r="13" spans="1:4" x14ac:dyDescent="0.25">
      <c r="A13" t="s">
        <v>134</v>
      </c>
      <c r="B13" t="s">
        <v>134</v>
      </c>
      <c r="C13" t="s">
        <v>134</v>
      </c>
      <c r="D13" t="s">
        <v>134</v>
      </c>
    </row>
    <row r="14" spans="1:4" x14ac:dyDescent="0.25">
      <c r="A14" t="s">
        <v>134</v>
      </c>
      <c r="B14" t="s">
        <v>134</v>
      </c>
      <c r="C14" t="s">
        <v>134</v>
      </c>
      <c r="D14" t="s">
        <v>134</v>
      </c>
    </row>
    <row r="15" spans="1:4" x14ac:dyDescent="0.25">
      <c r="A15" t="s">
        <v>134</v>
      </c>
      <c r="B15" t="s">
        <v>134</v>
      </c>
      <c r="C15" t="s">
        <v>134</v>
      </c>
      <c r="D15" t="s">
        <v>134</v>
      </c>
    </row>
    <row r="16" spans="1:4" x14ac:dyDescent="0.25">
      <c r="A16" t="s">
        <v>134</v>
      </c>
      <c r="B16" t="s">
        <v>134</v>
      </c>
      <c r="C16" t="s">
        <v>134</v>
      </c>
      <c r="D16" t="s">
        <v>134</v>
      </c>
    </row>
    <row r="17" spans="1:4" x14ac:dyDescent="0.25">
      <c r="A17" t="s">
        <v>134</v>
      </c>
      <c r="B17" t="s">
        <v>134</v>
      </c>
      <c r="C17" t="s">
        <v>134</v>
      </c>
      <c r="D17" t="s">
        <v>134</v>
      </c>
    </row>
    <row r="18" spans="1:4" x14ac:dyDescent="0.25">
      <c r="A18" t="s">
        <v>134</v>
      </c>
      <c r="B18" t="s">
        <v>134</v>
      </c>
      <c r="C18" t="s">
        <v>134</v>
      </c>
      <c r="D18" t="s">
        <v>134</v>
      </c>
    </row>
    <row r="19" spans="1:4" x14ac:dyDescent="0.25">
      <c r="A19" t="s">
        <v>134</v>
      </c>
      <c r="B19" t="s">
        <v>134</v>
      </c>
      <c r="C19" t="s">
        <v>134</v>
      </c>
      <c r="D19" t="s">
        <v>134</v>
      </c>
    </row>
    <row r="20" spans="1:4" x14ac:dyDescent="0.25">
      <c r="A20" t="s">
        <v>134</v>
      </c>
      <c r="B20" t="s">
        <v>134</v>
      </c>
      <c r="C20" t="s">
        <v>134</v>
      </c>
      <c r="D20" t="s">
        <v>134</v>
      </c>
    </row>
    <row r="21" spans="1:4" x14ac:dyDescent="0.25">
      <c r="A21" t="s">
        <v>134</v>
      </c>
      <c r="B21" t="s">
        <v>134</v>
      </c>
      <c r="C21" t="s">
        <v>134</v>
      </c>
      <c r="D21" t="s">
        <v>134</v>
      </c>
    </row>
    <row r="22" spans="1:4" x14ac:dyDescent="0.25">
      <c r="A22" t="s">
        <v>134</v>
      </c>
      <c r="B22" t="s">
        <v>134</v>
      </c>
      <c r="C22" t="s">
        <v>134</v>
      </c>
      <c r="D22" t="s">
        <v>134</v>
      </c>
    </row>
    <row r="23" spans="1:4" x14ac:dyDescent="0.25">
      <c r="A23" t="s">
        <v>134</v>
      </c>
      <c r="B23" t="s">
        <v>134</v>
      </c>
      <c r="C23" t="s">
        <v>134</v>
      </c>
      <c r="D23" t="s">
        <v>134</v>
      </c>
    </row>
    <row r="24" spans="1:4" x14ac:dyDescent="0.25">
      <c r="A24" t="s">
        <v>134</v>
      </c>
      <c r="B24" t="s">
        <v>134</v>
      </c>
      <c r="C24" t="s">
        <v>134</v>
      </c>
      <c r="D24" t="s">
        <v>134</v>
      </c>
    </row>
    <row r="25" spans="1:4" x14ac:dyDescent="0.25">
      <c r="A25" t="s">
        <v>134</v>
      </c>
      <c r="B25" t="s">
        <v>134</v>
      </c>
      <c r="C25" t="s">
        <v>134</v>
      </c>
      <c r="D25" t="s">
        <v>134</v>
      </c>
    </row>
    <row r="26" spans="1:4" x14ac:dyDescent="0.25">
      <c r="A26" t="s">
        <v>134</v>
      </c>
      <c r="B26" t="s">
        <v>134</v>
      </c>
      <c r="C26" t="s">
        <v>134</v>
      </c>
      <c r="D26" t="s">
        <v>134</v>
      </c>
    </row>
    <row r="27" spans="1:4" x14ac:dyDescent="0.25">
      <c r="A27" t="s">
        <v>134</v>
      </c>
      <c r="B27" t="s">
        <v>134</v>
      </c>
      <c r="C27" t="s">
        <v>134</v>
      </c>
      <c r="D27" t="s">
        <v>134</v>
      </c>
    </row>
    <row r="28" spans="1:4" x14ac:dyDescent="0.25">
      <c r="A28" t="s">
        <v>134</v>
      </c>
      <c r="B28" t="s">
        <v>134</v>
      </c>
      <c r="C28" t="s">
        <v>134</v>
      </c>
      <c r="D28" t="s">
        <v>134</v>
      </c>
    </row>
    <row r="29" spans="1:4" x14ac:dyDescent="0.25">
      <c r="A29" t="s">
        <v>134</v>
      </c>
      <c r="B29" t="s">
        <v>134</v>
      </c>
      <c r="C29" t="s">
        <v>134</v>
      </c>
      <c r="D29" t="s">
        <v>134</v>
      </c>
    </row>
    <row r="30" spans="1:4" x14ac:dyDescent="0.25">
      <c r="A30" t="s">
        <v>134</v>
      </c>
      <c r="B30" t="s">
        <v>134</v>
      </c>
      <c r="C30" t="s">
        <v>134</v>
      </c>
      <c r="D30" t="s">
        <v>134</v>
      </c>
    </row>
    <row r="31" spans="1:4" x14ac:dyDescent="0.25">
      <c r="A31" t="s">
        <v>134</v>
      </c>
      <c r="B31" t="s">
        <v>134</v>
      </c>
      <c r="C31" t="s">
        <v>134</v>
      </c>
      <c r="D31" t="s">
        <v>134</v>
      </c>
    </row>
    <row r="32" spans="1:4" x14ac:dyDescent="0.25">
      <c r="A32" t="s">
        <v>134</v>
      </c>
      <c r="B32" t="s">
        <v>134</v>
      </c>
      <c r="C32" t="s">
        <v>134</v>
      </c>
      <c r="D32" t="s">
        <v>134</v>
      </c>
    </row>
    <row r="33" spans="1:4" x14ac:dyDescent="0.25">
      <c r="A33" t="s">
        <v>134</v>
      </c>
      <c r="B33" t="s">
        <v>134</v>
      </c>
      <c r="C33" t="s">
        <v>134</v>
      </c>
      <c r="D33" t="s">
        <v>134</v>
      </c>
    </row>
    <row r="34" spans="1:4" x14ac:dyDescent="0.25">
      <c r="A34" t="s">
        <v>134</v>
      </c>
      <c r="B34" t="s">
        <v>134</v>
      </c>
      <c r="C34" t="s">
        <v>134</v>
      </c>
      <c r="D34" t="s">
        <v>134</v>
      </c>
    </row>
    <row r="35" spans="1:4" x14ac:dyDescent="0.25">
      <c r="A35" t="s">
        <v>134</v>
      </c>
      <c r="B35" t="s">
        <v>134</v>
      </c>
      <c r="C35" t="s">
        <v>134</v>
      </c>
      <c r="D35" t="s">
        <v>134</v>
      </c>
    </row>
    <row r="36" spans="1:4" x14ac:dyDescent="0.25">
      <c r="A36" t="s">
        <v>134</v>
      </c>
      <c r="B36" t="s">
        <v>134</v>
      </c>
      <c r="C36" t="s">
        <v>134</v>
      </c>
      <c r="D36" t="s">
        <v>134</v>
      </c>
    </row>
    <row r="37" spans="1:4" x14ac:dyDescent="0.25">
      <c r="A37" t="s">
        <v>134</v>
      </c>
      <c r="B37" t="s">
        <v>134</v>
      </c>
      <c r="C37" t="s">
        <v>134</v>
      </c>
      <c r="D37" t="s">
        <v>134</v>
      </c>
    </row>
    <row r="38" spans="1:4" x14ac:dyDescent="0.25">
      <c r="A38" t="s">
        <v>134</v>
      </c>
      <c r="B38" t="s">
        <v>134</v>
      </c>
      <c r="C38" t="s">
        <v>134</v>
      </c>
      <c r="D38" t="s">
        <v>134</v>
      </c>
    </row>
    <row r="39" spans="1:4" x14ac:dyDescent="0.25">
      <c r="A39" t="s">
        <v>134</v>
      </c>
      <c r="B39" t="s">
        <v>134</v>
      </c>
      <c r="C39" t="s">
        <v>134</v>
      </c>
      <c r="D39" t="s">
        <v>134</v>
      </c>
    </row>
    <row r="40" spans="1:4" x14ac:dyDescent="0.25">
      <c r="A40" t="s">
        <v>134</v>
      </c>
      <c r="B40" t="s">
        <v>134</v>
      </c>
      <c r="C40" t="s">
        <v>134</v>
      </c>
      <c r="D40" t="s">
        <v>134</v>
      </c>
    </row>
    <row r="41" spans="1:4" x14ac:dyDescent="0.25">
      <c r="A41" t="s">
        <v>134</v>
      </c>
      <c r="B41" t="s">
        <v>134</v>
      </c>
      <c r="C41" t="s">
        <v>134</v>
      </c>
      <c r="D41" t="s">
        <v>134</v>
      </c>
    </row>
    <row r="42" spans="1:4" x14ac:dyDescent="0.25">
      <c r="A42" t="s">
        <v>134</v>
      </c>
      <c r="B42" t="s">
        <v>134</v>
      </c>
      <c r="C42" t="s">
        <v>134</v>
      </c>
      <c r="D42" t="s">
        <v>134</v>
      </c>
    </row>
    <row r="43" spans="1:4" x14ac:dyDescent="0.25">
      <c r="A43" t="s">
        <v>134</v>
      </c>
      <c r="B43" t="s">
        <v>134</v>
      </c>
      <c r="C43" t="s">
        <v>134</v>
      </c>
      <c r="D43" t="s">
        <v>134</v>
      </c>
    </row>
    <row r="44" spans="1:4" x14ac:dyDescent="0.25">
      <c r="A44" t="s">
        <v>134</v>
      </c>
      <c r="B44" t="s">
        <v>134</v>
      </c>
      <c r="C44" t="s">
        <v>134</v>
      </c>
      <c r="D44" t="s">
        <v>134</v>
      </c>
    </row>
    <row r="45" spans="1:4" x14ac:dyDescent="0.25">
      <c r="A45" t="s">
        <v>134</v>
      </c>
      <c r="B45" t="s">
        <v>134</v>
      </c>
      <c r="C45" t="s">
        <v>134</v>
      </c>
      <c r="D45" t="s">
        <v>134</v>
      </c>
    </row>
    <row r="46" spans="1:4" x14ac:dyDescent="0.25">
      <c r="A46" t="s">
        <v>134</v>
      </c>
      <c r="B46" t="s">
        <v>134</v>
      </c>
      <c r="C46" t="s">
        <v>134</v>
      </c>
      <c r="D46" t="s">
        <v>134</v>
      </c>
    </row>
    <row r="47" spans="1:4" x14ac:dyDescent="0.25">
      <c r="A47" t="s">
        <v>134</v>
      </c>
      <c r="B47" t="s">
        <v>134</v>
      </c>
      <c r="C47" t="s">
        <v>134</v>
      </c>
      <c r="D47" t="s">
        <v>134</v>
      </c>
    </row>
    <row r="48" spans="1:4" x14ac:dyDescent="0.25">
      <c r="A48" t="s">
        <v>134</v>
      </c>
      <c r="B48" t="s">
        <v>134</v>
      </c>
      <c r="C48" t="s">
        <v>134</v>
      </c>
      <c r="D48" t="s">
        <v>134</v>
      </c>
    </row>
    <row r="49" spans="1:4" x14ac:dyDescent="0.25">
      <c r="A49" t="s">
        <v>134</v>
      </c>
      <c r="B49" t="s">
        <v>134</v>
      </c>
      <c r="C49" t="s">
        <v>134</v>
      </c>
      <c r="D49" t="s">
        <v>134</v>
      </c>
    </row>
    <row r="50" spans="1:4" x14ac:dyDescent="0.25">
      <c r="A50" t="s">
        <v>134</v>
      </c>
      <c r="B50" t="s">
        <v>134</v>
      </c>
      <c r="C50" t="s">
        <v>134</v>
      </c>
      <c r="D50" t="s">
        <v>134</v>
      </c>
    </row>
    <row r="51" spans="1:4" x14ac:dyDescent="0.25">
      <c r="A51" t="s">
        <v>134</v>
      </c>
      <c r="B51" t="s">
        <v>134</v>
      </c>
      <c r="C51" t="s">
        <v>134</v>
      </c>
      <c r="D51" t="s">
        <v>134</v>
      </c>
    </row>
    <row r="52" spans="1:4" x14ac:dyDescent="0.25">
      <c r="A52" t="s">
        <v>134</v>
      </c>
      <c r="B52" t="s">
        <v>134</v>
      </c>
      <c r="C52" t="s">
        <v>134</v>
      </c>
      <c r="D52" t="s">
        <v>134</v>
      </c>
    </row>
    <row r="53" spans="1:4" x14ac:dyDescent="0.25">
      <c r="A53" t="s">
        <v>134</v>
      </c>
      <c r="B53" t="s">
        <v>134</v>
      </c>
      <c r="C53" t="s">
        <v>134</v>
      </c>
      <c r="D53" t="s">
        <v>134</v>
      </c>
    </row>
    <row r="54" spans="1:4" x14ac:dyDescent="0.25">
      <c r="A54" t="s">
        <v>134</v>
      </c>
      <c r="B54" t="s">
        <v>134</v>
      </c>
      <c r="C54" t="s">
        <v>134</v>
      </c>
      <c r="D54" t="s">
        <v>134</v>
      </c>
    </row>
    <row r="55" spans="1:4" x14ac:dyDescent="0.25">
      <c r="A55" t="s">
        <v>134</v>
      </c>
      <c r="B55" t="s">
        <v>134</v>
      </c>
      <c r="C55" t="s">
        <v>134</v>
      </c>
      <c r="D55" t="s">
        <v>134</v>
      </c>
    </row>
    <row r="56" spans="1:4" x14ac:dyDescent="0.25">
      <c r="A56" t="s">
        <v>134</v>
      </c>
      <c r="B56" t="s">
        <v>134</v>
      </c>
      <c r="C56" t="s">
        <v>134</v>
      </c>
      <c r="D56" t="s">
        <v>134</v>
      </c>
    </row>
    <row r="57" spans="1:4" x14ac:dyDescent="0.25">
      <c r="A57" t="s">
        <v>134</v>
      </c>
      <c r="B57" t="s">
        <v>134</v>
      </c>
      <c r="C57" t="s">
        <v>134</v>
      </c>
      <c r="D57" t="s">
        <v>134</v>
      </c>
    </row>
    <row r="58" spans="1:4" x14ac:dyDescent="0.25">
      <c r="A58" t="s">
        <v>134</v>
      </c>
      <c r="B58" t="s">
        <v>134</v>
      </c>
      <c r="C58" t="s">
        <v>134</v>
      </c>
      <c r="D58" t="s">
        <v>134</v>
      </c>
    </row>
    <row r="59" spans="1:4" x14ac:dyDescent="0.25">
      <c r="A59" t="s">
        <v>134</v>
      </c>
      <c r="B59" t="s">
        <v>134</v>
      </c>
      <c r="C59" t="s">
        <v>134</v>
      </c>
      <c r="D59" t="s">
        <v>134</v>
      </c>
    </row>
    <row r="60" spans="1:4" x14ac:dyDescent="0.25">
      <c r="A60" t="s">
        <v>134</v>
      </c>
      <c r="B60" t="s">
        <v>134</v>
      </c>
      <c r="C60" t="s">
        <v>134</v>
      </c>
      <c r="D60" t="s">
        <v>134</v>
      </c>
    </row>
    <row r="61" spans="1:4" x14ac:dyDescent="0.25">
      <c r="A61" t="s">
        <v>134</v>
      </c>
      <c r="B61" t="s">
        <v>134</v>
      </c>
      <c r="C61" t="s">
        <v>134</v>
      </c>
      <c r="D61" t="s">
        <v>134</v>
      </c>
    </row>
    <row r="62" spans="1:4" x14ac:dyDescent="0.25">
      <c r="A62" t="s">
        <v>134</v>
      </c>
      <c r="B62" t="s">
        <v>134</v>
      </c>
      <c r="C62" t="s">
        <v>134</v>
      </c>
      <c r="D62" t="s">
        <v>134</v>
      </c>
    </row>
    <row r="63" spans="1:4" x14ac:dyDescent="0.25">
      <c r="A63" t="s">
        <v>134</v>
      </c>
      <c r="B63" t="s">
        <v>134</v>
      </c>
      <c r="C63" t="s">
        <v>134</v>
      </c>
      <c r="D63" t="s">
        <v>134</v>
      </c>
    </row>
    <row r="64" spans="1:4" x14ac:dyDescent="0.25">
      <c r="A64" t="s">
        <v>134</v>
      </c>
      <c r="B64" t="s">
        <v>134</v>
      </c>
      <c r="C64" t="s">
        <v>134</v>
      </c>
      <c r="D64" t="s">
        <v>134</v>
      </c>
    </row>
    <row r="65" spans="1:4" x14ac:dyDescent="0.25">
      <c r="A65" t="s">
        <v>134</v>
      </c>
      <c r="B65" t="s">
        <v>134</v>
      </c>
      <c r="C65" t="s">
        <v>134</v>
      </c>
      <c r="D65" t="s">
        <v>134</v>
      </c>
    </row>
    <row r="66" spans="1:4" x14ac:dyDescent="0.25">
      <c r="A66" t="s">
        <v>134</v>
      </c>
      <c r="B66" t="s">
        <v>134</v>
      </c>
      <c r="C66" t="s">
        <v>134</v>
      </c>
      <c r="D66" t="s">
        <v>134</v>
      </c>
    </row>
    <row r="67" spans="1:4" x14ac:dyDescent="0.25">
      <c r="A67" t="s">
        <v>134</v>
      </c>
      <c r="B67" t="s">
        <v>134</v>
      </c>
      <c r="C67" t="s">
        <v>134</v>
      </c>
      <c r="D67" t="s">
        <v>134</v>
      </c>
    </row>
    <row r="68" spans="1:4" x14ac:dyDescent="0.25">
      <c r="A68" t="s">
        <v>134</v>
      </c>
      <c r="B68" t="s">
        <v>134</v>
      </c>
      <c r="C68" t="s">
        <v>134</v>
      </c>
      <c r="D68" t="s">
        <v>134</v>
      </c>
    </row>
    <row r="69" spans="1:4" x14ac:dyDescent="0.25">
      <c r="A69" t="s">
        <v>134</v>
      </c>
      <c r="B69" t="s">
        <v>134</v>
      </c>
      <c r="C69" t="s">
        <v>134</v>
      </c>
      <c r="D69" t="s">
        <v>134</v>
      </c>
    </row>
    <row r="70" spans="1:4" x14ac:dyDescent="0.25">
      <c r="A70" t="s">
        <v>134</v>
      </c>
      <c r="B70" t="s">
        <v>134</v>
      </c>
      <c r="C70" t="s">
        <v>134</v>
      </c>
      <c r="D70" t="s">
        <v>134</v>
      </c>
    </row>
    <row r="71" spans="1:4" x14ac:dyDescent="0.25">
      <c r="A71" t="s">
        <v>134</v>
      </c>
      <c r="B71" t="s">
        <v>134</v>
      </c>
      <c r="C71" t="s">
        <v>134</v>
      </c>
      <c r="D71" t="s">
        <v>134</v>
      </c>
    </row>
    <row r="72" spans="1:4" x14ac:dyDescent="0.25">
      <c r="A72" t="s">
        <v>134</v>
      </c>
      <c r="B72" t="s">
        <v>134</v>
      </c>
      <c r="C72" t="s">
        <v>134</v>
      </c>
      <c r="D72" t="s">
        <v>134</v>
      </c>
    </row>
    <row r="73" spans="1:4" x14ac:dyDescent="0.25">
      <c r="A73" t="s">
        <v>134</v>
      </c>
      <c r="B73" t="s">
        <v>134</v>
      </c>
      <c r="C73" t="s">
        <v>134</v>
      </c>
      <c r="D73" t="s">
        <v>134</v>
      </c>
    </row>
    <row r="74" spans="1:4" x14ac:dyDescent="0.25">
      <c r="A74" t="s">
        <v>134</v>
      </c>
      <c r="B74" t="s">
        <v>134</v>
      </c>
      <c r="C74" t="s">
        <v>134</v>
      </c>
      <c r="D74" t="s">
        <v>134</v>
      </c>
    </row>
    <row r="75" spans="1:4" x14ac:dyDescent="0.25">
      <c r="A75" t="s">
        <v>134</v>
      </c>
      <c r="B75" t="s">
        <v>134</v>
      </c>
      <c r="C75" t="s">
        <v>134</v>
      </c>
      <c r="D75" t="s">
        <v>134</v>
      </c>
    </row>
    <row r="76" spans="1:4" x14ac:dyDescent="0.25">
      <c r="A76" t="s">
        <v>134</v>
      </c>
      <c r="B76" t="s">
        <v>134</v>
      </c>
      <c r="C76" t="s">
        <v>134</v>
      </c>
      <c r="D76" t="s">
        <v>134</v>
      </c>
    </row>
    <row r="77" spans="1:4" x14ac:dyDescent="0.25">
      <c r="A77" t="s">
        <v>134</v>
      </c>
      <c r="B77" t="s">
        <v>134</v>
      </c>
      <c r="C77" t="s">
        <v>134</v>
      </c>
      <c r="D77" t="s">
        <v>134</v>
      </c>
    </row>
    <row r="78" spans="1:4" x14ac:dyDescent="0.25">
      <c r="A78" t="s">
        <v>134</v>
      </c>
      <c r="B78" t="s">
        <v>134</v>
      </c>
      <c r="C78" t="s">
        <v>134</v>
      </c>
      <c r="D78" t="s">
        <v>134</v>
      </c>
    </row>
    <row r="79" spans="1:4" x14ac:dyDescent="0.25">
      <c r="A79" t="s">
        <v>134</v>
      </c>
      <c r="B79" t="s">
        <v>134</v>
      </c>
      <c r="C79" t="s">
        <v>134</v>
      </c>
      <c r="D79" t="s">
        <v>134</v>
      </c>
    </row>
    <row r="80" spans="1:4" x14ac:dyDescent="0.25">
      <c r="A80" t="s">
        <v>134</v>
      </c>
      <c r="B80" t="s">
        <v>134</v>
      </c>
      <c r="C80" t="s">
        <v>134</v>
      </c>
      <c r="D80" t="s">
        <v>134</v>
      </c>
    </row>
    <row r="81" spans="1:4" x14ac:dyDescent="0.25">
      <c r="A81" t="s">
        <v>134</v>
      </c>
      <c r="B81" t="s">
        <v>134</v>
      </c>
      <c r="C81" t="s">
        <v>134</v>
      </c>
      <c r="D81" t="s">
        <v>134</v>
      </c>
    </row>
    <row r="82" spans="1:4" x14ac:dyDescent="0.25">
      <c r="A82" t="s">
        <v>134</v>
      </c>
      <c r="B82" t="s">
        <v>134</v>
      </c>
      <c r="C82" t="s">
        <v>134</v>
      </c>
      <c r="D82" t="s">
        <v>134</v>
      </c>
    </row>
    <row r="83" spans="1:4" x14ac:dyDescent="0.25">
      <c r="A83" t="s">
        <v>134</v>
      </c>
      <c r="B83" t="s">
        <v>134</v>
      </c>
      <c r="C83" t="s">
        <v>134</v>
      </c>
      <c r="D83" t="s">
        <v>134</v>
      </c>
    </row>
    <row r="84" spans="1:4" x14ac:dyDescent="0.25">
      <c r="A84" t="s">
        <v>134</v>
      </c>
      <c r="B84" t="s">
        <v>134</v>
      </c>
      <c r="C84" t="s">
        <v>134</v>
      </c>
      <c r="D84" t="s">
        <v>134</v>
      </c>
    </row>
    <row r="85" spans="1:4" x14ac:dyDescent="0.25">
      <c r="A85" t="s">
        <v>134</v>
      </c>
      <c r="B85" t="s">
        <v>134</v>
      </c>
      <c r="C85" t="s">
        <v>134</v>
      </c>
      <c r="D85" t="s">
        <v>134</v>
      </c>
    </row>
    <row r="86" spans="1:4" x14ac:dyDescent="0.25">
      <c r="A86" t="s">
        <v>134</v>
      </c>
      <c r="B86" t="s">
        <v>134</v>
      </c>
      <c r="C86" t="s">
        <v>134</v>
      </c>
      <c r="D86" t="s">
        <v>134</v>
      </c>
    </row>
    <row r="87" spans="1:4" x14ac:dyDescent="0.25">
      <c r="A87" t="s">
        <v>134</v>
      </c>
      <c r="B87" t="s">
        <v>134</v>
      </c>
      <c r="C87" t="s">
        <v>134</v>
      </c>
      <c r="D87" t="s">
        <v>134</v>
      </c>
    </row>
    <row r="88" spans="1:4" x14ac:dyDescent="0.25">
      <c r="A88" t="s">
        <v>134</v>
      </c>
      <c r="B88" t="s">
        <v>134</v>
      </c>
      <c r="C88" t="s">
        <v>134</v>
      </c>
      <c r="D88" t="s">
        <v>134</v>
      </c>
    </row>
    <row r="89" spans="1:4" x14ac:dyDescent="0.25">
      <c r="A89" t="s">
        <v>134</v>
      </c>
      <c r="B89" t="s">
        <v>134</v>
      </c>
      <c r="C89" t="s">
        <v>134</v>
      </c>
      <c r="D89" t="s">
        <v>134</v>
      </c>
    </row>
    <row r="90" spans="1:4" x14ac:dyDescent="0.25">
      <c r="A90" t="s">
        <v>134</v>
      </c>
      <c r="B90" t="s">
        <v>134</v>
      </c>
      <c r="C90" t="s">
        <v>134</v>
      </c>
      <c r="D90" t="s">
        <v>134</v>
      </c>
    </row>
    <row r="91" spans="1:4" x14ac:dyDescent="0.25">
      <c r="A91" t="s">
        <v>134</v>
      </c>
      <c r="B91" t="s">
        <v>134</v>
      </c>
      <c r="C91" t="s">
        <v>134</v>
      </c>
      <c r="D91" t="s">
        <v>134</v>
      </c>
    </row>
    <row r="92" spans="1:4" x14ac:dyDescent="0.25">
      <c r="A92" t="s">
        <v>134</v>
      </c>
      <c r="B92" t="s">
        <v>134</v>
      </c>
      <c r="C92" t="s">
        <v>134</v>
      </c>
      <c r="D92" t="s">
        <v>134</v>
      </c>
    </row>
    <row r="93" spans="1:4" x14ac:dyDescent="0.25">
      <c r="A93" t="s">
        <v>134</v>
      </c>
      <c r="B93" t="s">
        <v>134</v>
      </c>
      <c r="C93" t="s">
        <v>134</v>
      </c>
      <c r="D93" t="s">
        <v>134</v>
      </c>
    </row>
    <row r="94" spans="1:4" x14ac:dyDescent="0.25">
      <c r="A94" t="s">
        <v>134</v>
      </c>
      <c r="B94" t="s">
        <v>134</v>
      </c>
      <c r="C94" t="s">
        <v>134</v>
      </c>
      <c r="D94" t="s">
        <v>134</v>
      </c>
    </row>
    <row r="95" spans="1:4" x14ac:dyDescent="0.25">
      <c r="A95" t="s">
        <v>134</v>
      </c>
      <c r="B95" t="s">
        <v>134</v>
      </c>
      <c r="C95" t="s">
        <v>134</v>
      </c>
      <c r="D95" t="s">
        <v>134</v>
      </c>
    </row>
    <row r="96" spans="1:4" x14ac:dyDescent="0.25">
      <c r="A96" t="s">
        <v>134</v>
      </c>
      <c r="B96" t="s">
        <v>134</v>
      </c>
      <c r="C96" t="s">
        <v>134</v>
      </c>
      <c r="D96" t="s">
        <v>134</v>
      </c>
    </row>
    <row r="97" spans="1:4" x14ac:dyDescent="0.25">
      <c r="A97" t="s">
        <v>134</v>
      </c>
      <c r="B97" t="s">
        <v>134</v>
      </c>
      <c r="C97" t="s">
        <v>134</v>
      </c>
      <c r="D97" t="s">
        <v>134</v>
      </c>
    </row>
    <row r="98" spans="1:4" x14ac:dyDescent="0.25">
      <c r="A98" t="s">
        <v>134</v>
      </c>
      <c r="B98" t="s">
        <v>134</v>
      </c>
      <c r="C98" t="s">
        <v>134</v>
      </c>
      <c r="D98" t="s">
        <v>134</v>
      </c>
    </row>
    <row r="99" spans="1:4" x14ac:dyDescent="0.25">
      <c r="A99" t="s">
        <v>134</v>
      </c>
      <c r="B99" t="s">
        <v>134</v>
      </c>
      <c r="C99" t="s">
        <v>134</v>
      </c>
      <c r="D99" t="s">
        <v>134</v>
      </c>
    </row>
    <row r="100" spans="1:4" x14ac:dyDescent="0.25">
      <c r="A100" t="s">
        <v>134</v>
      </c>
      <c r="B100" t="s">
        <v>134</v>
      </c>
      <c r="C100" t="s">
        <v>134</v>
      </c>
      <c r="D100" t="s">
        <v>134</v>
      </c>
    </row>
    <row r="101" spans="1:4" x14ac:dyDescent="0.25">
      <c r="A101" t="s">
        <v>134</v>
      </c>
      <c r="B101" t="s">
        <v>134</v>
      </c>
      <c r="C101" t="s">
        <v>134</v>
      </c>
      <c r="D101" t="s">
        <v>134</v>
      </c>
    </row>
    <row r="102" spans="1:4" x14ac:dyDescent="0.25">
      <c r="A102" t="s">
        <v>134</v>
      </c>
      <c r="B102" t="s">
        <v>134</v>
      </c>
      <c r="C102" t="s">
        <v>134</v>
      </c>
      <c r="D102" t="s">
        <v>134</v>
      </c>
    </row>
    <row r="103" spans="1:4" x14ac:dyDescent="0.25">
      <c r="A103" t="s">
        <v>134</v>
      </c>
      <c r="B103" t="s">
        <v>134</v>
      </c>
      <c r="C103" t="s">
        <v>134</v>
      </c>
      <c r="D103" t="s">
        <v>134</v>
      </c>
    </row>
    <row r="104" spans="1:4" x14ac:dyDescent="0.25">
      <c r="A104" t="s">
        <v>134</v>
      </c>
      <c r="B104" t="s">
        <v>134</v>
      </c>
      <c r="C104" t="s">
        <v>134</v>
      </c>
      <c r="D104" t="s">
        <v>134</v>
      </c>
    </row>
    <row r="105" spans="1:4" x14ac:dyDescent="0.25">
      <c r="A105" t="s">
        <v>134</v>
      </c>
      <c r="B105" t="s">
        <v>134</v>
      </c>
      <c r="C105" t="s">
        <v>134</v>
      </c>
      <c r="D105" t="s">
        <v>134</v>
      </c>
    </row>
    <row r="106" spans="1:4" x14ac:dyDescent="0.25">
      <c r="A106" t="s">
        <v>134</v>
      </c>
      <c r="B106" t="s">
        <v>134</v>
      </c>
      <c r="C106" t="s">
        <v>134</v>
      </c>
      <c r="D106" t="s">
        <v>134</v>
      </c>
    </row>
    <row r="107" spans="1:4" x14ac:dyDescent="0.25">
      <c r="A107" t="s">
        <v>134</v>
      </c>
      <c r="B107" t="s">
        <v>134</v>
      </c>
      <c r="C107" t="s">
        <v>134</v>
      </c>
      <c r="D107" t="s">
        <v>134</v>
      </c>
    </row>
    <row r="108" spans="1:4" x14ac:dyDescent="0.25">
      <c r="A108" t="s">
        <v>134</v>
      </c>
      <c r="B108" t="s">
        <v>134</v>
      </c>
      <c r="C108" t="s">
        <v>134</v>
      </c>
      <c r="D108" t="s">
        <v>134</v>
      </c>
    </row>
    <row r="109" spans="1:4" x14ac:dyDescent="0.25">
      <c r="A109" t="s">
        <v>134</v>
      </c>
      <c r="B109" t="s">
        <v>134</v>
      </c>
      <c r="C109" t="s">
        <v>134</v>
      </c>
      <c r="D109" t="s">
        <v>134</v>
      </c>
    </row>
    <row r="110" spans="1:4" x14ac:dyDescent="0.25">
      <c r="A110" t="s">
        <v>134</v>
      </c>
      <c r="B110" t="s">
        <v>134</v>
      </c>
      <c r="C110" t="s">
        <v>134</v>
      </c>
      <c r="D110" t="s">
        <v>134</v>
      </c>
    </row>
    <row r="111" spans="1:4" x14ac:dyDescent="0.25">
      <c r="A111" t="s">
        <v>134</v>
      </c>
      <c r="B111" t="s">
        <v>134</v>
      </c>
      <c r="C111" t="s">
        <v>134</v>
      </c>
      <c r="D111" t="s">
        <v>134</v>
      </c>
    </row>
    <row r="112" spans="1:4" x14ac:dyDescent="0.25">
      <c r="A112" t="s">
        <v>134</v>
      </c>
      <c r="B112" t="s">
        <v>134</v>
      </c>
      <c r="C112" t="s">
        <v>134</v>
      </c>
      <c r="D112" t="s">
        <v>134</v>
      </c>
    </row>
    <row r="113" spans="1:4" x14ac:dyDescent="0.25">
      <c r="A113" t="s">
        <v>134</v>
      </c>
      <c r="B113" t="s">
        <v>134</v>
      </c>
      <c r="C113" t="s">
        <v>134</v>
      </c>
      <c r="D113" t="s">
        <v>134</v>
      </c>
    </row>
    <row r="114" spans="1:4" x14ac:dyDescent="0.25">
      <c r="A114" t="s">
        <v>134</v>
      </c>
      <c r="B114" t="s">
        <v>134</v>
      </c>
      <c r="C114" t="s">
        <v>134</v>
      </c>
      <c r="D114" t="s">
        <v>134</v>
      </c>
    </row>
    <row r="115" spans="1:4" x14ac:dyDescent="0.25">
      <c r="A115" t="s">
        <v>134</v>
      </c>
      <c r="B115" t="s">
        <v>134</v>
      </c>
      <c r="C115" t="s">
        <v>134</v>
      </c>
      <c r="D115" t="s">
        <v>134</v>
      </c>
    </row>
    <row r="116" spans="1:4" x14ac:dyDescent="0.25">
      <c r="A116" t="s">
        <v>134</v>
      </c>
      <c r="B116" t="s">
        <v>134</v>
      </c>
      <c r="C116" t="s">
        <v>134</v>
      </c>
      <c r="D116" t="s">
        <v>134</v>
      </c>
    </row>
    <row r="117" spans="1:4" x14ac:dyDescent="0.25">
      <c r="A117" t="s">
        <v>134</v>
      </c>
      <c r="B117" t="s">
        <v>134</v>
      </c>
      <c r="C117" t="s">
        <v>134</v>
      </c>
      <c r="D117" t="s">
        <v>134</v>
      </c>
    </row>
    <row r="118" spans="1:4" x14ac:dyDescent="0.25">
      <c r="A118" t="s">
        <v>134</v>
      </c>
      <c r="B118" t="s">
        <v>134</v>
      </c>
      <c r="C118" t="s">
        <v>134</v>
      </c>
      <c r="D118" t="s">
        <v>134</v>
      </c>
    </row>
    <row r="119" spans="1:4" x14ac:dyDescent="0.25">
      <c r="A119" t="s">
        <v>134</v>
      </c>
      <c r="B119" t="s">
        <v>134</v>
      </c>
      <c r="C119" t="s">
        <v>134</v>
      </c>
      <c r="D119" t="s">
        <v>134</v>
      </c>
    </row>
    <row r="120" spans="1:4" x14ac:dyDescent="0.25">
      <c r="A120" t="s">
        <v>134</v>
      </c>
      <c r="B120" t="s">
        <v>134</v>
      </c>
      <c r="C120" t="s">
        <v>134</v>
      </c>
      <c r="D120" t="s">
        <v>134</v>
      </c>
    </row>
    <row r="121" spans="1:4" x14ac:dyDescent="0.25">
      <c r="A121" t="s">
        <v>134</v>
      </c>
      <c r="B121" t="s">
        <v>134</v>
      </c>
      <c r="C121" t="s">
        <v>134</v>
      </c>
      <c r="D121" t="s">
        <v>134</v>
      </c>
    </row>
    <row r="122" spans="1:4" x14ac:dyDescent="0.25">
      <c r="A122" t="s">
        <v>134</v>
      </c>
      <c r="B122" t="s">
        <v>134</v>
      </c>
      <c r="C122" t="s">
        <v>134</v>
      </c>
      <c r="D122" t="s">
        <v>134</v>
      </c>
    </row>
    <row r="123" spans="1:4" x14ac:dyDescent="0.25">
      <c r="A123" t="s">
        <v>134</v>
      </c>
      <c r="B123" t="s">
        <v>134</v>
      </c>
      <c r="C123" t="s">
        <v>134</v>
      </c>
      <c r="D123" t="s">
        <v>134</v>
      </c>
    </row>
    <row r="124" spans="1:4" x14ac:dyDescent="0.25">
      <c r="A124" t="s">
        <v>134</v>
      </c>
      <c r="B124" t="s">
        <v>134</v>
      </c>
      <c r="C124" t="s">
        <v>134</v>
      </c>
      <c r="D124" t="s">
        <v>134</v>
      </c>
    </row>
    <row r="125" spans="1:4" x14ac:dyDescent="0.25">
      <c r="A125" t="s">
        <v>134</v>
      </c>
      <c r="B125" t="s">
        <v>134</v>
      </c>
      <c r="C125" t="s">
        <v>134</v>
      </c>
      <c r="D125" t="s">
        <v>134</v>
      </c>
    </row>
    <row r="126" spans="1:4" x14ac:dyDescent="0.25">
      <c r="A126" t="s">
        <v>134</v>
      </c>
      <c r="B126" t="s">
        <v>134</v>
      </c>
      <c r="C126" t="s">
        <v>134</v>
      </c>
      <c r="D126" t="s">
        <v>134</v>
      </c>
    </row>
    <row r="127" spans="1:4" x14ac:dyDescent="0.25">
      <c r="A127" t="s">
        <v>134</v>
      </c>
      <c r="B127" t="s">
        <v>134</v>
      </c>
      <c r="C127" t="s">
        <v>134</v>
      </c>
      <c r="D127" t="s">
        <v>134</v>
      </c>
    </row>
    <row r="128" spans="1:4" x14ac:dyDescent="0.25">
      <c r="A128" t="s">
        <v>134</v>
      </c>
      <c r="B128" t="s">
        <v>134</v>
      </c>
      <c r="C128" t="s">
        <v>134</v>
      </c>
      <c r="D128" t="s">
        <v>134</v>
      </c>
    </row>
    <row r="129" spans="1:4" x14ac:dyDescent="0.25">
      <c r="A129" t="s">
        <v>134</v>
      </c>
      <c r="B129" t="s">
        <v>134</v>
      </c>
      <c r="C129" t="s">
        <v>134</v>
      </c>
      <c r="D129" t="s">
        <v>134</v>
      </c>
    </row>
    <row r="130" spans="1:4" x14ac:dyDescent="0.25">
      <c r="A130" t="s">
        <v>134</v>
      </c>
      <c r="B130" t="s">
        <v>134</v>
      </c>
      <c r="C130" t="s">
        <v>134</v>
      </c>
      <c r="D130" t="s">
        <v>134</v>
      </c>
    </row>
    <row r="131" spans="1:4" x14ac:dyDescent="0.25">
      <c r="A131" t="s">
        <v>134</v>
      </c>
      <c r="B131" t="s">
        <v>134</v>
      </c>
      <c r="C131" t="s">
        <v>134</v>
      </c>
      <c r="D131" t="s">
        <v>134</v>
      </c>
    </row>
    <row r="132" spans="1:4" x14ac:dyDescent="0.25">
      <c r="A132" t="s">
        <v>134</v>
      </c>
      <c r="B132" t="s">
        <v>134</v>
      </c>
      <c r="C132" t="s">
        <v>134</v>
      </c>
      <c r="D132" t="s">
        <v>134</v>
      </c>
    </row>
    <row r="133" spans="1:4" x14ac:dyDescent="0.25">
      <c r="A133" t="s">
        <v>134</v>
      </c>
      <c r="B133" t="s">
        <v>134</v>
      </c>
      <c r="C133" t="s">
        <v>134</v>
      </c>
      <c r="D133" t="s">
        <v>134</v>
      </c>
    </row>
    <row r="134" spans="1:4" x14ac:dyDescent="0.25">
      <c r="A134" t="s">
        <v>134</v>
      </c>
      <c r="B134" t="s">
        <v>134</v>
      </c>
      <c r="C134" t="s">
        <v>134</v>
      </c>
      <c r="D134" t="s">
        <v>134</v>
      </c>
    </row>
    <row r="135" spans="1:4" x14ac:dyDescent="0.25">
      <c r="A135" t="s">
        <v>134</v>
      </c>
      <c r="B135" t="s">
        <v>134</v>
      </c>
      <c r="C135" t="s">
        <v>134</v>
      </c>
      <c r="D135" t="s">
        <v>134</v>
      </c>
    </row>
    <row r="136" spans="1:4" x14ac:dyDescent="0.25">
      <c r="A136" t="s">
        <v>134</v>
      </c>
      <c r="B136" t="s">
        <v>134</v>
      </c>
      <c r="C136" t="s">
        <v>134</v>
      </c>
      <c r="D136" t="s">
        <v>134</v>
      </c>
    </row>
    <row r="137" spans="1:4" x14ac:dyDescent="0.25">
      <c r="A137" t="s">
        <v>134</v>
      </c>
      <c r="B137" t="s">
        <v>134</v>
      </c>
      <c r="C137" t="s">
        <v>134</v>
      </c>
      <c r="D137" t="s">
        <v>134</v>
      </c>
    </row>
    <row r="138" spans="1:4" x14ac:dyDescent="0.25">
      <c r="A138" t="s">
        <v>134</v>
      </c>
      <c r="B138" t="s">
        <v>134</v>
      </c>
      <c r="C138" t="s">
        <v>134</v>
      </c>
      <c r="D138" t="s">
        <v>134</v>
      </c>
    </row>
    <row r="139" spans="1:4" x14ac:dyDescent="0.25">
      <c r="A139" t="s">
        <v>134</v>
      </c>
      <c r="B139" t="s">
        <v>134</v>
      </c>
      <c r="C139" t="s">
        <v>134</v>
      </c>
      <c r="D139" t="s">
        <v>134</v>
      </c>
    </row>
    <row r="140" spans="1:4" x14ac:dyDescent="0.25">
      <c r="A140" t="s">
        <v>134</v>
      </c>
      <c r="B140" t="s">
        <v>134</v>
      </c>
      <c r="C140" t="s">
        <v>134</v>
      </c>
      <c r="D140" t="s">
        <v>134</v>
      </c>
    </row>
    <row r="141" spans="1:4" x14ac:dyDescent="0.25">
      <c r="A141" t="s">
        <v>134</v>
      </c>
      <c r="B141" t="s">
        <v>134</v>
      </c>
      <c r="C141" t="s">
        <v>134</v>
      </c>
      <c r="D141" t="s">
        <v>134</v>
      </c>
    </row>
    <row r="142" spans="1:4" x14ac:dyDescent="0.25">
      <c r="A142" t="s">
        <v>134</v>
      </c>
      <c r="B142" t="s">
        <v>134</v>
      </c>
      <c r="C142" t="s">
        <v>134</v>
      </c>
      <c r="D142" t="s">
        <v>134</v>
      </c>
    </row>
    <row r="143" spans="1:4" x14ac:dyDescent="0.25">
      <c r="A143" t="s">
        <v>134</v>
      </c>
      <c r="B143" t="s">
        <v>134</v>
      </c>
      <c r="C143" t="s">
        <v>134</v>
      </c>
      <c r="D143" t="s">
        <v>134</v>
      </c>
    </row>
    <row r="144" spans="1:4" x14ac:dyDescent="0.25">
      <c r="A144" t="s">
        <v>134</v>
      </c>
      <c r="B144" t="s">
        <v>134</v>
      </c>
      <c r="C144" t="s">
        <v>134</v>
      </c>
      <c r="D144" t="s">
        <v>134</v>
      </c>
    </row>
    <row r="145" spans="1:4" x14ac:dyDescent="0.25">
      <c r="A145" t="s">
        <v>134</v>
      </c>
      <c r="B145" t="s">
        <v>134</v>
      </c>
      <c r="C145" t="s">
        <v>134</v>
      </c>
      <c r="D145" t="s">
        <v>134</v>
      </c>
    </row>
    <row r="146" spans="1:4" x14ac:dyDescent="0.25">
      <c r="A146" t="s">
        <v>134</v>
      </c>
      <c r="B146" t="s">
        <v>134</v>
      </c>
      <c r="C146" t="s">
        <v>134</v>
      </c>
      <c r="D146" t="s">
        <v>134</v>
      </c>
    </row>
    <row r="147" spans="1:4" x14ac:dyDescent="0.25">
      <c r="A147" t="s">
        <v>134</v>
      </c>
      <c r="B147" t="s">
        <v>134</v>
      </c>
      <c r="C147" t="s">
        <v>134</v>
      </c>
      <c r="D147" t="s">
        <v>134</v>
      </c>
    </row>
    <row r="148" spans="1:4" x14ac:dyDescent="0.25">
      <c r="A148" t="s">
        <v>134</v>
      </c>
      <c r="B148" t="s">
        <v>134</v>
      </c>
      <c r="C148" t="s">
        <v>134</v>
      </c>
      <c r="D148" t="s">
        <v>134</v>
      </c>
    </row>
    <row r="149" spans="1:4" x14ac:dyDescent="0.25">
      <c r="A149" t="s">
        <v>134</v>
      </c>
      <c r="B149" t="s">
        <v>134</v>
      </c>
      <c r="C149" t="s">
        <v>134</v>
      </c>
      <c r="D149" t="s">
        <v>134</v>
      </c>
    </row>
    <row r="150" spans="1:4" x14ac:dyDescent="0.25">
      <c r="A150" t="s">
        <v>134</v>
      </c>
      <c r="B150" t="s">
        <v>134</v>
      </c>
      <c r="C150" t="s">
        <v>134</v>
      </c>
      <c r="D150" t="s">
        <v>134</v>
      </c>
    </row>
    <row r="151" spans="1:4" x14ac:dyDescent="0.25">
      <c r="A151" t="s">
        <v>134</v>
      </c>
      <c r="B151" t="s">
        <v>134</v>
      </c>
      <c r="C151" t="s">
        <v>134</v>
      </c>
      <c r="D151" t="s">
        <v>134</v>
      </c>
    </row>
    <row r="152" spans="1:4" x14ac:dyDescent="0.25">
      <c r="A152" t="s">
        <v>134</v>
      </c>
      <c r="B152" t="s">
        <v>134</v>
      </c>
      <c r="C152" t="s">
        <v>134</v>
      </c>
      <c r="D152" t="s">
        <v>134</v>
      </c>
    </row>
    <row r="153" spans="1:4" x14ac:dyDescent="0.25">
      <c r="A153" t="s">
        <v>134</v>
      </c>
      <c r="B153" t="s">
        <v>134</v>
      </c>
      <c r="C153" t="s">
        <v>134</v>
      </c>
      <c r="D153" t="s">
        <v>134</v>
      </c>
    </row>
    <row r="154" spans="1:4" x14ac:dyDescent="0.25">
      <c r="A154" t="s">
        <v>134</v>
      </c>
      <c r="B154" t="s">
        <v>134</v>
      </c>
      <c r="C154" t="s">
        <v>134</v>
      </c>
      <c r="D154" t="s">
        <v>134</v>
      </c>
    </row>
    <row r="155" spans="1:4" x14ac:dyDescent="0.25">
      <c r="A155" t="s">
        <v>134</v>
      </c>
      <c r="B155" t="s">
        <v>134</v>
      </c>
      <c r="C155" t="s">
        <v>134</v>
      </c>
      <c r="D155" t="s">
        <v>134</v>
      </c>
    </row>
    <row r="156" spans="1:4" x14ac:dyDescent="0.25">
      <c r="A156" t="s">
        <v>134</v>
      </c>
      <c r="B156" t="s">
        <v>134</v>
      </c>
      <c r="C156" t="s">
        <v>134</v>
      </c>
      <c r="D156" t="s">
        <v>134</v>
      </c>
    </row>
    <row r="157" spans="1:4" x14ac:dyDescent="0.25">
      <c r="A157" t="s">
        <v>134</v>
      </c>
      <c r="B157" t="s">
        <v>134</v>
      </c>
      <c r="C157" t="s">
        <v>134</v>
      </c>
      <c r="D157" t="s">
        <v>134</v>
      </c>
    </row>
    <row r="158" spans="1:4" x14ac:dyDescent="0.25">
      <c r="A158" t="s">
        <v>134</v>
      </c>
      <c r="B158" t="s">
        <v>134</v>
      </c>
      <c r="C158" t="s">
        <v>134</v>
      </c>
      <c r="D158" t="s">
        <v>134</v>
      </c>
    </row>
    <row r="159" spans="1:4" x14ac:dyDescent="0.25">
      <c r="A159" t="s">
        <v>134</v>
      </c>
      <c r="B159" t="s">
        <v>134</v>
      </c>
      <c r="C159" t="s">
        <v>134</v>
      </c>
      <c r="D159" t="s">
        <v>134</v>
      </c>
    </row>
    <row r="160" spans="1:4" x14ac:dyDescent="0.25">
      <c r="A160" t="s">
        <v>134</v>
      </c>
      <c r="B160" t="s">
        <v>134</v>
      </c>
      <c r="C160" t="s">
        <v>134</v>
      </c>
      <c r="D160" t="s">
        <v>134</v>
      </c>
    </row>
    <row r="161" spans="1:4" x14ac:dyDescent="0.25">
      <c r="A161" t="s">
        <v>134</v>
      </c>
      <c r="B161" t="s">
        <v>134</v>
      </c>
      <c r="C161" t="s">
        <v>134</v>
      </c>
      <c r="D161" t="s">
        <v>134</v>
      </c>
    </row>
    <row r="162" spans="1:4" x14ac:dyDescent="0.25">
      <c r="A162" t="s">
        <v>134</v>
      </c>
      <c r="B162" t="s">
        <v>134</v>
      </c>
      <c r="C162" t="s">
        <v>134</v>
      </c>
      <c r="D162" t="s">
        <v>134</v>
      </c>
    </row>
    <row r="163" spans="1:4" x14ac:dyDescent="0.25">
      <c r="A163" t="s">
        <v>134</v>
      </c>
      <c r="B163" t="s">
        <v>134</v>
      </c>
      <c r="C163" t="s">
        <v>134</v>
      </c>
      <c r="D163" t="s">
        <v>134</v>
      </c>
    </row>
    <row r="164" spans="1:4" x14ac:dyDescent="0.25">
      <c r="A164" t="s">
        <v>134</v>
      </c>
      <c r="B164" t="s">
        <v>134</v>
      </c>
      <c r="C164" t="s">
        <v>134</v>
      </c>
      <c r="D164" t="s">
        <v>134</v>
      </c>
    </row>
    <row r="165" spans="1:4" x14ac:dyDescent="0.25">
      <c r="A165" t="s">
        <v>134</v>
      </c>
      <c r="B165" t="s">
        <v>134</v>
      </c>
      <c r="C165" t="s">
        <v>134</v>
      </c>
      <c r="D165" t="s">
        <v>134</v>
      </c>
    </row>
    <row r="166" spans="1:4" x14ac:dyDescent="0.25">
      <c r="A166" t="s">
        <v>134</v>
      </c>
      <c r="B166" t="s">
        <v>134</v>
      </c>
      <c r="C166" t="s">
        <v>134</v>
      </c>
      <c r="D166" t="s">
        <v>134</v>
      </c>
    </row>
    <row r="167" spans="1:4" x14ac:dyDescent="0.25">
      <c r="A167" t="s">
        <v>134</v>
      </c>
      <c r="B167" t="s">
        <v>134</v>
      </c>
      <c r="C167" t="s">
        <v>134</v>
      </c>
      <c r="D167" t="s">
        <v>134</v>
      </c>
    </row>
    <row r="168" spans="1:4" x14ac:dyDescent="0.25">
      <c r="A168" t="s">
        <v>134</v>
      </c>
      <c r="B168" t="s">
        <v>134</v>
      </c>
      <c r="C168" t="s">
        <v>134</v>
      </c>
      <c r="D168" t="s">
        <v>134</v>
      </c>
    </row>
    <row r="169" spans="1:4" x14ac:dyDescent="0.25">
      <c r="A169" t="s">
        <v>134</v>
      </c>
      <c r="B169" t="s">
        <v>134</v>
      </c>
      <c r="C169" t="s">
        <v>134</v>
      </c>
      <c r="D169" t="s">
        <v>134</v>
      </c>
    </row>
    <row r="170" spans="1:4" x14ac:dyDescent="0.25">
      <c r="A170" t="s">
        <v>134</v>
      </c>
      <c r="B170" t="s">
        <v>134</v>
      </c>
      <c r="C170" t="s">
        <v>134</v>
      </c>
      <c r="D170" t="s">
        <v>134</v>
      </c>
    </row>
    <row r="171" spans="1:4" x14ac:dyDescent="0.25">
      <c r="A171" t="s">
        <v>134</v>
      </c>
      <c r="B171" t="s">
        <v>134</v>
      </c>
      <c r="C171" t="s">
        <v>134</v>
      </c>
      <c r="D171" t="s">
        <v>134</v>
      </c>
    </row>
    <row r="172" spans="1:4" x14ac:dyDescent="0.25">
      <c r="A172" t="s">
        <v>134</v>
      </c>
      <c r="B172" t="s">
        <v>134</v>
      </c>
      <c r="C172" t="s">
        <v>134</v>
      </c>
      <c r="D172" t="s">
        <v>134</v>
      </c>
    </row>
    <row r="173" spans="1:4" x14ac:dyDescent="0.25">
      <c r="A173" t="s">
        <v>134</v>
      </c>
      <c r="B173" t="s">
        <v>134</v>
      </c>
      <c r="C173" t="s">
        <v>134</v>
      </c>
      <c r="D173" t="s">
        <v>134</v>
      </c>
    </row>
    <row r="174" spans="1:4" x14ac:dyDescent="0.25">
      <c r="A174" t="s">
        <v>134</v>
      </c>
      <c r="B174" t="s">
        <v>134</v>
      </c>
      <c r="C174" t="s">
        <v>134</v>
      </c>
      <c r="D174" t="s">
        <v>134</v>
      </c>
    </row>
    <row r="175" spans="1:4" x14ac:dyDescent="0.25">
      <c r="A175" t="s">
        <v>134</v>
      </c>
      <c r="B175" t="s">
        <v>134</v>
      </c>
      <c r="C175" t="s">
        <v>134</v>
      </c>
      <c r="D175" t="s">
        <v>134</v>
      </c>
    </row>
    <row r="176" spans="1:4" x14ac:dyDescent="0.25">
      <c r="A176" t="s">
        <v>134</v>
      </c>
      <c r="B176" t="s">
        <v>134</v>
      </c>
      <c r="C176" t="s">
        <v>134</v>
      </c>
      <c r="D176" t="s">
        <v>134</v>
      </c>
    </row>
    <row r="177" spans="1:4" x14ac:dyDescent="0.25">
      <c r="A177" t="s">
        <v>134</v>
      </c>
      <c r="B177" t="s">
        <v>134</v>
      </c>
      <c r="C177" t="s">
        <v>134</v>
      </c>
      <c r="D177" t="s">
        <v>134</v>
      </c>
    </row>
    <row r="178" spans="1:4" x14ac:dyDescent="0.25">
      <c r="A178" t="s">
        <v>134</v>
      </c>
      <c r="B178" t="s">
        <v>134</v>
      </c>
      <c r="C178" t="s">
        <v>134</v>
      </c>
      <c r="D178" t="s">
        <v>134</v>
      </c>
    </row>
    <row r="179" spans="1:4" x14ac:dyDescent="0.25">
      <c r="A179" t="s">
        <v>134</v>
      </c>
      <c r="B179" t="s">
        <v>134</v>
      </c>
      <c r="C179" t="s">
        <v>134</v>
      </c>
      <c r="D179" t="s">
        <v>134</v>
      </c>
    </row>
    <row r="180" spans="1:4" x14ac:dyDescent="0.25">
      <c r="A180" t="s">
        <v>134</v>
      </c>
      <c r="B180" t="s">
        <v>134</v>
      </c>
      <c r="C180" t="s">
        <v>134</v>
      </c>
      <c r="D180" t="s">
        <v>134</v>
      </c>
    </row>
    <row r="181" spans="1:4" x14ac:dyDescent="0.25">
      <c r="A181" t="s">
        <v>134</v>
      </c>
      <c r="B181" t="s">
        <v>134</v>
      </c>
      <c r="C181" t="s">
        <v>134</v>
      </c>
      <c r="D181" t="s">
        <v>134</v>
      </c>
    </row>
    <row r="182" spans="1:4" x14ac:dyDescent="0.25">
      <c r="A182" t="s">
        <v>134</v>
      </c>
      <c r="B182" t="s">
        <v>134</v>
      </c>
      <c r="C182" t="s">
        <v>134</v>
      </c>
      <c r="D182" t="s">
        <v>134</v>
      </c>
    </row>
    <row r="183" spans="1:4" x14ac:dyDescent="0.25">
      <c r="A183" t="s">
        <v>134</v>
      </c>
      <c r="B183" t="s">
        <v>134</v>
      </c>
      <c r="C183" t="s">
        <v>134</v>
      </c>
      <c r="D183" t="s">
        <v>134</v>
      </c>
    </row>
    <row r="184" spans="1:4" x14ac:dyDescent="0.25">
      <c r="A184" t="s">
        <v>134</v>
      </c>
      <c r="B184" t="s">
        <v>134</v>
      </c>
      <c r="C184" t="s">
        <v>134</v>
      </c>
      <c r="D184" t="s">
        <v>134</v>
      </c>
    </row>
    <row r="185" spans="1:4" x14ac:dyDescent="0.25">
      <c r="A185" t="s">
        <v>134</v>
      </c>
      <c r="B185" t="s">
        <v>134</v>
      </c>
      <c r="C185" t="s">
        <v>134</v>
      </c>
      <c r="D185" t="s">
        <v>134</v>
      </c>
    </row>
    <row r="186" spans="1:4" x14ac:dyDescent="0.25">
      <c r="A186" t="s">
        <v>134</v>
      </c>
      <c r="B186" t="s">
        <v>134</v>
      </c>
      <c r="C186" t="s">
        <v>134</v>
      </c>
      <c r="D186" t="s">
        <v>134</v>
      </c>
    </row>
    <row r="187" spans="1:4" x14ac:dyDescent="0.25">
      <c r="A187" t="s">
        <v>134</v>
      </c>
      <c r="B187" t="s">
        <v>134</v>
      </c>
      <c r="C187" t="s">
        <v>134</v>
      </c>
      <c r="D187" t="s">
        <v>134</v>
      </c>
    </row>
    <row r="188" spans="1:4" x14ac:dyDescent="0.25">
      <c r="A188" t="s">
        <v>134</v>
      </c>
      <c r="B188" t="s">
        <v>134</v>
      </c>
      <c r="C188" t="s">
        <v>134</v>
      </c>
      <c r="D188" t="s">
        <v>134</v>
      </c>
    </row>
    <row r="189" spans="1:4" x14ac:dyDescent="0.25">
      <c r="A189" t="s">
        <v>134</v>
      </c>
      <c r="B189" t="s">
        <v>134</v>
      </c>
      <c r="C189" t="s">
        <v>134</v>
      </c>
      <c r="D189" t="s">
        <v>134</v>
      </c>
    </row>
    <row r="190" spans="1:4" x14ac:dyDescent="0.25">
      <c r="A190" t="s">
        <v>134</v>
      </c>
      <c r="B190" t="s">
        <v>134</v>
      </c>
      <c r="C190" t="s">
        <v>134</v>
      </c>
      <c r="D190" t="s">
        <v>134</v>
      </c>
    </row>
    <row r="191" spans="1:4" x14ac:dyDescent="0.25">
      <c r="A191" t="s">
        <v>134</v>
      </c>
      <c r="B191" t="s">
        <v>134</v>
      </c>
      <c r="C191" t="s">
        <v>134</v>
      </c>
      <c r="D191" t="s">
        <v>134</v>
      </c>
    </row>
    <row r="192" spans="1:4" x14ac:dyDescent="0.25">
      <c r="A192" t="s">
        <v>134</v>
      </c>
      <c r="B192" t="s">
        <v>134</v>
      </c>
      <c r="C192" t="s">
        <v>134</v>
      </c>
      <c r="D192" t="s">
        <v>134</v>
      </c>
    </row>
    <row r="193" spans="1:4" x14ac:dyDescent="0.25">
      <c r="A193" t="s">
        <v>134</v>
      </c>
      <c r="B193" t="s">
        <v>134</v>
      </c>
      <c r="C193" t="s">
        <v>134</v>
      </c>
      <c r="D193" t="s">
        <v>134</v>
      </c>
    </row>
    <row r="194" spans="1:4" x14ac:dyDescent="0.25">
      <c r="A194" t="s">
        <v>134</v>
      </c>
      <c r="B194" t="s">
        <v>134</v>
      </c>
      <c r="C194" t="s">
        <v>134</v>
      </c>
      <c r="D194" t="s">
        <v>134</v>
      </c>
    </row>
    <row r="195" spans="1:4" x14ac:dyDescent="0.25">
      <c r="A195" t="s">
        <v>134</v>
      </c>
      <c r="B195" t="s">
        <v>134</v>
      </c>
      <c r="C195" t="s">
        <v>134</v>
      </c>
      <c r="D195" t="s">
        <v>134</v>
      </c>
    </row>
    <row r="196" spans="1:4" x14ac:dyDescent="0.25">
      <c r="A196" t="s">
        <v>134</v>
      </c>
      <c r="B196" t="s">
        <v>134</v>
      </c>
      <c r="C196" t="s">
        <v>134</v>
      </c>
      <c r="D196" t="s">
        <v>134</v>
      </c>
    </row>
    <row r="197" spans="1:4" x14ac:dyDescent="0.25">
      <c r="A197" t="s">
        <v>134</v>
      </c>
      <c r="B197" t="s">
        <v>134</v>
      </c>
      <c r="C197" t="s">
        <v>134</v>
      </c>
      <c r="D197" t="s">
        <v>134</v>
      </c>
    </row>
    <row r="198" spans="1:4" x14ac:dyDescent="0.25">
      <c r="A198" t="s">
        <v>134</v>
      </c>
      <c r="B198" t="s">
        <v>134</v>
      </c>
      <c r="C198" t="s">
        <v>134</v>
      </c>
      <c r="D198" t="s">
        <v>134</v>
      </c>
    </row>
    <row r="199" spans="1:4" x14ac:dyDescent="0.25">
      <c r="A199" t="s">
        <v>134</v>
      </c>
      <c r="B199" t="s">
        <v>134</v>
      </c>
      <c r="C199" t="s">
        <v>134</v>
      </c>
      <c r="D199" t="s">
        <v>134</v>
      </c>
    </row>
    <row r="200" spans="1:4" x14ac:dyDescent="0.25">
      <c r="A200" t="s">
        <v>134</v>
      </c>
      <c r="B200" t="s">
        <v>134</v>
      </c>
      <c r="C200" t="s">
        <v>134</v>
      </c>
      <c r="D200" t="s">
        <v>134</v>
      </c>
    </row>
    <row r="201" spans="1:4" x14ac:dyDescent="0.25">
      <c r="A201" t="s">
        <v>134</v>
      </c>
      <c r="B201" t="s">
        <v>134</v>
      </c>
      <c r="C201" t="s">
        <v>134</v>
      </c>
      <c r="D201" t="s">
        <v>134</v>
      </c>
    </row>
    <row r="202" spans="1:4" x14ac:dyDescent="0.25">
      <c r="A202" t="s">
        <v>134</v>
      </c>
      <c r="B202" t="s">
        <v>134</v>
      </c>
      <c r="C202" t="s">
        <v>134</v>
      </c>
      <c r="D202" t="s">
        <v>134</v>
      </c>
    </row>
    <row r="203" spans="1:4" x14ac:dyDescent="0.25">
      <c r="A203" t="s">
        <v>134</v>
      </c>
      <c r="B203" t="s">
        <v>134</v>
      </c>
      <c r="C203" t="s">
        <v>134</v>
      </c>
      <c r="D203" t="s">
        <v>134</v>
      </c>
    </row>
    <row r="204" spans="1:4" x14ac:dyDescent="0.25">
      <c r="A204" t="s">
        <v>134</v>
      </c>
      <c r="B204" t="s">
        <v>134</v>
      </c>
      <c r="C204" t="s">
        <v>134</v>
      </c>
      <c r="D204" t="s">
        <v>134</v>
      </c>
    </row>
    <row r="205" spans="1:4" x14ac:dyDescent="0.25">
      <c r="A205" t="s">
        <v>134</v>
      </c>
      <c r="B205" t="s">
        <v>134</v>
      </c>
      <c r="C205" t="s">
        <v>134</v>
      </c>
      <c r="D205" t="s">
        <v>134</v>
      </c>
    </row>
    <row r="206" spans="1:4" x14ac:dyDescent="0.25">
      <c r="A206" t="s">
        <v>134</v>
      </c>
      <c r="B206" t="s">
        <v>134</v>
      </c>
      <c r="C206" t="s">
        <v>134</v>
      </c>
      <c r="D206" t="s">
        <v>134</v>
      </c>
    </row>
    <row r="207" spans="1:4" x14ac:dyDescent="0.25">
      <c r="A207" t="s">
        <v>134</v>
      </c>
      <c r="B207" t="s">
        <v>134</v>
      </c>
      <c r="C207" t="s">
        <v>134</v>
      </c>
      <c r="D207" t="s">
        <v>134</v>
      </c>
    </row>
    <row r="208" spans="1:4" x14ac:dyDescent="0.25">
      <c r="A208" t="s">
        <v>134</v>
      </c>
      <c r="B208" t="s">
        <v>134</v>
      </c>
      <c r="C208" t="s">
        <v>134</v>
      </c>
      <c r="D208" t="s">
        <v>134</v>
      </c>
    </row>
    <row r="209" spans="1:4" x14ac:dyDescent="0.25">
      <c r="A209" t="s">
        <v>134</v>
      </c>
      <c r="B209" t="s">
        <v>134</v>
      </c>
      <c r="C209" t="s">
        <v>134</v>
      </c>
      <c r="D209" t="s">
        <v>134</v>
      </c>
    </row>
    <row r="210" spans="1:4" x14ac:dyDescent="0.25">
      <c r="A210" t="s">
        <v>134</v>
      </c>
      <c r="B210" t="s">
        <v>134</v>
      </c>
      <c r="C210" t="s">
        <v>134</v>
      </c>
      <c r="D210" t="s">
        <v>134</v>
      </c>
    </row>
    <row r="211" spans="1:4" x14ac:dyDescent="0.25">
      <c r="A211" t="s">
        <v>134</v>
      </c>
      <c r="B211" t="s">
        <v>134</v>
      </c>
      <c r="C211" t="s">
        <v>134</v>
      </c>
      <c r="D211" t="s">
        <v>134</v>
      </c>
    </row>
    <row r="212" spans="1:4" x14ac:dyDescent="0.25">
      <c r="A212" t="s">
        <v>134</v>
      </c>
      <c r="B212" t="s">
        <v>134</v>
      </c>
      <c r="C212" t="s">
        <v>134</v>
      </c>
      <c r="D212" t="s">
        <v>134</v>
      </c>
    </row>
    <row r="213" spans="1:4" x14ac:dyDescent="0.25">
      <c r="A213" t="s">
        <v>134</v>
      </c>
      <c r="B213" t="s">
        <v>134</v>
      </c>
      <c r="C213" t="s">
        <v>134</v>
      </c>
      <c r="D213" t="s">
        <v>134</v>
      </c>
    </row>
    <row r="214" spans="1:4" x14ac:dyDescent="0.25">
      <c r="A214" t="s">
        <v>134</v>
      </c>
      <c r="B214" t="s">
        <v>134</v>
      </c>
      <c r="C214" t="s">
        <v>134</v>
      </c>
      <c r="D214" t="s">
        <v>134</v>
      </c>
    </row>
    <row r="215" spans="1:4" x14ac:dyDescent="0.25">
      <c r="A215" t="s">
        <v>134</v>
      </c>
      <c r="B215" t="s">
        <v>134</v>
      </c>
      <c r="C215" t="s">
        <v>134</v>
      </c>
      <c r="D215" t="s">
        <v>134</v>
      </c>
    </row>
    <row r="216" spans="1:4" x14ac:dyDescent="0.25">
      <c r="A216" t="s">
        <v>134</v>
      </c>
      <c r="B216" t="s">
        <v>134</v>
      </c>
      <c r="C216" t="s">
        <v>134</v>
      </c>
      <c r="D216" t="s">
        <v>134</v>
      </c>
    </row>
    <row r="217" spans="1:4" x14ac:dyDescent="0.25">
      <c r="A217" t="s">
        <v>134</v>
      </c>
      <c r="B217" t="s">
        <v>134</v>
      </c>
      <c r="C217" t="s">
        <v>134</v>
      </c>
      <c r="D217" t="s">
        <v>134</v>
      </c>
    </row>
    <row r="218" spans="1:4" x14ac:dyDescent="0.25">
      <c r="A218" t="s">
        <v>134</v>
      </c>
      <c r="B218" t="s">
        <v>134</v>
      </c>
      <c r="C218" t="s">
        <v>134</v>
      </c>
      <c r="D218" t="s">
        <v>134</v>
      </c>
    </row>
    <row r="219" spans="1:4" x14ac:dyDescent="0.25">
      <c r="A219" t="s">
        <v>134</v>
      </c>
      <c r="B219" t="s">
        <v>134</v>
      </c>
      <c r="C219" t="s">
        <v>134</v>
      </c>
      <c r="D219" t="s">
        <v>134</v>
      </c>
    </row>
    <row r="220" spans="1:4" x14ac:dyDescent="0.25">
      <c r="A220" t="s">
        <v>134</v>
      </c>
      <c r="B220" t="s">
        <v>134</v>
      </c>
      <c r="C220" t="s">
        <v>134</v>
      </c>
      <c r="D220" t="s">
        <v>134</v>
      </c>
    </row>
    <row r="221" spans="1:4" x14ac:dyDescent="0.25">
      <c r="A221" t="s">
        <v>134</v>
      </c>
      <c r="B221" t="s">
        <v>134</v>
      </c>
      <c r="C221" t="s">
        <v>134</v>
      </c>
      <c r="D221" t="s">
        <v>134</v>
      </c>
    </row>
    <row r="222" spans="1:4" x14ac:dyDescent="0.25">
      <c r="A222" t="s">
        <v>134</v>
      </c>
      <c r="B222" t="s">
        <v>134</v>
      </c>
      <c r="C222" t="s">
        <v>134</v>
      </c>
      <c r="D222" t="s">
        <v>134</v>
      </c>
    </row>
    <row r="223" spans="1:4" x14ac:dyDescent="0.25">
      <c r="A223" t="s">
        <v>134</v>
      </c>
      <c r="B223" t="s">
        <v>134</v>
      </c>
      <c r="C223" t="s">
        <v>134</v>
      </c>
      <c r="D223" t="s">
        <v>134</v>
      </c>
    </row>
    <row r="224" spans="1:4" x14ac:dyDescent="0.25">
      <c r="A224" t="s">
        <v>134</v>
      </c>
      <c r="B224" t="s">
        <v>134</v>
      </c>
      <c r="C224" t="s">
        <v>134</v>
      </c>
      <c r="D224" t="s">
        <v>134</v>
      </c>
    </row>
    <row r="225" spans="1:4" x14ac:dyDescent="0.25">
      <c r="A225" t="s">
        <v>134</v>
      </c>
      <c r="B225" t="s">
        <v>134</v>
      </c>
      <c r="C225" t="s">
        <v>134</v>
      </c>
      <c r="D225" t="s">
        <v>134</v>
      </c>
    </row>
    <row r="226" spans="1:4" x14ac:dyDescent="0.25">
      <c r="A226" t="s">
        <v>134</v>
      </c>
      <c r="B226" t="s">
        <v>134</v>
      </c>
      <c r="C226" t="s">
        <v>134</v>
      </c>
      <c r="D226" t="s">
        <v>134</v>
      </c>
    </row>
    <row r="227" spans="1:4" x14ac:dyDescent="0.25">
      <c r="A227" t="s">
        <v>134</v>
      </c>
      <c r="B227" t="s">
        <v>134</v>
      </c>
      <c r="C227" t="s">
        <v>134</v>
      </c>
      <c r="D227" t="s">
        <v>134</v>
      </c>
    </row>
    <row r="228" spans="1:4" x14ac:dyDescent="0.25">
      <c r="A228" t="s">
        <v>134</v>
      </c>
      <c r="B228" t="s">
        <v>134</v>
      </c>
      <c r="C228" t="s">
        <v>134</v>
      </c>
      <c r="D228" t="s">
        <v>134</v>
      </c>
    </row>
    <row r="229" spans="1:4" x14ac:dyDescent="0.25">
      <c r="A229" t="s">
        <v>134</v>
      </c>
      <c r="B229" t="s">
        <v>134</v>
      </c>
      <c r="C229" t="s">
        <v>134</v>
      </c>
      <c r="D229" t="s">
        <v>134</v>
      </c>
    </row>
    <row r="230" spans="1:4" x14ac:dyDescent="0.25">
      <c r="A230" t="s">
        <v>134</v>
      </c>
      <c r="B230" t="s">
        <v>134</v>
      </c>
      <c r="C230" t="s">
        <v>134</v>
      </c>
      <c r="D230" t="s">
        <v>134</v>
      </c>
    </row>
    <row r="231" spans="1:4" x14ac:dyDescent="0.25">
      <c r="A231" t="s">
        <v>134</v>
      </c>
      <c r="B231" t="s">
        <v>134</v>
      </c>
      <c r="C231" t="s">
        <v>134</v>
      </c>
      <c r="D231" t="s">
        <v>134</v>
      </c>
    </row>
    <row r="232" spans="1:4" x14ac:dyDescent="0.25">
      <c r="A232" t="s">
        <v>134</v>
      </c>
      <c r="B232" t="s">
        <v>134</v>
      </c>
      <c r="C232" t="s">
        <v>134</v>
      </c>
      <c r="D232" t="s">
        <v>134</v>
      </c>
    </row>
    <row r="233" spans="1:4" x14ac:dyDescent="0.25">
      <c r="A233" t="s">
        <v>134</v>
      </c>
      <c r="B233" t="s">
        <v>134</v>
      </c>
      <c r="C233" t="s">
        <v>134</v>
      </c>
      <c r="D233" t="s">
        <v>134</v>
      </c>
    </row>
    <row r="234" spans="1:4" x14ac:dyDescent="0.25">
      <c r="A234" t="s">
        <v>134</v>
      </c>
      <c r="B234" t="s">
        <v>134</v>
      </c>
      <c r="C234" t="s">
        <v>134</v>
      </c>
      <c r="D234" t="s">
        <v>134</v>
      </c>
    </row>
    <row r="235" spans="1:4" x14ac:dyDescent="0.25">
      <c r="A235" t="s">
        <v>134</v>
      </c>
      <c r="B235" t="s">
        <v>134</v>
      </c>
      <c r="C235" t="s">
        <v>134</v>
      </c>
      <c r="D235" t="s">
        <v>134</v>
      </c>
    </row>
    <row r="236" spans="1:4" x14ac:dyDescent="0.25">
      <c r="A236" t="s">
        <v>134</v>
      </c>
      <c r="B236" t="s">
        <v>134</v>
      </c>
      <c r="C236" t="s">
        <v>134</v>
      </c>
      <c r="D236" t="s">
        <v>134</v>
      </c>
    </row>
    <row r="237" spans="1:4" x14ac:dyDescent="0.25">
      <c r="A237" t="s">
        <v>134</v>
      </c>
      <c r="B237" t="s">
        <v>134</v>
      </c>
      <c r="C237" t="s">
        <v>134</v>
      </c>
      <c r="D237" t="s">
        <v>134</v>
      </c>
    </row>
    <row r="238" spans="1:4" x14ac:dyDescent="0.25">
      <c r="A238" t="s">
        <v>134</v>
      </c>
      <c r="B238" t="s">
        <v>134</v>
      </c>
      <c r="C238" t="s">
        <v>134</v>
      </c>
      <c r="D238" t="s">
        <v>134</v>
      </c>
    </row>
    <row r="239" spans="1:4" x14ac:dyDescent="0.25">
      <c r="A239" t="s">
        <v>134</v>
      </c>
      <c r="B239" t="s">
        <v>134</v>
      </c>
      <c r="C239" t="s">
        <v>134</v>
      </c>
      <c r="D239" t="s">
        <v>134</v>
      </c>
    </row>
    <row r="240" spans="1:4" x14ac:dyDescent="0.25">
      <c r="A240" t="s">
        <v>134</v>
      </c>
      <c r="B240" t="s">
        <v>134</v>
      </c>
      <c r="C240" t="s">
        <v>134</v>
      </c>
      <c r="D240" t="s">
        <v>134</v>
      </c>
    </row>
    <row r="241" spans="1:4" x14ac:dyDescent="0.25">
      <c r="A241" t="s">
        <v>134</v>
      </c>
      <c r="B241" t="s">
        <v>134</v>
      </c>
      <c r="C241" t="s">
        <v>134</v>
      </c>
      <c r="D241" t="s">
        <v>134</v>
      </c>
    </row>
    <row r="242" spans="1:4" x14ac:dyDescent="0.25">
      <c r="A242" t="s">
        <v>134</v>
      </c>
      <c r="B242" t="s">
        <v>134</v>
      </c>
      <c r="C242" t="s">
        <v>134</v>
      </c>
      <c r="D242" t="s">
        <v>134</v>
      </c>
    </row>
    <row r="243" spans="1:4" x14ac:dyDescent="0.25">
      <c r="A243" t="s">
        <v>134</v>
      </c>
      <c r="B243" t="s">
        <v>134</v>
      </c>
      <c r="C243" t="s">
        <v>134</v>
      </c>
      <c r="D243" t="s">
        <v>134</v>
      </c>
    </row>
    <row r="244" spans="1:4" x14ac:dyDescent="0.25">
      <c r="A244" t="s">
        <v>134</v>
      </c>
      <c r="B244" t="s">
        <v>134</v>
      </c>
      <c r="C244" t="s">
        <v>134</v>
      </c>
      <c r="D244" t="s">
        <v>134</v>
      </c>
    </row>
    <row r="245" spans="1:4" x14ac:dyDescent="0.25">
      <c r="A245" t="s">
        <v>134</v>
      </c>
      <c r="B245" t="s">
        <v>134</v>
      </c>
      <c r="C245" t="s">
        <v>134</v>
      </c>
      <c r="D245" t="s">
        <v>134</v>
      </c>
    </row>
    <row r="246" spans="1:4" x14ac:dyDescent="0.25">
      <c r="A246" t="s">
        <v>134</v>
      </c>
      <c r="B246" t="s">
        <v>134</v>
      </c>
      <c r="C246" t="s">
        <v>134</v>
      </c>
      <c r="D246" t="s">
        <v>134</v>
      </c>
    </row>
    <row r="247" spans="1:4" x14ac:dyDescent="0.25">
      <c r="A247" t="s">
        <v>134</v>
      </c>
      <c r="B247" t="s">
        <v>134</v>
      </c>
      <c r="C247" t="s">
        <v>134</v>
      </c>
      <c r="D247" t="s">
        <v>134</v>
      </c>
    </row>
    <row r="248" spans="1:4" x14ac:dyDescent="0.25">
      <c r="A248" t="s">
        <v>134</v>
      </c>
      <c r="B248" t="s">
        <v>134</v>
      </c>
      <c r="C248" t="s">
        <v>134</v>
      </c>
      <c r="D248" t="s">
        <v>134</v>
      </c>
    </row>
    <row r="249" spans="1:4" x14ac:dyDescent="0.25">
      <c r="A249" t="s">
        <v>134</v>
      </c>
      <c r="B249" t="s">
        <v>134</v>
      </c>
      <c r="C249" t="s">
        <v>134</v>
      </c>
      <c r="D249" t="s">
        <v>134</v>
      </c>
    </row>
    <row r="250" spans="1:4" x14ac:dyDescent="0.25">
      <c r="A250" t="s">
        <v>134</v>
      </c>
      <c r="B250" t="s">
        <v>134</v>
      </c>
      <c r="C250" t="s">
        <v>134</v>
      </c>
      <c r="D250" t="s">
        <v>134</v>
      </c>
    </row>
    <row r="251" spans="1:4" x14ac:dyDescent="0.25">
      <c r="A251" t="s">
        <v>134</v>
      </c>
      <c r="B251" t="s">
        <v>134</v>
      </c>
      <c r="C251" t="s">
        <v>134</v>
      </c>
      <c r="D251" t="s">
        <v>134</v>
      </c>
    </row>
    <row r="252" spans="1:4" x14ac:dyDescent="0.25">
      <c r="A252" t="s">
        <v>134</v>
      </c>
      <c r="B252" t="s">
        <v>134</v>
      </c>
      <c r="C252" t="s">
        <v>134</v>
      </c>
      <c r="D252" t="s">
        <v>134</v>
      </c>
    </row>
    <row r="253" spans="1:4" x14ac:dyDescent="0.25">
      <c r="A253" t="s">
        <v>134</v>
      </c>
      <c r="B253" t="s">
        <v>134</v>
      </c>
      <c r="C253" t="s">
        <v>134</v>
      </c>
      <c r="D253" t="s">
        <v>134</v>
      </c>
    </row>
    <row r="254" spans="1:4" x14ac:dyDescent="0.25">
      <c r="A254" t="s">
        <v>134</v>
      </c>
      <c r="B254" t="s">
        <v>134</v>
      </c>
      <c r="C254" t="s">
        <v>134</v>
      </c>
      <c r="D254" t="s">
        <v>134</v>
      </c>
    </row>
    <row r="255" spans="1:4" x14ac:dyDescent="0.25">
      <c r="A255" t="s">
        <v>134</v>
      </c>
      <c r="B255" t="s">
        <v>134</v>
      </c>
      <c r="C255" t="s">
        <v>134</v>
      </c>
      <c r="D255" t="s">
        <v>134</v>
      </c>
    </row>
    <row r="256" spans="1:4" x14ac:dyDescent="0.25">
      <c r="A256" t="s">
        <v>134</v>
      </c>
      <c r="B256" t="s">
        <v>134</v>
      </c>
      <c r="C256" t="s">
        <v>134</v>
      </c>
      <c r="D256" t="s">
        <v>134</v>
      </c>
    </row>
    <row r="257" spans="1:4" x14ac:dyDescent="0.25">
      <c r="A257" t="s">
        <v>134</v>
      </c>
      <c r="B257" t="s">
        <v>134</v>
      </c>
      <c r="C257" t="s">
        <v>134</v>
      </c>
      <c r="D257" t="s">
        <v>134</v>
      </c>
    </row>
    <row r="258" spans="1:4" x14ac:dyDescent="0.25">
      <c r="A258" t="s">
        <v>134</v>
      </c>
      <c r="B258" t="s">
        <v>134</v>
      </c>
      <c r="C258" t="s">
        <v>134</v>
      </c>
      <c r="D258" t="s">
        <v>134</v>
      </c>
    </row>
    <row r="259" spans="1:4" x14ac:dyDescent="0.25">
      <c r="A259" t="s">
        <v>134</v>
      </c>
      <c r="B259" t="s">
        <v>134</v>
      </c>
      <c r="C259" t="s">
        <v>134</v>
      </c>
      <c r="D259" t="s">
        <v>134</v>
      </c>
    </row>
    <row r="260" spans="1:4" x14ac:dyDescent="0.25">
      <c r="A260" t="s">
        <v>134</v>
      </c>
      <c r="B260" t="s">
        <v>134</v>
      </c>
      <c r="C260" t="s">
        <v>134</v>
      </c>
      <c r="D260" t="s">
        <v>134</v>
      </c>
    </row>
    <row r="261" spans="1:4" x14ac:dyDescent="0.25">
      <c r="A261" t="s">
        <v>134</v>
      </c>
      <c r="B261" t="s">
        <v>134</v>
      </c>
      <c r="C261" t="s">
        <v>134</v>
      </c>
      <c r="D261" t="s">
        <v>134</v>
      </c>
    </row>
    <row r="262" spans="1:4" x14ac:dyDescent="0.25">
      <c r="A262" t="s">
        <v>134</v>
      </c>
      <c r="B262" t="s">
        <v>134</v>
      </c>
      <c r="C262" t="s">
        <v>134</v>
      </c>
      <c r="D262" t="s">
        <v>134</v>
      </c>
    </row>
    <row r="263" spans="1:4" x14ac:dyDescent="0.25">
      <c r="A263" t="s">
        <v>134</v>
      </c>
      <c r="B263" t="s">
        <v>134</v>
      </c>
      <c r="C263" t="s">
        <v>134</v>
      </c>
      <c r="D263" t="s">
        <v>134</v>
      </c>
    </row>
    <row r="264" spans="1:4" x14ac:dyDescent="0.25">
      <c r="A264" t="s">
        <v>134</v>
      </c>
      <c r="B264" t="s">
        <v>134</v>
      </c>
      <c r="C264" t="s">
        <v>134</v>
      </c>
      <c r="D264" t="s">
        <v>134</v>
      </c>
    </row>
    <row r="265" spans="1:4" x14ac:dyDescent="0.25">
      <c r="A265" t="s">
        <v>134</v>
      </c>
      <c r="B265" t="s">
        <v>134</v>
      </c>
      <c r="C265" t="s">
        <v>134</v>
      </c>
      <c r="D265" t="s">
        <v>134</v>
      </c>
    </row>
    <row r="266" spans="1:4" x14ac:dyDescent="0.25">
      <c r="A266" t="s">
        <v>134</v>
      </c>
      <c r="B266" t="s">
        <v>134</v>
      </c>
      <c r="C266" t="s">
        <v>134</v>
      </c>
      <c r="D266" t="s">
        <v>134</v>
      </c>
    </row>
    <row r="267" spans="1:4" x14ac:dyDescent="0.25">
      <c r="A267" t="s">
        <v>134</v>
      </c>
      <c r="B267" t="s">
        <v>134</v>
      </c>
      <c r="C267" t="s">
        <v>134</v>
      </c>
      <c r="D267" t="s">
        <v>134</v>
      </c>
    </row>
    <row r="268" spans="1:4" x14ac:dyDescent="0.25">
      <c r="A268" t="s">
        <v>134</v>
      </c>
      <c r="B268" t="s">
        <v>134</v>
      </c>
      <c r="C268" t="s">
        <v>134</v>
      </c>
      <c r="D268" t="s">
        <v>134</v>
      </c>
    </row>
    <row r="269" spans="1:4" x14ac:dyDescent="0.25">
      <c r="A269" t="s">
        <v>134</v>
      </c>
      <c r="B269" t="s">
        <v>134</v>
      </c>
      <c r="C269" t="s">
        <v>134</v>
      </c>
      <c r="D269" t="s">
        <v>134</v>
      </c>
    </row>
    <row r="270" spans="1:4" x14ac:dyDescent="0.25">
      <c r="A270" t="s">
        <v>134</v>
      </c>
      <c r="B270" t="s">
        <v>134</v>
      </c>
      <c r="C270" t="s">
        <v>134</v>
      </c>
      <c r="D270" t="s">
        <v>134</v>
      </c>
    </row>
    <row r="271" spans="1:4" x14ac:dyDescent="0.25">
      <c r="A271" t="s">
        <v>134</v>
      </c>
      <c r="B271" t="s">
        <v>134</v>
      </c>
      <c r="C271" t="s">
        <v>134</v>
      </c>
      <c r="D271" t="s">
        <v>134</v>
      </c>
    </row>
    <row r="272" spans="1:4" x14ac:dyDescent="0.25">
      <c r="A272" t="s">
        <v>134</v>
      </c>
      <c r="B272" t="s">
        <v>134</v>
      </c>
      <c r="C272" t="s">
        <v>134</v>
      </c>
      <c r="D272" t="s">
        <v>134</v>
      </c>
    </row>
    <row r="273" spans="1:4" x14ac:dyDescent="0.25">
      <c r="A273" t="s">
        <v>134</v>
      </c>
      <c r="B273" t="s">
        <v>134</v>
      </c>
      <c r="C273" t="s">
        <v>134</v>
      </c>
      <c r="D273" t="s">
        <v>134</v>
      </c>
    </row>
    <row r="274" spans="1:4" x14ac:dyDescent="0.25">
      <c r="A274" t="s">
        <v>134</v>
      </c>
      <c r="B274" t="s">
        <v>134</v>
      </c>
      <c r="C274" t="s">
        <v>134</v>
      </c>
      <c r="D274" t="s">
        <v>134</v>
      </c>
    </row>
    <row r="275" spans="1:4" x14ac:dyDescent="0.25">
      <c r="A275" t="s">
        <v>134</v>
      </c>
      <c r="B275" t="s">
        <v>134</v>
      </c>
      <c r="C275" t="s">
        <v>134</v>
      </c>
      <c r="D275" t="s">
        <v>134</v>
      </c>
    </row>
    <row r="276" spans="1:4" x14ac:dyDescent="0.25">
      <c r="A276" t="s">
        <v>134</v>
      </c>
      <c r="B276" t="s">
        <v>134</v>
      </c>
      <c r="C276" t="s">
        <v>134</v>
      </c>
      <c r="D276" t="s">
        <v>134</v>
      </c>
    </row>
    <row r="277" spans="1:4" x14ac:dyDescent="0.25">
      <c r="A277" t="s">
        <v>134</v>
      </c>
      <c r="B277" t="s">
        <v>134</v>
      </c>
      <c r="C277" t="s">
        <v>134</v>
      </c>
      <c r="D277" t="s">
        <v>134</v>
      </c>
    </row>
    <row r="278" spans="1:4" x14ac:dyDescent="0.25">
      <c r="A278" t="s">
        <v>134</v>
      </c>
      <c r="B278" t="s">
        <v>134</v>
      </c>
      <c r="C278" t="s">
        <v>134</v>
      </c>
      <c r="D278" t="s">
        <v>134</v>
      </c>
    </row>
    <row r="279" spans="1:4" x14ac:dyDescent="0.25">
      <c r="A279" t="s">
        <v>134</v>
      </c>
      <c r="B279" t="s">
        <v>134</v>
      </c>
      <c r="C279" t="s">
        <v>134</v>
      </c>
      <c r="D279" t="s">
        <v>134</v>
      </c>
    </row>
    <row r="280" spans="1:4" x14ac:dyDescent="0.25">
      <c r="A280" t="s">
        <v>134</v>
      </c>
      <c r="B280" t="s">
        <v>134</v>
      </c>
      <c r="C280" t="s">
        <v>134</v>
      </c>
      <c r="D280" t="s">
        <v>134</v>
      </c>
    </row>
    <row r="281" spans="1:4" x14ac:dyDescent="0.25">
      <c r="A281" t="s">
        <v>134</v>
      </c>
      <c r="B281" t="s">
        <v>134</v>
      </c>
      <c r="C281" t="s">
        <v>134</v>
      </c>
      <c r="D281" t="s">
        <v>134</v>
      </c>
    </row>
    <row r="282" spans="1:4" x14ac:dyDescent="0.25">
      <c r="A282" t="s">
        <v>134</v>
      </c>
      <c r="B282" t="s">
        <v>134</v>
      </c>
      <c r="C282" t="s">
        <v>134</v>
      </c>
      <c r="D282" t="s">
        <v>134</v>
      </c>
    </row>
    <row r="283" spans="1:4" x14ac:dyDescent="0.25">
      <c r="A283" t="s">
        <v>134</v>
      </c>
      <c r="B283" t="s">
        <v>134</v>
      </c>
      <c r="C283" t="s">
        <v>134</v>
      </c>
      <c r="D283" t="s">
        <v>134</v>
      </c>
    </row>
    <row r="284" spans="1:4" x14ac:dyDescent="0.25">
      <c r="A284" t="s">
        <v>134</v>
      </c>
      <c r="B284" t="s">
        <v>134</v>
      </c>
      <c r="C284" t="s">
        <v>134</v>
      </c>
      <c r="D284" t="s">
        <v>134</v>
      </c>
    </row>
    <row r="285" spans="1:4" x14ac:dyDescent="0.25">
      <c r="A285" t="s">
        <v>134</v>
      </c>
      <c r="B285" t="s">
        <v>134</v>
      </c>
      <c r="C285" t="s">
        <v>134</v>
      </c>
      <c r="D285" t="s">
        <v>134</v>
      </c>
    </row>
    <row r="286" spans="1:4" x14ac:dyDescent="0.25">
      <c r="A286" t="s">
        <v>134</v>
      </c>
      <c r="B286" t="s">
        <v>134</v>
      </c>
      <c r="C286" t="s">
        <v>134</v>
      </c>
      <c r="D286" t="s">
        <v>134</v>
      </c>
    </row>
    <row r="287" spans="1:4" x14ac:dyDescent="0.25">
      <c r="A287" t="s">
        <v>134</v>
      </c>
      <c r="B287" t="s">
        <v>134</v>
      </c>
      <c r="C287" t="s">
        <v>134</v>
      </c>
      <c r="D287" t="s">
        <v>134</v>
      </c>
    </row>
    <row r="288" spans="1:4" x14ac:dyDescent="0.25">
      <c r="A288" t="s">
        <v>134</v>
      </c>
      <c r="B288" t="s">
        <v>134</v>
      </c>
      <c r="C288" t="s">
        <v>134</v>
      </c>
      <c r="D288" t="s">
        <v>134</v>
      </c>
    </row>
    <row r="289" spans="1:4" x14ac:dyDescent="0.25">
      <c r="A289" t="s">
        <v>134</v>
      </c>
      <c r="B289" t="s">
        <v>134</v>
      </c>
      <c r="C289" t="s">
        <v>134</v>
      </c>
      <c r="D289" t="s">
        <v>134</v>
      </c>
    </row>
    <row r="290" spans="1:4" x14ac:dyDescent="0.25">
      <c r="A290" t="s">
        <v>134</v>
      </c>
      <c r="B290" t="s">
        <v>134</v>
      </c>
      <c r="C290" t="s">
        <v>134</v>
      </c>
      <c r="D290" t="s">
        <v>134</v>
      </c>
    </row>
    <row r="291" spans="1:4" x14ac:dyDescent="0.25">
      <c r="A291" t="s">
        <v>134</v>
      </c>
      <c r="B291" t="s">
        <v>134</v>
      </c>
      <c r="C291" t="s">
        <v>134</v>
      </c>
      <c r="D291" t="s">
        <v>134</v>
      </c>
    </row>
    <row r="292" spans="1:4" x14ac:dyDescent="0.25">
      <c r="A292" t="s">
        <v>134</v>
      </c>
      <c r="B292" t="s">
        <v>134</v>
      </c>
      <c r="C292" t="s">
        <v>134</v>
      </c>
      <c r="D292" t="s">
        <v>134</v>
      </c>
    </row>
    <row r="293" spans="1:4" x14ac:dyDescent="0.25">
      <c r="A293" t="s">
        <v>134</v>
      </c>
      <c r="B293" t="s">
        <v>134</v>
      </c>
      <c r="C293" t="s">
        <v>134</v>
      </c>
      <c r="D293" t="s">
        <v>134</v>
      </c>
    </row>
    <row r="294" spans="1:4" x14ac:dyDescent="0.25">
      <c r="A294" t="s">
        <v>134</v>
      </c>
      <c r="B294" t="s">
        <v>134</v>
      </c>
      <c r="C294" t="s">
        <v>134</v>
      </c>
      <c r="D294" t="s">
        <v>134</v>
      </c>
    </row>
    <row r="295" spans="1:4" x14ac:dyDescent="0.25">
      <c r="A295" t="s">
        <v>134</v>
      </c>
      <c r="B295" t="s">
        <v>134</v>
      </c>
      <c r="C295" t="s">
        <v>134</v>
      </c>
      <c r="D295" t="s">
        <v>134</v>
      </c>
    </row>
    <row r="296" spans="1:4" x14ac:dyDescent="0.25">
      <c r="A296" t="s">
        <v>134</v>
      </c>
      <c r="B296" t="s">
        <v>134</v>
      </c>
      <c r="C296" t="s">
        <v>134</v>
      </c>
      <c r="D296" t="s">
        <v>134</v>
      </c>
    </row>
    <row r="297" spans="1:4" x14ac:dyDescent="0.25">
      <c r="A297" t="s">
        <v>134</v>
      </c>
      <c r="B297" t="s">
        <v>134</v>
      </c>
      <c r="C297" t="s">
        <v>134</v>
      </c>
      <c r="D297" t="s">
        <v>134</v>
      </c>
    </row>
    <row r="298" spans="1:4" x14ac:dyDescent="0.25">
      <c r="A298" t="s">
        <v>134</v>
      </c>
      <c r="B298" t="s">
        <v>134</v>
      </c>
      <c r="C298" t="s">
        <v>134</v>
      </c>
      <c r="D298" t="s">
        <v>134</v>
      </c>
    </row>
    <row r="299" spans="1:4" x14ac:dyDescent="0.25">
      <c r="A299" t="s">
        <v>134</v>
      </c>
      <c r="B299" t="s">
        <v>134</v>
      </c>
      <c r="C299" t="s">
        <v>134</v>
      </c>
      <c r="D299" t="s">
        <v>134</v>
      </c>
    </row>
    <row r="300" spans="1:4" x14ac:dyDescent="0.25">
      <c r="A300" t="s">
        <v>134</v>
      </c>
      <c r="B300" t="s">
        <v>134</v>
      </c>
      <c r="C300" t="s">
        <v>134</v>
      </c>
      <c r="D300" t="s">
        <v>134</v>
      </c>
    </row>
    <row r="301" spans="1:4" x14ac:dyDescent="0.25">
      <c r="A301" t="s">
        <v>134</v>
      </c>
      <c r="B301" t="s">
        <v>134</v>
      </c>
      <c r="C301" t="s">
        <v>134</v>
      </c>
      <c r="D301" t="s">
        <v>134</v>
      </c>
    </row>
    <row r="302" spans="1:4" x14ac:dyDescent="0.25">
      <c r="A302" t="s">
        <v>134</v>
      </c>
      <c r="B302" t="s">
        <v>134</v>
      </c>
      <c r="C302" t="s">
        <v>134</v>
      </c>
      <c r="D302" t="s">
        <v>134</v>
      </c>
    </row>
    <row r="303" spans="1:4" x14ac:dyDescent="0.25">
      <c r="A303" t="s">
        <v>134</v>
      </c>
      <c r="B303" t="s">
        <v>134</v>
      </c>
      <c r="C303" t="s">
        <v>134</v>
      </c>
      <c r="D303" t="s">
        <v>134</v>
      </c>
    </row>
    <row r="304" spans="1:4" x14ac:dyDescent="0.25">
      <c r="A304" t="s">
        <v>134</v>
      </c>
      <c r="B304" t="s">
        <v>134</v>
      </c>
      <c r="C304" t="s">
        <v>134</v>
      </c>
      <c r="D304" t="s">
        <v>134</v>
      </c>
    </row>
    <row r="305" spans="1:4" x14ac:dyDescent="0.25">
      <c r="A305" t="s">
        <v>134</v>
      </c>
      <c r="B305" t="s">
        <v>134</v>
      </c>
      <c r="C305" t="s">
        <v>134</v>
      </c>
      <c r="D305" t="s">
        <v>134</v>
      </c>
    </row>
    <row r="306" spans="1:4" x14ac:dyDescent="0.25">
      <c r="A306" t="s">
        <v>134</v>
      </c>
      <c r="B306" t="s">
        <v>134</v>
      </c>
      <c r="C306" t="s">
        <v>134</v>
      </c>
      <c r="D306" t="s">
        <v>134</v>
      </c>
    </row>
    <row r="307" spans="1:4" x14ac:dyDescent="0.25">
      <c r="A307" t="s">
        <v>134</v>
      </c>
      <c r="B307" t="s">
        <v>134</v>
      </c>
      <c r="C307" t="s">
        <v>134</v>
      </c>
      <c r="D307" t="s">
        <v>134</v>
      </c>
    </row>
    <row r="308" spans="1:4" x14ac:dyDescent="0.25">
      <c r="A308" t="s">
        <v>134</v>
      </c>
      <c r="B308" t="s">
        <v>134</v>
      </c>
      <c r="C308" t="s">
        <v>134</v>
      </c>
      <c r="D308" t="s">
        <v>134</v>
      </c>
    </row>
    <row r="309" spans="1:4" x14ac:dyDescent="0.25">
      <c r="A309" t="s">
        <v>134</v>
      </c>
      <c r="B309" t="s">
        <v>134</v>
      </c>
      <c r="C309" t="s">
        <v>134</v>
      </c>
      <c r="D309" t="s">
        <v>134</v>
      </c>
    </row>
    <row r="310" spans="1:4" x14ac:dyDescent="0.25">
      <c r="A310" t="s">
        <v>134</v>
      </c>
      <c r="B310" t="s">
        <v>134</v>
      </c>
      <c r="C310" t="s">
        <v>134</v>
      </c>
      <c r="D310" t="s">
        <v>134</v>
      </c>
    </row>
    <row r="311" spans="1:4" x14ac:dyDescent="0.25">
      <c r="A311" t="s">
        <v>134</v>
      </c>
      <c r="B311" t="s">
        <v>134</v>
      </c>
      <c r="C311" t="s">
        <v>134</v>
      </c>
      <c r="D311" t="s">
        <v>134</v>
      </c>
    </row>
    <row r="312" spans="1:4" x14ac:dyDescent="0.25">
      <c r="A312" t="s">
        <v>134</v>
      </c>
      <c r="B312" t="s">
        <v>134</v>
      </c>
      <c r="C312" t="s">
        <v>134</v>
      </c>
      <c r="D312" t="s">
        <v>134</v>
      </c>
    </row>
    <row r="313" spans="1:4" x14ac:dyDescent="0.25">
      <c r="A313" t="s">
        <v>134</v>
      </c>
      <c r="B313" t="s">
        <v>134</v>
      </c>
      <c r="C313" t="s">
        <v>134</v>
      </c>
      <c r="D313" t="s">
        <v>134</v>
      </c>
    </row>
    <row r="314" spans="1:4" x14ac:dyDescent="0.25">
      <c r="A314" t="s">
        <v>134</v>
      </c>
      <c r="B314" t="s">
        <v>134</v>
      </c>
      <c r="C314" t="s">
        <v>134</v>
      </c>
      <c r="D314" t="s">
        <v>134</v>
      </c>
    </row>
    <row r="315" spans="1:4" x14ac:dyDescent="0.25">
      <c r="A315" t="s">
        <v>134</v>
      </c>
      <c r="B315" t="s">
        <v>134</v>
      </c>
      <c r="C315" t="s">
        <v>134</v>
      </c>
      <c r="D315" t="s">
        <v>134</v>
      </c>
    </row>
    <row r="316" spans="1:4" x14ac:dyDescent="0.25">
      <c r="A316" t="s">
        <v>134</v>
      </c>
      <c r="B316" t="s">
        <v>134</v>
      </c>
      <c r="C316" t="s">
        <v>134</v>
      </c>
      <c r="D316" t="s">
        <v>134</v>
      </c>
    </row>
    <row r="317" spans="1:4" x14ac:dyDescent="0.25">
      <c r="A317" t="s">
        <v>134</v>
      </c>
      <c r="B317" t="s">
        <v>134</v>
      </c>
      <c r="C317" t="s">
        <v>134</v>
      </c>
      <c r="D317" t="s">
        <v>134</v>
      </c>
    </row>
    <row r="318" spans="1:4" x14ac:dyDescent="0.25">
      <c r="A318" t="s">
        <v>134</v>
      </c>
      <c r="B318" t="s">
        <v>134</v>
      </c>
      <c r="C318" t="s">
        <v>134</v>
      </c>
      <c r="D318" t="s">
        <v>134</v>
      </c>
    </row>
    <row r="319" spans="1:4" x14ac:dyDescent="0.25">
      <c r="A319" t="s">
        <v>134</v>
      </c>
      <c r="B319" t="s">
        <v>134</v>
      </c>
      <c r="C319" t="s">
        <v>134</v>
      </c>
      <c r="D319" t="s">
        <v>134</v>
      </c>
    </row>
    <row r="320" spans="1:4" x14ac:dyDescent="0.25">
      <c r="A320" t="s">
        <v>134</v>
      </c>
      <c r="B320" t="s">
        <v>134</v>
      </c>
      <c r="C320" t="s">
        <v>134</v>
      </c>
      <c r="D320" t="s">
        <v>134</v>
      </c>
    </row>
    <row r="321" spans="1:4" x14ac:dyDescent="0.25">
      <c r="A321" t="s">
        <v>134</v>
      </c>
      <c r="B321" t="s">
        <v>134</v>
      </c>
      <c r="C321" t="s">
        <v>134</v>
      </c>
      <c r="D321" t="s">
        <v>134</v>
      </c>
    </row>
    <row r="322" spans="1:4" x14ac:dyDescent="0.25">
      <c r="A322" t="s">
        <v>134</v>
      </c>
      <c r="B322" t="s">
        <v>134</v>
      </c>
      <c r="C322" t="s">
        <v>134</v>
      </c>
      <c r="D322" t="s">
        <v>134</v>
      </c>
    </row>
    <row r="323" spans="1:4" x14ac:dyDescent="0.25">
      <c r="A323" t="s">
        <v>134</v>
      </c>
      <c r="B323" t="s">
        <v>134</v>
      </c>
      <c r="C323" t="s">
        <v>134</v>
      </c>
      <c r="D323" t="s">
        <v>134</v>
      </c>
    </row>
    <row r="324" spans="1:4" x14ac:dyDescent="0.25">
      <c r="A324" t="s">
        <v>134</v>
      </c>
      <c r="B324" t="s">
        <v>134</v>
      </c>
      <c r="C324" t="s">
        <v>134</v>
      </c>
      <c r="D324" t="s">
        <v>134</v>
      </c>
    </row>
    <row r="325" spans="1:4" x14ac:dyDescent="0.25">
      <c r="A325" t="s">
        <v>134</v>
      </c>
      <c r="B325" t="s">
        <v>134</v>
      </c>
      <c r="C325" t="s">
        <v>134</v>
      </c>
      <c r="D325" t="s">
        <v>134</v>
      </c>
    </row>
    <row r="326" spans="1:4" x14ac:dyDescent="0.25">
      <c r="A326" t="s">
        <v>134</v>
      </c>
      <c r="B326" t="s">
        <v>134</v>
      </c>
      <c r="C326" t="s">
        <v>134</v>
      </c>
      <c r="D326" t="s">
        <v>134</v>
      </c>
    </row>
    <row r="327" spans="1:4" x14ac:dyDescent="0.25">
      <c r="A327" t="s">
        <v>134</v>
      </c>
      <c r="B327" t="s">
        <v>134</v>
      </c>
      <c r="C327" t="s">
        <v>134</v>
      </c>
      <c r="D327" t="s">
        <v>134</v>
      </c>
    </row>
    <row r="328" spans="1:4" x14ac:dyDescent="0.25">
      <c r="A328" t="s">
        <v>134</v>
      </c>
      <c r="B328" t="s">
        <v>134</v>
      </c>
      <c r="C328" t="s">
        <v>134</v>
      </c>
      <c r="D328" t="s">
        <v>134</v>
      </c>
    </row>
    <row r="329" spans="1:4" x14ac:dyDescent="0.25">
      <c r="A329" t="s">
        <v>134</v>
      </c>
      <c r="B329" t="s">
        <v>134</v>
      </c>
      <c r="C329" t="s">
        <v>134</v>
      </c>
      <c r="D329" t="s">
        <v>134</v>
      </c>
    </row>
    <row r="330" spans="1:4" x14ac:dyDescent="0.25">
      <c r="A330" t="s">
        <v>134</v>
      </c>
      <c r="B330" t="s">
        <v>134</v>
      </c>
      <c r="C330" t="s">
        <v>134</v>
      </c>
      <c r="D330" t="s">
        <v>134</v>
      </c>
    </row>
    <row r="331" spans="1:4" x14ac:dyDescent="0.25">
      <c r="A331" t="s">
        <v>134</v>
      </c>
      <c r="B331" t="s">
        <v>134</v>
      </c>
      <c r="C331" t="s">
        <v>134</v>
      </c>
      <c r="D331" t="s">
        <v>134</v>
      </c>
    </row>
    <row r="332" spans="1:4" x14ac:dyDescent="0.25">
      <c r="A332" t="s">
        <v>134</v>
      </c>
      <c r="B332" t="s">
        <v>134</v>
      </c>
      <c r="C332" t="s">
        <v>134</v>
      </c>
      <c r="D332" t="s">
        <v>134</v>
      </c>
    </row>
    <row r="333" spans="1:4" x14ac:dyDescent="0.25">
      <c r="A333" t="s">
        <v>134</v>
      </c>
      <c r="B333" t="s">
        <v>134</v>
      </c>
      <c r="C333" t="s">
        <v>134</v>
      </c>
      <c r="D333" t="s">
        <v>134</v>
      </c>
    </row>
    <row r="334" spans="1:4" x14ac:dyDescent="0.25">
      <c r="A334" t="s">
        <v>134</v>
      </c>
      <c r="B334" t="s">
        <v>134</v>
      </c>
      <c r="C334" t="s">
        <v>134</v>
      </c>
      <c r="D334" t="s">
        <v>134</v>
      </c>
    </row>
    <row r="335" spans="1:4" x14ac:dyDescent="0.25">
      <c r="A335" t="s">
        <v>134</v>
      </c>
      <c r="B335" t="s">
        <v>134</v>
      </c>
      <c r="C335" t="s">
        <v>134</v>
      </c>
      <c r="D335" t="s">
        <v>134</v>
      </c>
    </row>
    <row r="336" spans="1:4" x14ac:dyDescent="0.25">
      <c r="A336" t="s">
        <v>134</v>
      </c>
      <c r="B336" t="s">
        <v>134</v>
      </c>
      <c r="C336" t="s">
        <v>134</v>
      </c>
      <c r="D336" t="s">
        <v>134</v>
      </c>
    </row>
    <row r="337" spans="1:4" x14ac:dyDescent="0.25">
      <c r="A337" t="s">
        <v>134</v>
      </c>
      <c r="B337" t="s">
        <v>134</v>
      </c>
      <c r="C337" t="s">
        <v>134</v>
      </c>
      <c r="D337" t="s">
        <v>134</v>
      </c>
    </row>
    <row r="338" spans="1:4" x14ac:dyDescent="0.25">
      <c r="A338" t="s">
        <v>134</v>
      </c>
      <c r="B338" t="s">
        <v>134</v>
      </c>
      <c r="C338" t="s">
        <v>134</v>
      </c>
      <c r="D338" t="s">
        <v>134</v>
      </c>
    </row>
    <row r="339" spans="1:4" x14ac:dyDescent="0.25">
      <c r="A339" t="s">
        <v>134</v>
      </c>
      <c r="B339" t="s">
        <v>134</v>
      </c>
      <c r="C339" t="s">
        <v>134</v>
      </c>
      <c r="D339" t="s">
        <v>134</v>
      </c>
    </row>
    <row r="340" spans="1:4" x14ac:dyDescent="0.25">
      <c r="A340" t="s">
        <v>134</v>
      </c>
      <c r="B340" t="s">
        <v>134</v>
      </c>
      <c r="C340" t="s">
        <v>134</v>
      </c>
      <c r="D340" t="s">
        <v>134</v>
      </c>
    </row>
    <row r="341" spans="1:4" x14ac:dyDescent="0.25">
      <c r="A341" t="s">
        <v>134</v>
      </c>
      <c r="B341" t="s">
        <v>134</v>
      </c>
      <c r="C341" t="s">
        <v>134</v>
      </c>
      <c r="D341" t="s">
        <v>134</v>
      </c>
    </row>
    <row r="342" spans="1:4" x14ac:dyDescent="0.25">
      <c r="A342" t="s">
        <v>134</v>
      </c>
      <c r="B342" t="s">
        <v>134</v>
      </c>
      <c r="C342" t="s">
        <v>134</v>
      </c>
      <c r="D342" t="s">
        <v>134</v>
      </c>
    </row>
    <row r="343" spans="1:4" x14ac:dyDescent="0.25">
      <c r="A343" t="s">
        <v>134</v>
      </c>
      <c r="B343" t="s">
        <v>134</v>
      </c>
      <c r="C343" t="s">
        <v>134</v>
      </c>
      <c r="D343" t="s">
        <v>134</v>
      </c>
    </row>
    <row r="344" spans="1:4" x14ac:dyDescent="0.25">
      <c r="A344" t="s">
        <v>134</v>
      </c>
      <c r="B344" t="s">
        <v>134</v>
      </c>
      <c r="C344" t="s">
        <v>134</v>
      </c>
      <c r="D344" t="s">
        <v>134</v>
      </c>
    </row>
    <row r="345" spans="1:4" x14ac:dyDescent="0.25">
      <c r="A345" t="s">
        <v>134</v>
      </c>
      <c r="B345" t="s">
        <v>134</v>
      </c>
      <c r="C345" t="s">
        <v>134</v>
      </c>
      <c r="D345" t="s">
        <v>134</v>
      </c>
    </row>
    <row r="346" spans="1:4" x14ac:dyDescent="0.25">
      <c r="A346" t="s">
        <v>134</v>
      </c>
      <c r="B346" t="s">
        <v>134</v>
      </c>
      <c r="C346" t="s">
        <v>134</v>
      </c>
      <c r="D346" t="s">
        <v>134</v>
      </c>
    </row>
    <row r="347" spans="1:4" x14ac:dyDescent="0.25">
      <c r="A347" t="s">
        <v>134</v>
      </c>
      <c r="B347" t="s">
        <v>134</v>
      </c>
      <c r="C347" t="s">
        <v>134</v>
      </c>
      <c r="D347" t="s">
        <v>134</v>
      </c>
    </row>
    <row r="348" spans="1:4" x14ac:dyDescent="0.25">
      <c r="A348" t="s">
        <v>134</v>
      </c>
      <c r="B348" t="s">
        <v>134</v>
      </c>
      <c r="C348" t="s">
        <v>134</v>
      </c>
      <c r="D348" t="s">
        <v>134</v>
      </c>
    </row>
    <row r="349" spans="1:4" x14ac:dyDescent="0.25">
      <c r="A349" t="s">
        <v>134</v>
      </c>
      <c r="B349" t="s">
        <v>134</v>
      </c>
      <c r="C349" t="s">
        <v>134</v>
      </c>
      <c r="D349" t="s">
        <v>134</v>
      </c>
    </row>
    <row r="350" spans="1:4" x14ac:dyDescent="0.25">
      <c r="A350" t="s">
        <v>134</v>
      </c>
      <c r="B350" t="s">
        <v>134</v>
      </c>
      <c r="C350" t="s">
        <v>134</v>
      </c>
      <c r="D350" t="s">
        <v>134</v>
      </c>
    </row>
    <row r="351" spans="1:4" x14ac:dyDescent="0.25">
      <c r="A351" t="s">
        <v>134</v>
      </c>
      <c r="B351" t="s">
        <v>134</v>
      </c>
      <c r="C351" t="s">
        <v>134</v>
      </c>
      <c r="D351" t="s">
        <v>134</v>
      </c>
    </row>
    <row r="352" spans="1:4" x14ac:dyDescent="0.25">
      <c r="A352" t="s">
        <v>134</v>
      </c>
      <c r="B352" t="s">
        <v>134</v>
      </c>
      <c r="C352" t="s">
        <v>134</v>
      </c>
      <c r="D352" t="s">
        <v>134</v>
      </c>
    </row>
    <row r="353" spans="1:4" x14ac:dyDescent="0.25">
      <c r="A353" t="s">
        <v>134</v>
      </c>
      <c r="B353" t="s">
        <v>134</v>
      </c>
      <c r="C353" t="s">
        <v>134</v>
      </c>
      <c r="D353" t="s">
        <v>134</v>
      </c>
    </row>
    <row r="354" spans="1:4" x14ac:dyDescent="0.25">
      <c r="A354" t="s">
        <v>134</v>
      </c>
      <c r="B354" t="s">
        <v>134</v>
      </c>
      <c r="C354" t="s">
        <v>134</v>
      </c>
      <c r="D354" t="s">
        <v>134</v>
      </c>
    </row>
    <row r="355" spans="1:4" x14ac:dyDescent="0.25">
      <c r="A355" t="s">
        <v>134</v>
      </c>
      <c r="B355" t="s">
        <v>134</v>
      </c>
      <c r="C355" t="s">
        <v>134</v>
      </c>
      <c r="D355" t="s">
        <v>134</v>
      </c>
    </row>
    <row r="356" spans="1:4" x14ac:dyDescent="0.25">
      <c r="A356" t="s">
        <v>134</v>
      </c>
      <c r="B356" t="s">
        <v>134</v>
      </c>
      <c r="C356" t="s">
        <v>134</v>
      </c>
      <c r="D356" t="s">
        <v>134</v>
      </c>
    </row>
    <row r="357" spans="1:4" x14ac:dyDescent="0.25">
      <c r="A357" t="s">
        <v>134</v>
      </c>
      <c r="B357" t="s">
        <v>134</v>
      </c>
      <c r="C357" t="s">
        <v>134</v>
      </c>
      <c r="D357" t="s">
        <v>134</v>
      </c>
    </row>
    <row r="358" spans="1:4" x14ac:dyDescent="0.25">
      <c r="A358" t="s">
        <v>134</v>
      </c>
      <c r="B358" t="s">
        <v>134</v>
      </c>
      <c r="C358" t="s">
        <v>134</v>
      </c>
      <c r="D358" t="s">
        <v>134</v>
      </c>
    </row>
    <row r="359" spans="1:4" x14ac:dyDescent="0.25">
      <c r="A359" t="s">
        <v>134</v>
      </c>
      <c r="B359" t="s">
        <v>134</v>
      </c>
      <c r="C359" t="s">
        <v>134</v>
      </c>
      <c r="D359" t="s">
        <v>134</v>
      </c>
    </row>
    <row r="360" spans="1:4" x14ac:dyDescent="0.25">
      <c r="A360" t="s">
        <v>134</v>
      </c>
      <c r="B360" t="s">
        <v>134</v>
      </c>
      <c r="C360" t="s">
        <v>134</v>
      </c>
      <c r="D360" t="s">
        <v>134</v>
      </c>
    </row>
    <row r="361" spans="1:4" x14ac:dyDescent="0.25">
      <c r="A361" t="s">
        <v>134</v>
      </c>
      <c r="B361" t="s">
        <v>134</v>
      </c>
      <c r="C361" t="s">
        <v>134</v>
      </c>
      <c r="D361" t="s">
        <v>134</v>
      </c>
    </row>
    <row r="362" spans="1:4" x14ac:dyDescent="0.25">
      <c r="A362" t="s">
        <v>134</v>
      </c>
      <c r="B362" t="s">
        <v>134</v>
      </c>
      <c r="C362" t="s">
        <v>134</v>
      </c>
      <c r="D362" t="s">
        <v>134</v>
      </c>
    </row>
    <row r="363" spans="1:4" x14ac:dyDescent="0.25">
      <c r="A363" t="s">
        <v>134</v>
      </c>
      <c r="B363" t="s">
        <v>134</v>
      </c>
      <c r="C363" t="s">
        <v>134</v>
      </c>
      <c r="D363" t="s">
        <v>134</v>
      </c>
    </row>
    <row r="364" spans="1:4" x14ac:dyDescent="0.25">
      <c r="A364" t="s">
        <v>134</v>
      </c>
      <c r="B364" t="s">
        <v>134</v>
      </c>
      <c r="C364" t="s">
        <v>134</v>
      </c>
      <c r="D364" t="s">
        <v>134</v>
      </c>
    </row>
    <row r="365" spans="1:4" x14ac:dyDescent="0.25">
      <c r="A365" t="s">
        <v>134</v>
      </c>
      <c r="B365" t="s">
        <v>134</v>
      </c>
      <c r="C365" t="s">
        <v>134</v>
      </c>
      <c r="D365" t="s">
        <v>134</v>
      </c>
    </row>
    <row r="366" spans="1:4" x14ac:dyDescent="0.25">
      <c r="A366" t="s">
        <v>134</v>
      </c>
      <c r="B366" t="s">
        <v>134</v>
      </c>
      <c r="C366" t="s">
        <v>134</v>
      </c>
      <c r="D366" t="s">
        <v>134</v>
      </c>
    </row>
    <row r="367" spans="1:4" x14ac:dyDescent="0.25">
      <c r="A367" t="s">
        <v>134</v>
      </c>
      <c r="B367" t="s">
        <v>134</v>
      </c>
      <c r="C367" t="s">
        <v>134</v>
      </c>
      <c r="D367" t="s">
        <v>134</v>
      </c>
    </row>
    <row r="368" spans="1:4" x14ac:dyDescent="0.25">
      <c r="A368" t="s">
        <v>134</v>
      </c>
      <c r="B368" t="s">
        <v>134</v>
      </c>
      <c r="C368" t="s">
        <v>134</v>
      </c>
      <c r="D368" t="s">
        <v>134</v>
      </c>
    </row>
    <row r="369" spans="1:4" x14ac:dyDescent="0.25">
      <c r="A369" t="s">
        <v>134</v>
      </c>
      <c r="B369" t="s">
        <v>134</v>
      </c>
      <c r="C369" t="s">
        <v>134</v>
      </c>
      <c r="D369" t="s">
        <v>134</v>
      </c>
    </row>
    <row r="370" spans="1:4" x14ac:dyDescent="0.25">
      <c r="A370" t="s">
        <v>134</v>
      </c>
      <c r="B370" t="s">
        <v>134</v>
      </c>
      <c r="C370" t="s">
        <v>134</v>
      </c>
      <c r="D370" t="s">
        <v>134</v>
      </c>
    </row>
    <row r="371" spans="1:4" x14ac:dyDescent="0.25">
      <c r="A371" t="s">
        <v>134</v>
      </c>
      <c r="B371" t="s">
        <v>134</v>
      </c>
      <c r="C371" t="s">
        <v>134</v>
      </c>
      <c r="D371" t="s">
        <v>134</v>
      </c>
    </row>
    <row r="372" spans="1:4" x14ac:dyDescent="0.25">
      <c r="A372" t="s">
        <v>134</v>
      </c>
      <c r="B372" t="s">
        <v>134</v>
      </c>
      <c r="C372" t="s">
        <v>134</v>
      </c>
      <c r="D372" t="s">
        <v>134</v>
      </c>
    </row>
    <row r="373" spans="1:4" x14ac:dyDescent="0.25">
      <c r="A373" t="s">
        <v>134</v>
      </c>
      <c r="B373" t="s">
        <v>134</v>
      </c>
      <c r="C373" t="s">
        <v>134</v>
      </c>
      <c r="D373" t="s">
        <v>134</v>
      </c>
    </row>
    <row r="374" spans="1:4" x14ac:dyDescent="0.25">
      <c r="A374" t="s">
        <v>134</v>
      </c>
      <c r="B374" t="s">
        <v>134</v>
      </c>
      <c r="C374" t="s">
        <v>134</v>
      </c>
      <c r="D374" t="s">
        <v>134</v>
      </c>
    </row>
    <row r="375" spans="1:4" x14ac:dyDescent="0.25">
      <c r="A375" t="s">
        <v>134</v>
      </c>
      <c r="B375" t="s">
        <v>134</v>
      </c>
      <c r="C375" t="s">
        <v>134</v>
      </c>
      <c r="D375" t="s">
        <v>134</v>
      </c>
    </row>
    <row r="376" spans="1:4" x14ac:dyDescent="0.25">
      <c r="A376" t="s">
        <v>134</v>
      </c>
      <c r="B376" t="s">
        <v>134</v>
      </c>
      <c r="C376" t="s">
        <v>134</v>
      </c>
      <c r="D376" t="s">
        <v>134</v>
      </c>
    </row>
    <row r="377" spans="1:4" x14ac:dyDescent="0.25">
      <c r="A377" t="s">
        <v>134</v>
      </c>
      <c r="B377" t="s">
        <v>134</v>
      </c>
      <c r="C377" t="s">
        <v>134</v>
      </c>
      <c r="D377" t="s">
        <v>134</v>
      </c>
    </row>
    <row r="378" spans="1:4" x14ac:dyDescent="0.25">
      <c r="A378" t="s">
        <v>134</v>
      </c>
      <c r="B378" t="s">
        <v>134</v>
      </c>
      <c r="C378" t="s">
        <v>134</v>
      </c>
      <c r="D378" t="s">
        <v>134</v>
      </c>
    </row>
    <row r="379" spans="1:4" x14ac:dyDescent="0.25">
      <c r="A379" t="s">
        <v>134</v>
      </c>
      <c r="B379" t="s">
        <v>134</v>
      </c>
      <c r="C379" t="s">
        <v>134</v>
      </c>
      <c r="D379" t="s">
        <v>134</v>
      </c>
    </row>
    <row r="380" spans="1:4" x14ac:dyDescent="0.25">
      <c r="A380" t="s">
        <v>134</v>
      </c>
      <c r="B380" t="s">
        <v>134</v>
      </c>
      <c r="C380" t="s">
        <v>134</v>
      </c>
      <c r="D380" t="s">
        <v>134</v>
      </c>
    </row>
    <row r="381" spans="1:4" x14ac:dyDescent="0.25">
      <c r="A381" t="s">
        <v>134</v>
      </c>
      <c r="B381" t="s">
        <v>134</v>
      </c>
      <c r="C381" t="s">
        <v>134</v>
      </c>
      <c r="D381" t="s">
        <v>134</v>
      </c>
    </row>
    <row r="382" spans="1:4" x14ac:dyDescent="0.25">
      <c r="A382" t="s">
        <v>134</v>
      </c>
      <c r="B382" t="s">
        <v>134</v>
      </c>
      <c r="C382" t="s">
        <v>134</v>
      </c>
      <c r="D382" t="s">
        <v>134</v>
      </c>
    </row>
    <row r="383" spans="1:4" x14ac:dyDescent="0.25">
      <c r="A383" t="s">
        <v>134</v>
      </c>
      <c r="B383" t="s">
        <v>134</v>
      </c>
      <c r="C383" t="s">
        <v>134</v>
      </c>
      <c r="D383" t="s">
        <v>134</v>
      </c>
    </row>
    <row r="384" spans="1:4" x14ac:dyDescent="0.25">
      <c r="A384" t="s">
        <v>134</v>
      </c>
      <c r="B384" t="s">
        <v>134</v>
      </c>
      <c r="C384" t="s">
        <v>134</v>
      </c>
      <c r="D384" t="s">
        <v>134</v>
      </c>
    </row>
    <row r="385" spans="1:4" x14ac:dyDescent="0.25">
      <c r="A385" t="s">
        <v>134</v>
      </c>
      <c r="B385" t="s">
        <v>134</v>
      </c>
      <c r="C385" t="s">
        <v>134</v>
      </c>
      <c r="D385" t="s">
        <v>134</v>
      </c>
    </row>
    <row r="386" spans="1:4" x14ac:dyDescent="0.25">
      <c r="A386" t="s">
        <v>134</v>
      </c>
      <c r="B386" t="s">
        <v>134</v>
      </c>
      <c r="C386" t="s">
        <v>134</v>
      </c>
      <c r="D386" t="s">
        <v>134</v>
      </c>
    </row>
    <row r="387" spans="1:4" x14ac:dyDescent="0.25">
      <c r="A387" t="s">
        <v>134</v>
      </c>
      <c r="B387" t="s">
        <v>134</v>
      </c>
      <c r="C387" t="s">
        <v>134</v>
      </c>
      <c r="D387" t="s">
        <v>134</v>
      </c>
    </row>
    <row r="388" spans="1:4" x14ac:dyDescent="0.25">
      <c r="A388" t="s">
        <v>134</v>
      </c>
      <c r="B388" t="s">
        <v>134</v>
      </c>
      <c r="C388" t="s">
        <v>134</v>
      </c>
      <c r="D388" t="s">
        <v>134</v>
      </c>
    </row>
    <row r="389" spans="1:4" x14ac:dyDescent="0.25">
      <c r="A389" t="s">
        <v>134</v>
      </c>
      <c r="B389" t="s">
        <v>134</v>
      </c>
      <c r="C389" t="s">
        <v>134</v>
      </c>
      <c r="D389" t="s">
        <v>134</v>
      </c>
    </row>
    <row r="390" spans="1:4" x14ac:dyDescent="0.25">
      <c r="A390" t="s">
        <v>134</v>
      </c>
      <c r="B390" t="s">
        <v>134</v>
      </c>
      <c r="C390" t="s">
        <v>134</v>
      </c>
      <c r="D390" t="s">
        <v>134</v>
      </c>
    </row>
    <row r="391" spans="1:4" x14ac:dyDescent="0.25">
      <c r="A391" t="s">
        <v>134</v>
      </c>
      <c r="B391" t="s">
        <v>134</v>
      </c>
      <c r="C391" t="s">
        <v>134</v>
      </c>
      <c r="D391" t="s">
        <v>134</v>
      </c>
    </row>
    <row r="392" spans="1:4" x14ac:dyDescent="0.25">
      <c r="A392" t="s">
        <v>134</v>
      </c>
      <c r="B392" t="s">
        <v>134</v>
      </c>
      <c r="C392" t="s">
        <v>134</v>
      </c>
      <c r="D392" t="s">
        <v>134</v>
      </c>
    </row>
    <row r="393" spans="1:4" x14ac:dyDescent="0.25">
      <c r="A393" t="s">
        <v>134</v>
      </c>
      <c r="B393" t="s">
        <v>134</v>
      </c>
      <c r="C393" t="s">
        <v>134</v>
      </c>
      <c r="D393" t="s">
        <v>134</v>
      </c>
    </row>
    <row r="394" spans="1:4" x14ac:dyDescent="0.25">
      <c r="A394" t="s">
        <v>134</v>
      </c>
      <c r="B394" t="s">
        <v>134</v>
      </c>
      <c r="C394" t="s">
        <v>134</v>
      </c>
      <c r="D394" t="s">
        <v>134</v>
      </c>
    </row>
    <row r="395" spans="1:4" x14ac:dyDescent="0.25">
      <c r="A395" t="s">
        <v>134</v>
      </c>
      <c r="B395" t="s">
        <v>134</v>
      </c>
      <c r="C395" t="s">
        <v>134</v>
      </c>
      <c r="D395" t="s">
        <v>134</v>
      </c>
    </row>
    <row r="396" spans="1:4" x14ac:dyDescent="0.25">
      <c r="A396" t="s">
        <v>134</v>
      </c>
      <c r="B396" t="s">
        <v>134</v>
      </c>
      <c r="C396" t="s">
        <v>134</v>
      </c>
      <c r="D396" t="s">
        <v>134</v>
      </c>
    </row>
    <row r="397" spans="1:4" x14ac:dyDescent="0.25">
      <c r="A397" t="s">
        <v>134</v>
      </c>
      <c r="B397" t="s">
        <v>134</v>
      </c>
      <c r="C397" t="s">
        <v>134</v>
      </c>
      <c r="D397" t="s">
        <v>134</v>
      </c>
    </row>
    <row r="398" spans="1:4" x14ac:dyDescent="0.25">
      <c r="A398" t="s">
        <v>134</v>
      </c>
      <c r="B398" t="s">
        <v>134</v>
      </c>
      <c r="C398" t="s">
        <v>134</v>
      </c>
      <c r="D398" t="s">
        <v>134</v>
      </c>
    </row>
    <row r="399" spans="1:4" x14ac:dyDescent="0.25">
      <c r="A399" t="s">
        <v>134</v>
      </c>
      <c r="B399" t="s">
        <v>134</v>
      </c>
      <c r="C399" t="s">
        <v>134</v>
      </c>
      <c r="D399" t="s">
        <v>134</v>
      </c>
    </row>
    <row r="400" spans="1:4" x14ac:dyDescent="0.25">
      <c r="A400" t="s">
        <v>134</v>
      </c>
      <c r="B400" t="s">
        <v>134</v>
      </c>
      <c r="C400" t="s">
        <v>134</v>
      </c>
      <c r="D400" t="s">
        <v>134</v>
      </c>
    </row>
    <row r="401" spans="1:4" x14ac:dyDescent="0.25">
      <c r="A401" t="s">
        <v>134</v>
      </c>
      <c r="B401" t="s">
        <v>134</v>
      </c>
      <c r="C401" t="s">
        <v>134</v>
      </c>
      <c r="D401" t="s">
        <v>134</v>
      </c>
    </row>
    <row r="402" spans="1:4" x14ac:dyDescent="0.25">
      <c r="A402" t="s">
        <v>134</v>
      </c>
      <c r="B402" t="s">
        <v>134</v>
      </c>
      <c r="C402" t="s">
        <v>134</v>
      </c>
      <c r="D402" t="s">
        <v>134</v>
      </c>
    </row>
    <row r="403" spans="1:4" x14ac:dyDescent="0.25">
      <c r="A403" t="s">
        <v>134</v>
      </c>
      <c r="B403" t="s">
        <v>134</v>
      </c>
      <c r="C403" t="s">
        <v>134</v>
      </c>
      <c r="D403" t="s">
        <v>134</v>
      </c>
    </row>
    <row r="404" spans="1:4" x14ac:dyDescent="0.25">
      <c r="A404" t="s">
        <v>134</v>
      </c>
      <c r="B404" t="s">
        <v>134</v>
      </c>
      <c r="C404" t="s">
        <v>134</v>
      </c>
      <c r="D404" t="s">
        <v>134</v>
      </c>
    </row>
    <row r="405" spans="1:4" x14ac:dyDescent="0.25">
      <c r="A405" t="s">
        <v>134</v>
      </c>
      <c r="B405" t="s">
        <v>134</v>
      </c>
      <c r="C405" t="s">
        <v>134</v>
      </c>
      <c r="D405" t="s">
        <v>134</v>
      </c>
    </row>
    <row r="406" spans="1:4" x14ac:dyDescent="0.25">
      <c r="A406" t="s">
        <v>134</v>
      </c>
      <c r="B406" t="s">
        <v>134</v>
      </c>
      <c r="C406" t="s">
        <v>134</v>
      </c>
      <c r="D406" t="s">
        <v>134</v>
      </c>
    </row>
    <row r="407" spans="1:4" x14ac:dyDescent="0.25">
      <c r="A407" t="s">
        <v>134</v>
      </c>
      <c r="B407" t="s">
        <v>134</v>
      </c>
      <c r="C407" t="s">
        <v>134</v>
      </c>
      <c r="D407" t="s">
        <v>134</v>
      </c>
    </row>
    <row r="408" spans="1:4" x14ac:dyDescent="0.25">
      <c r="A408" t="s">
        <v>134</v>
      </c>
      <c r="B408" t="s">
        <v>134</v>
      </c>
      <c r="C408" t="s">
        <v>134</v>
      </c>
      <c r="D408" t="s">
        <v>134</v>
      </c>
    </row>
    <row r="409" spans="1:4" x14ac:dyDescent="0.25">
      <c r="A409" t="s">
        <v>134</v>
      </c>
      <c r="B409" t="s">
        <v>134</v>
      </c>
      <c r="C409" t="s">
        <v>134</v>
      </c>
      <c r="D409" t="s">
        <v>134</v>
      </c>
    </row>
    <row r="410" spans="1:4" x14ac:dyDescent="0.25">
      <c r="A410" t="s">
        <v>134</v>
      </c>
      <c r="B410" t="s">
        <v>134</v>
      </c>
      <c r="C410" t="s">
        <v>134</v>
      </c>
      <c r="D410" t="s">
        <v>134</v>
      </c>
    </row>
    <row r="411" spans="1:4" x14ac:dyDescent="0.25">
      <c r="A411" t="s">
        <v>134</v>
      </c>
      <c r="B411" t="s">
        <v>134</v>
      </c>
      <c r="C411" t="s">
        <v>134</v>
      </c>
      <c r="D411" t="s">
        <v>134</v>
      </c>
    </row>
    <row r="412" spans="1:4" x14ac:dyDescent="0.25">
      <c r="A412" t="s">
        <v>134</v>
      </c>
      <c r="B412" t="s">
        <v>134</v>
      </c>
      <c r="C412" t="s">
        <v>134</v>
      </c>
      <c r="D412" t="s">
        <v>134</v>
      </c>
    </row>
    <row r="413" spans="1:4" x14ac:dyDescent="0.25">
      <c r="A413" t="s">
        <v>134</v>
      </c>
      <c r="B413" t="s">
        <v>134</v>
      </c>
      <c r="C413" t="s">
        <v>134</v>
      </c>
      <c r="D413" t="s">
        <v>134</v>
      </c>
    </row>
    <row r="414" spans="1:4" x14ac:dyDescent="0.25">
      <c r="A414" t="s">
        <v>134</v>
      </c>
      <c r="B414" t="s">
        <v>134</v>
      </c>
      <c r="C414" t="s">
        <v>134</v>
      </c>
      <c r="D414" t="s">
        <v>134</v>
      </c>
    </row>
    <row r="415" spans="1:4" x14ac:dyDescent="0.25">
      <c r="A415" t="s">
        <v>134</v>
      </c>
      <c r="B415" t="s">
        <v>134</v>
      </c>
      <c r="C415" t="s">
        <v>134</v>
      </c>
      <c r="D415" t="s">
        <v>134</v>
      </c>
    </row>
    <row r="416" spans="1:4" x14ac:dyDescent="0.25">
      <c r="A416" t="s">
        <v>134</v>
      </c>
      <c r="B416" t="s">
        <v>134</v>
      </c>
      <c r="C416" t="s">
        <v>134</v>
      </c>
      <c r="D416" t="s">
        <v>134</v>
      </c>
    </row>
    <row r="417" spans="1:4" x14ac:dyDescent="0.25">
      <c r="A417" t="s">
        <v>134</v>
      </c>
      <c r="B417" t="s">
        <v>134</v>
      </c>
      <c r="C417" t="s">
        <v>134</v>
      </c>
      <c r="D417" t="s">
        <v>134</v>
      </c>
    </row>
    <row r="418" spans="1:4" x14ac:dyDescent="0.25">
      <c r="A418" t="s">
        <v>134</v>
      </c>
      <c r="B418" t="s">
        <v>134</v>
      </c>
      <c r="C418" t="s">
        <v>134</v>
      </c>
      <c r="D418" t="s">
        <v>134</v>
      </c>
    </row>
    <row r="419" spans="1:4" x14ac:dyDescent="0.25">
      <c r="A419" t="s">
        <v>134</v>
      </c>
      <c r="B419" t="s">
        <v>134</v>
      </c>
      <c r="C419" t="s">
        <v>134</v>
      </c>
      <c r="D419" t="s">
        <v>134</v>
      </c>
    </row>
    <row r="420" spans="1:4" x14ac:dyDescent="0.25">
      <c r="A420" t="s">
        <v>134</v>
      </c>
      <c r="B420" t="s">
        <v>134</v>
      </c>
      <c r="C420" t="s">
        <v>134</v>
      </c>
      <c r="D420" t="s">
        <v>134</v>
      </c>
    </row>
    <row r="421" spans="1:4" x14ac:dyDescent="0.25">
      <c r="A421" t="s">
        <v>134</v>
      </c>
      <c r="B421" t="s">
        <v>134</v>
      </c>
      <c r="C421" t="s">
        <v>134</v>
      </c>
      <c r="D421" t="s">
        <v>134</v>
      </c>
    </row>
    <row r="422" spans="1:4" x14ac:dyDescent="0.25">
      <c r="A422" t="s">
        <v>134</v>
      </c>
      <c r="B422" t="s">
        <v>134</v>
      </c>
      <c r="C422" t="s">
        <v>134</v>
      </c>
      <c r="D422" t="s">
        <v>134</v>
      </c>
    </row>
    <row r="423" spans="1:4" x14ac:dyDescent="0.25">
      <c r="A423" t="s">
        <v>134</v>
      </c>
      <c r="B423" t="s">
        <v>134</v>
      </c>
      <c r="C423" t="s">
        <v>134</v>
      </c>
      <c r="D423" t="s">
        <v>134</v>
      </c>
    </row>
    <row r="424" spans="1:4" x14ac:dyDescent="0.25">
      <c r="A424" t="s">
        <v>134</v>
      </c>
      <c r="B424" t="s">
        <v>134</v>
      </c>
      <c r="C424" t="s">
        <v>134</v>
      </c>
      <c r="D424" t="s">
        <v>134</v>
      </c>
    </row>
    <row r="425" spans="1:4" x14ac:dyDescent="0.25">
      <c r="A425" t="s">
        <v>134</v>
      </c>
      <c r="B425" t="s">
        <v>134</v>
      </c>
      <c r="C425" t="s">
        <v>134</v>
      </c>
      <c r="D425" t="s">
        <v>134</v>
      </c>
    </row>
    <row r="426" spans="1:4" x14ac:dyDescent="0.25">
      <c r="A426" t="s">
        <v>134</v>
      </c>
      <c r="B426" t="s">
        <v>134</v>
      </c>
      <c r="C426" t="s">
        <v>134</v>
      </c>
      <c r="D426" t="s">
        <v>134</v>
      </c>
    </row>
    <row r="427" spans="1:4" x14ac:dyDescent="0.25">
      <c r="A427" t="s">
        <v>134</v>
      </c>
      <c r="B427" t="s">
        <v>134</v>
      </c>
      <c r="C427" t="s">
        <v>134</v>
      </c>
      <c r="D427" t="s">
        <v>134</v>
      </c>
    </row>
    <row r="428" spans="1:4" x14ac:dyDescent="0.25">
      <c r="A428" t="s">
        <v>134</v>
      </c>
      <c r="B428" t="s">
        <v>134</v>
      </c>
      <c r="C428" t="s">
        <v>134</v>
      </c>
      <c r="D428" t="s">
        <v>134</v>
      </c>
    </row>
    <row r="429" spans="1:4" x14ac:dyDescent="0.25">
      <c r="A429" t="s">
        <v>134</v>
      </c>
      <c r="B429" t="s">
        <v>134</v>
      </c>
      <c r="C429" t="s">
        <v>134</v>
      </c>
      <c r="D429" t="s">
        <v>134</v>
      </c>
    </row>
    <row r="430" spans="1:4" x14ac:dyDescent="0.25">
      <c r="A430" t="s">
        <v>134</v>
      </c>
      <c r="B430" t="s">
        <v>134</v>
      </c>
      <c r="C430" t="s">
        <v>134</v>
      </c>
      <c r="D430" t="s">
        <v>134</v>
      </c>
    </row>
    <row r="431" spans="1:4" x14ac:dyDescent="0.25">
      <c r="A431" t="s">
        <v>134</v>
      </c>
      <c r="B431" t="s">
        <v>134</v>
      </c>
      <c r="C431" t="s">
        <v>134</v>
      </c>
      <c r="D431" t="s">
        <v>134</v>
      </c>
    </row>
    <row r="432" spans="1:4" x14ac:dyDescent="0.25">
      <c r="A432" t="s">
        <v>134</v>
      </c>
      <c r="B432" t="s">
        <v>134</v>
      </c>
      <c r="C432" t="s">
        <v>134</v>
      </c>
      <c r="D432" t="s">
        <v>134</v>
      </c>
    </row>
    <row r="433" spans="1:4" x14ac:dyDescent="0.25">
      <c r="A433" t="s">
        <v>134</v>
      </c>
      <c r="B433" t="s">
        <v>134</v>
      </c>
      <c r="C433" t="s">
        <v>134</v>
      </c>
      <c r="D433" t="s">
        <v>134</v>
      </c>
    </row>
    <row r="434" spans="1:4" x14ac:dyDescent="0.25">
      <c r="A434" t="s">
        <v>134</v>
      </c>
      <c r="B434" t="s">
        <v>134</v>
      </c>
      <c r="C434" t="s">
        <v>134</v>
      </c>
      <c r="D434" t="s">
        <v>134</v>
      </c>
    </row>
    <row r="435" spans="1:4" x14ac:dyDescent="0.25">
      <c r="A435" t="s">
        <v>134</v>
      </c>
      <c r="B435" t="s">
        <v>134</v>
      </c>
      <c r="C435" t="s">
        <v>134</v>
      </c>
      <c r="D435" t="s">
        <v>134</v>
      </c>
    </row>
    <row r="436" spans="1:4" x14ac:dyDescent="0.25">
      <c r="A436" t="s">
        <v>134</v>
      </c>
      <c r="B436" t="s">
        <v>134</v>
      </c>
      <c r="C436" t="s">
        <v>134</v>
      </c>
      <c r="D436" t="s">
        <v>134</v>
      </c>
    </row>
    <row r="437" spans="1:4" x14ac:dyDescent="0.25">
      <c r="A437" t="s">
        <v>134</v>
      </c>
      <c r="B437" t="s">
        <v>134</v>
      </c>
      <c r="C437" t="s">
        <v>134</v>
      </c>
      <c r="D437" t="s">
        <v>134</v>
      </c>
    </row>
    <row r="438" spans="1:4" x14ac:dyDescent="0.25">
      <c r="A438" t="s">
        <v>134</v>
      </c>
      <c r="B438" t="s">
        <v>134</v>
      </c>
      <c r="C438" t="s">
        <v>134</v>
      </c>
      <c r="D438" t="s">
        <v>134</v>
      </c>
    </row>
    <row r="439" spans="1:4" x14ac:dyDescent="0.25">
      <c r="A439" t="s">
        <v>134</v>
      </c>
      <c r="B439" t="s">
        <v>134</v>
      </c>
      <c r="C439" t="s">
        <v>134</v>
      </c>
      <c r="D439" t="s">
        <v>134</v>
      </c>
    </row>
    <row r="440" spans="1:4" x14ac:dyDescent="0.25">
      <c r="A440" t="s">
        <v>134</v>
      </c>
      <c r="B440" t="s">
        <v>134</v>
      </c>
      <c r="C440" t="s">
        <v>134</v>
      </c>
      <c r="D440" t="s">
        <v>134</v>
      </c>
    </row>
    <row r="441" spans="1:4" x14ac:dyDescent="0.25">
      <c r="A441" t="s">
        <v>134</v>
      </c>
      <c r="B441" t="s">
        <v>134</v>
      </c>
      <c r="C441" t="s">
        <v>134</v>
      </c>
      <c r="D441" t="s">
        <v>134</v>
      </c>
    </row>
    <row r="442" spans="1:4" x14ac:dyDescent="0.25">
      <c r="A442" t="s">
        <v>134</v>
      </c>
      <c r="B442" t="s">
        <v>134</v>
      </c>
      <c r="C442" t="s">
        <v>134</v>
      </c>
      <c r="D442" t="s">
        <v>134</v>
      </c>
    </row>
    <row r="443" spans="1:4" x14ac:dyDescent="0.25">
      <c r="A443" t="s">
        <v>134</v>
      </c>
      <c r="B443" t="s">
        <v>134</v>
      </c>
      <c r="C443" t="s">
        <v>134</v>
      </c>
      <c r="D443" t="s">
        <v>134</v>
      </c>
    </row>
    <row r="444" spans="1:4" x14ac:dyDescent="0.25">
      <c r="A444" t="s">
        <v>134</v>
      </c>
      <c r="B444" t="s">
        <v>134</v>
      </c>
      <c r="C444" t="s">
        <v>134</v>
      </c>
      <c r="D444" t="s">
        <v>134</v>
      </c>
    </row>
    <row r="445" spans="1:4" x14ac:dyDescent="0.25">
      <c r="A445" t="s">
        <v>134</v>
      </c>
      <c r="B445" t="s">
        <v>134</v>
      </c>
      <c r="C445" t="s">
        <v>134</v>
      </c>
      <c r="D445" t="s">
        <v>134</v>
      </c>
    </row>
    <row r="446" spans="1:4" x14ac:dyDescent="0.25">
      <c r="A446" t="s">
        <v>134</v>
      </c>
      <c r="B446" t="s">
        <v>134</v>
      </c>
      <c r="C446" t="s">
        <v>134</v>
      </c>
      <c r="D446" t="s">
        <v>134</v>
      </c>
    </row>
    <row r="447" spans="1:4" x14ac:dyDescent="0.25">
      <c r="A447" t="s">
        <v>134</v>
      </c>
      <c r="B447" t="s">
        <v>134</v>
      </c>
      <c r="C447" t="s">
        <v>134</v>
      </c>
      <c r="D447" t="s">
        <v>134</v>
      </c>
    </row>
    <row r="448" spans="1:4" x14ac:dyDescent="0.25">
      <c r="A448" t="s">
        <v>134</v>
      </c>
      <c r="B448" t="s">
        <v>134</v>
      </c>
      <c r="C448" t="s">
        <v>134</v>
      </c>
      <c r="D448" t="s">
        <v>134</v>
      </c>
    </row>
    <row r="449" spans="1:4" x14ac:dyDescent="0.25">
      <c r="A449" t="s">
        <v>134</v>
      </c>
      <c r="B449" t="s">
        <v>134</v>
      </c>
      <c r="C449" t="s">
        <v>134</v>
      </c>
      <c r="D449" t="s">
        <v>134</v>
      </c>
    </row>
    <row r="450" spans="1:4" x14ac:dyDescent="0.25">
      <c r="A450" t="s">
        <v>134</v>
      </c>
      <c r="B450" t="s">
        <v>134</v>
      </c>
      <c r="C450" t="s">
        <v>134</v>
      </c>
      <c r="D450" t="s">
        <v>134</v>
      </c>
    </row>
    <row r="451" spans="1:4" x14ac:dyDescent="0.25">
      <c r="A451" t="s">
        <v>134</v>
      </c>
      <c r="B451" t="s">
        <v>134</v>
      </c>
      <c r="C451" t="s">
        <v>134</v>
      </c>
      <c r="D451" t="s">
        <v>134</v>
      </c>
    </row>
    <row r="452" spans="1:4" x14ac:dyDescent="0.25">
      <c r="A452" t="s">
        <v>134</v>
      </c>
      <c r="B452" t="s">
        <v>134</v>
      </c>
      <c r="C452" t="s">
        <v>134</v>
      </c>
      <c r="D452" t="s">
        <v>134</v>
      </c>
    </row>
    <row r="453" spans="1:4" x14ac:dyDescent="0.25">
      <c r="A453" t="s">
        <v>134</v>
      </c>
      <c r="B453" t="s">
        <v>134</v>
      </c>
      <c r="C453" t="s">
        <v>134</v>
      </c>
      <c r="D453" t="s">
        <v>134</v>
      </c>
    </row>
    <row r="454" spans="1:4" x14ac:dyDescent="0.25">
      <c r="A454" t="s">
        <v>134</v>
      </c>
      <c r="B454" t="s">
        <v>134</v>
      </c>
      <c r="C454" t="s">
        <v>134</v>
      </c>
      <c r="D454" t="s">
        <v>134</v>
      </c>
    </row>
    <row r="455" spans="1:4" x14ac:dyDescent="0.25">
      <c r="A455" t="s">
        <v>134</v>
      </c>
      <c r="B455" t="s">
        <v>134</v>
      </c>
      <c r="C455" t="s">
        <v>134</v>
      </c>
      <c r="D455" t="s">
        <v>134</v>
      </c>
    </row>
    <row r="456" spans="1:4" x14ac:dyDescent="0.25">
      <c r="A456" t="s">
        <v>134</v>
      </c>
      <c r="B456" t="s">
        <v>134</v>
      </c>
      <c r="C456" t="s">
        <v>134</v>
      </c>
      <c r="D456" t="s">
        <v>134</v>
      </c>
    </row>
    <row r="457" spans="1:4" x14ac:dyDescent="0.25">
      <c r="A457" t="s">
        <v>134</v>
      </c>
      <c r="B457" t="s">
        <v>134</v>
      </c>
      <c r="C457" t="s">
        <v>134</v>
      </c>
      <c r="D457" t="s">
        <v>134</v>
      </c>
    </row>
    <row r="458" spans="1:4" x14ac:dyDescent="0.25">
      <c r="A458" t="s">
        <v>134</v>
      </c>
      <c r="B458" t="s">
        <v>134</v>
      </c>
      <c r="C458" t="s">
        <v>134</v>
      </c>
      <c r="D458" t="s">
        <v>134</v>
      </c>
    </row>
    <row r="459" spans="1:4" x14ac:dyDescent="0.25">
      <c r="A459" t="s">
        <v>134</v>
      </c>
      <c r="B459" t="s">
        <v>134</v>
      </c>
      <c r="C459" t="s">
        <v>134</v>
      </c>
      <c r="D459" t="s">
        <v>134</v>
      </c>
    </row>
    <row r="460" spans="1:4" x14ac:dyDescent="0.25">
      <c r="A460" t="s">
        <v>134</v>
      </c>
      <c r="B460" t="s">
        <v>134</v>
      </c>
      <c r="C460" t="s">
        <v>134</v>
      </c>
      <c r="D460" t="s">
        <v>134</v>
      </c>
    </row>
    <row r="461" spans="1:4" x14ac:dyDescent="0.25">
      <c r="A461" t="s">
        <v>134</v>
      </c>
      <c r="B461" t="s">
        <v>134</v>
      </c>
      <c r="C461" t="s">
        <v>134</v>
      </c>
      <c r="D461" t="s">
        <v>134</v>
      </c>
    </row>
    <row r="462" spans="1:4" x14ac:dyDescent="0.25">
      <c r="A462" t="s">
        <v>134</v>
      </c>
      <c r="B462" t="s">
        <v>134</v>
      </c>
      <c r="C462" t="s">
        <v>134</v>
      </c>
      <c r="D462" t="s">
        <v>134</v>
      </c>
    </row>
    <row r="463" spans="1:4" x14ac:dyDescent="0.25">
      <c r="A463" t="s">
        <v>134</v>
      </c>
      <c r="B463" t="s">
        <v>134</v>
      </c>
      <c r="C463" t="s">
        <v>134</v>
      </c>
      <c r="D463" t="s">
        <v>134</v>
      </c>
    </row>
    <row r="464" spans="1:4" x14ac:dyDescent="0.25">
      <c r="A464" t="s">
        <v>134</v>
      </c>
      <c r="B464" t="s">
        <v>134</v>
      </c>
      <c r="C464" t="s">
        <v>134</v>
      </c>
      <c r="D464" t="s">
        <v>134</v>
      </c>
    </row>
    <row r="465" spans="1:4" x14ac:dyDescent="0.25">
      <c r="A465" t="s">
        <v>134</v>
      </c>
      <c r="B465" t="s">
        <v>134</v>
      </c>
      <c r="C465" t="s">
        <v>134</v>
      </c>
      <c r="D465" t="s">
        <v>134</v>
      </c>
    </row>
    <row r="466" spans="1:4" x14ac:dyDescent="0.25">
      <c r="A466" t="s">
        <v>134</v>
      </c>
      <c r="B466" t="s">
        <v>134</v>
      </c>
      <c r="C466" t="s">
        <v>134</v>
      </c>
      <c r="D466" t="s">
        <v>134</v>
      </c>
    </row>
    <row r="467" spans="1:4" x14ac:dyDescent="0.25">
      <c r="A467" t="s">
        <v>134</v>
      </c>
      <c r="B467" t="s">
        <v>134</v>
      </c>
      <c r="C467" t="s">
        <v>134</v>
      </c>
      <c r="D467" t="s">
        <v>134</v>
      </c>
    </row>
    <row r="468" spans="1:4" x14ac:dyDescent="0.25">
      <c r="A468" t="s">
        <v>134</v>
      </c>
      <c r="B468" t="s">
        <v>134</v>
      </c>
      <c r="C468" t="s">
        <v>134</v>
      </c>
      <c r="D468" t="s">
        <v>134</v>
      </c>
    </row>
    <row r="469" spans="1:4" x14ac:dyDescent="0.25">
      <c r="A469" t="s">
        <v>134</v>
      </c>
      <c r="B469" t="s">
        <v>134</v>
      </c>
      <c r="C469" t="s">
        <v>134</v>
      </c>
      <c r="D469" t="s">
        <v>134</v>
      </c>
    </row>
    <row r="470" spans="1:4" x14ac:dyDescent="0.25">
      <c r="A470" t="s">
        <v>134</v>
      </c>
      <c r="B470" t="s">
        <v>134</v>
      </c>
      <c r="C470" t="s">
        <v>134</v>
      </c>
      <c r="D470" t="s">
        <v>134</v>
      </c>
    </row>
    <row r="471" spans="1:4" x14ac:dyDescent="0.25">
      <c r="A471" t="s">
        <v>134</v>
      </c>
      <c r="B471" t="s">
        <v>134</v>
      </c>
      <c r="C471" t="s">
        <v>134</v>
      </c>
      <c r="D471" t="s">
        <v>134</v>
      </c>
    </row>
    <row r="472" spans="1:4" x14ac:dyDescent="0.25">
      <c r="A472" t="s">
        <v>134</v>
      </c>
      <c r="B472" t="s">
        <v>134</v>
      </c>
      <c r="C472" t="s">
        <v>134</v>
      </c>
      <c r="D472" t="s">
        <v>134</v>
      </c>
    </row>
    <row r="473" spans="1:4" x14ac:dyDescent="0.25">
      <c r="A473" t="s">
        <v>134</v>
      </c>
      <c r="B473" t="s">
        <v>134</v>
      </c>
      <c r="C473" t="s">
        <v>134</v>
      </c>
      <c r="D473" t="s">
        <v>134</v>
      </c>
    </row>
    <row r="474" spans="1:4" x14ac:dyDescent="0.25">
      <c r="A474" t="s">
        <v>134</v>
      </c>
      <c r="B474" t="s">
        <v>134</v>
      </c>
      <c r="C474" t="s">
        <v>134</v>
      </c>
      <c r="D474" t="s">
        <v>134</v>
      </c>
    </row>
    <row r="475" spans="1:4" x14ac:dyDescent="0.25">
      <c r="A475" t="s">
        <v>134</v>
      </c>
      <c r="B475" t="s">
        <v>134</v>
      </c>
      <c r="C475" t="s">
        <v>134</v>
      </c>
      <c r="D475" t="s">
        <v>134</v>
      </c>
    </row>
    <row r="476" spans="1:4" x14ac:dyDescent="0.25">
      <c r="A476" t="s">
        <v>134</v>
      </c>
      <c r="B476" t="s">
        <v>134</v>
      </c>
      <c r="C476" t="s">
        <v>134</v>
      </c>
      <c r="D476" t="s">
        <v>134</v>
      </c>
    </row>
    <row r="477" spans="1:4" x14ac:dyDescent="0.25">
      <c r="A477" t="s">
        <v>134</v>
      </c>
      <c r="B477" t="s">
        <v>134</v>
      </c>
      <c r="C477" t="s">
        <v>134</v>
      </c>
      <c r="D477" t="s">
        <v>134</v>
      </c>
    </row>
    <row r="478" spans="1:4" x14ac:dyDescent="0.25">
      <c r="A478" t="s">
        <v>134</v>
      </c>
      <c r="B478" t="s">
        <v>134</v>
      </c>
      <c r="C478" t="s">
        <v>134</v>
      </c>
      <c r="D478" t="s">
        <v>134</v>
      </c>
    </row>
    <row r="479" spans="1:4" x14ac:dyDescent="0.25">
      <c r="A479" t="s">
        <v>134</v>
      </c>
      <c r="B479" t="s">
        <v>134</v>
      </c>
      <c r="C479" t="s">
        <v>134</v>
      </c>
      <c r="D479" t="s">
        <v>134</v>
      </c>
    </row>
    <row r="480" spans="1:4" x14ac:dyDescent="0.25">
      <c r="A480" t="s">
        <v>134</v>
      </c>
      <c r="B480" t="s">
        <v>134</v>
      </c>
      <c r="C480" t="s">
        <v>134</v>
      </c>
      <c r="D480" t="s">
        <v>134</v>
      </c>
    </row>
    <row r="481" spans="1:4" x14ac:dyDescent="0.25">
      <c r="A481" t="s">
        <v>134</v>
      </c>
      <c r="B481" t="s">
        <v>134</v>
      </c>
      <c r="C481" t="s">
        <v>134</v>
      </c>
      <c r="D481" t="s">
        <v>134</v>
      </c>
    </row>
    <row r="482" spans="1:4" x14ac:dyDescent="0.25">
      <c r="A482" t="s">
        <v>134</v>
      </c>
      <c r="B482" t="s">
        <v>134</v>
      </c>
      <c r="C482" t="s">
        <v>134</v>
      </c>
      <c r="D482" t="s">
        <v>134</v>
      </c>
    </row>
    <row r="483" spans="1:4" x14ac:dyDescent="0.25">
      <c r="A483" t="s">
        <v>134</v>
      </c>
      <c r="B483" t="s">
        <v>134</v>
      </c>
      <c r="C483" t="s">
        <v>134</v>
      </c>
      <c r="D483" t="s">
        <v>134</v>
      </c>
    </row>
    <row r="484" spans="1:4" x14ac:dyDescent="0.25">
      <c r="A484" t="s">
        <v>134</v>
      </c>
      <c r="B484" t="s">
        <v>134</v>
      </c>
      <c r="C484" t="s">
        <v>134</v>
      </c>
      <c r="D484" t="s">
        <v>134</v>
      </c>
    </row>
    <row r="485" spans="1:4" x14ac:dyDescent="0.25">
      <c r="A485" t="s">
        <v>134</v>
      </c>
      <c r="B485" t="s">
        <v>134</v>
      </c>
      <c r="C485" t="s">
        <v>134</v>
      </c>
      <c r="D485" t="s">
        <v>134</v>
      </c>
    </row>
    <row r="486" spans="1:4" x14ac:dyDescent="0.25">
      <c r="A486" t="s">
        <v>134</v>
      </c>
      <c r="B486" t="s">
        <v>134</v>
      </c>
      <c r="C486" t="s">
        <v>134</v>
      </c>
      <c r="D486" t="s">
        <v>134</v>
      </c>
    </row>
    <row r="487" spans="1:4" x14ac:dyDescent="0.25">
      <c r="A487" t="s">
        <v>134</v>
      </c>
      <c r="B487" t="s">
        <v>134</v>
      </c>
      <c r="C487" t="s">
        <v>134</v>
      </c>
      <c r="D487" t="s">
        <v>134</v>
      </c>
    </row>
    <row r="488" spans="1:4" x14ac:dyDescent="0.25">
      <c r="A488" t="s">
        <v>134</v>
      </c>
      <c r="B488" t="s">
        <v>134</v>
      </c>
      <c r="C488" t="s">
        <v>134</v>
      </c>
      <c r="D488" t="s">
        <v>134</v>
      </c>
    </row>
    <row r="489" spans="1:4" x14ac:dyDescent="0.25">
      <c r="A489" t="s">
        <v>134</v>
      </c>
      <c r="B489" t="s">
        <v>134</v>
      </c>
      <c r="C489" t="s">
        <v>134</v>
      </c>
      <c r="D489" t="s">
        <v>134</v>
      </c>
    </row>
    <row r="490" spans="1:4" x14ac:dyDescent="0.25">
      <c r="A490" t="s">
        <v>134</v>
      </c>
      <c r="B490" t="s">
        <v>134</v>
      </c>
      <c r="C490" t="s">
        <v>134</v>
      </c>
      <c r="D490" t="s">
        <v>134</v>
      </c>
    </row>
    <row r="491" spans="1:4" x14ac:dyDescent="0.25">
      <c r="A491" t="s">
        <v>134</v>
      </c>
      <c r="B491" t="s">
        <v>134</v>
      </c>
      <c r="C491" t="s">
        <v>134</v>
      </c>
      <c r="D491" t="s">
        <v>134</v>
      </c>
    </row>
    <row r="492" spans="1:4" x14ac:dyDescent="0.25">
      <c r="A492" t="s">
        <v>134</v>
      </c>
      <c r="B492" t="s">
        <v>134</v>
      </c>
      <c r="C492" t="s">
        <v>134</v>
      </c>
      <c r="D492" t="s">
        <v>134</v>
      </c>
    </row>
    <row r="493" spans="1:4" x14ac:dyDescent="0.25">
      <c r="A493" t="s">
        <v>134</v>
      </c>
      <c r="B493" t="s">
        <v>134</v>
      </c>
      <c r="C493" t="s">
        <v>134</v>
      </c>
      <c r="D493" t="s">
        <v>134</v>
      </c>
    </row>
    <row r="494" spans="1:4" x14ac:dyDescent="0.25">
      <c r="A494" t="s">
        <v>134</v>
      </c>
      <c r="B494" t="s">
        <v>134</v>
      </c>
      <c r="C494" t="s">
        <v>134</v>
      </c>
      <c r="D494" t="s">
        <v>134</v>
      </c>
    </row>
    <row r="495" spans="1:4" x14ac:dyDescent="0.25">
      <c r="A495" t="s">
        <v>134</v>
      </c>
      <c r="B495" t="s">
        <v>134</v>
      </c>
      <c r="C495" t="s">
        <v>134</v>
      </c>
      <c r="D495" t="s">
        <v>134</v>
      </c>
    </row>
    <row r="496" spans="1:4" x14ac:dyDescent="0.25">
      <c r="A496" t="s">
        <v>134</v>
      </c>
      <c r="B496" t="s">
        <v>134</v>
      </c>
      <c r="C496" t="s">
        <v>134</v>
      </c>
      <c r="D496" t="s">
        <v>134</v>
      </c>
    </row>
    <row r="497" spans="1:4" x14ac:dyDescent="0.25">
      <c r="A497" t="s">
        <v>134</v>
      </c>
      <c r="B497" t="s">
        <v>134</v>
      </c>
      <c r="C497" t="s">
        <v>134</v>
      </c>
      <c r="D497" t="s">
        <v>134</v>
      </c>
    </row>
    <row r="498" spans="1:4" x14ac:dyDescent="0.25">
      <c r="A498" t="s">
        <v>134</v>
      </c>
      <c r="B498" t="s">
        <v>134</v>
      </c>
      <c r="C498" t="s">
        <v>134</v>
      </c>
      <c r="D498" t="s">
        <v>134</v>
      </c>
    </row>
    <row r="499" spans="1:4" x14ac:dyDescent="0.25">
      <c r="A499" t="s">
        <v>134</v>
      </c>
      <c r="B499" t="s">
        <v>134</v>
      </c>
      <c r="C499" t="s">
        <v>134</v>
      </c>
      <c r="D499" t="s">
        <v>134</v>
      </c>
    </row>
    <row r="500" spans="1:4" x14ac:dyDescent="0.25">
      <c r="A500" t="s">
        <v>134</v>
      </c>
      <c r="B500" t="s">
        <v>134</v>
      </c>
      <c r="C500" t="s">
        <v>134</v>
      </c>
      <c r="D500" t="s">
        <v>134</v>
      </c>
    </row>
    <row r="501" spans="1:4" x14ac:dyDescent="0.25">
      <c r="A501" t="s">
        <v>134</v>
      </c>
      <c r="B501" t="s">
        <v>134</v>
      </c>
      <c r="C501" t="s">
        <v>134</v>
      </c>
      <c r="D501" t="s">
        <v>134</v>
      </c>
    </row>
    <row r="502" spans="1:4" x14ac:dyDescent="0.25">
      <c r="A502" t="s">
        <v>134</v>
      </c>
      <c r="B502" t="s">
        <v>134</v>
      </c>
      <c r="C502" t="s">
        <v>134</v>
      </c>
      <c r="D502" t="s">
        <v>134</v>
      </c>
    </row>
    <row r="503" spans="1:4" x14ac:dyDescent="0.25">
      <c r="A503" t="s">
        <v>134</v>
      </c>
      <c r="B503" t="s">
        <v>134</v>
      </c>
      <c r="C503" t="s">
        <v>134</v>
      </c>
      <c r="D503" t="s">
        <v>134</v>
      </c>
    </row>
    <row r="504" spans="1:4" x14ac:dyDescent="0.25">
      <c r="A504" t="s">
        <v>134</v>
      </c>
      <c r="B504" t="s">
        <v>134</v>
      </c>
      <c r="C504" t="s">
        <v>134</v>
      </c>
      <c r="D504" t="s">
        <v>134</v>
      </c>
    </row>
    <row r="505" spans="1:4" x14ac:dyDescent="0.25">
      <c r="A505" t="s">
        <v>134</v>
      </c>
      <c r="B505" t="s">
        <v>134</v>
      </c>
      <c r="C505" t="s">
        <v>134</v>
      </c>
      <c r="D505" t="s">
        <v>134</v>
      </c>
    </row>
    <row r="506" spans="1:4" x14ac:dyDescent="0.25">
      <c r="A506" t="s">
        <v>134</v>
      </c>
      <c r="B506" t="s">
        <v>134</v>
      </c>
      <c r="C506" t="s">
        <v>134</v>
      </c>
      <c r="D506" t="s">
        <v>134</v>
      </c>
    </row>
    <row r="507" spans="1:4" x14ac:dyDescent="0.25">
      <c r="A507" t="s">
        <v>134</v>
      </c>
      <c r="B507" t="s">
        <v>134</v>
      </c>
      <c r="C507" t="s">
        <v>134</v>
      </c>
      <c r="D507" t="s">
        <v>134</v>
      </c>
    </row>
    <row r="508" spans="1:4" x14ac:dyDescent="0.25">
      <c r="A508" t="s">
        <v>134</v>
      </c>
      <c r="B508" t="s">
        <v>134</v>
      </c>
      <c r="C508" t="s">
        <v>134</v>
      </c>
      <c r="D508" t="s">
        <v>134</v>
      </c>
    </row>
    <row r="509" spans="1:4" x14ac:dyDescent="0.25">
      <c r="A509" t="s">
        <v>134</v>
      </c>
      <c r="B509" t="s">
        <v>134</v>
      </c>
      <c r="C509" t="s">
        <v>134</v>
      </c>
      <c r="D509" t="s">
        <v>134</v>
      </c>
    </row>
    <row r="510" spans="1:4" x14ac:dyDescent="0.25">
      <c r="A510" t="s">
        <v>134</v>
      </c>
      <c r="B510" t="s">
        <v>134</v>
      </c>
      <c r="C510" t="s">
        <v>134</v>
      </c>
      <c r="D510" t="s">
        <v>134</v>
      </c>
    </row>
    <row r="511" spans="1:4" x14ac:dyDescent="0.25">
      <c r="A511" t="s">
        <v>134</v>
      </c>
      <c r="B511" t="s">
        <v>134</v>
      </c>
      <c r="C511" t="s">
        <v>134</v>
      </c>
      <c r="D511" t="s">
        <v>134</v>
      </c>
    </row>
    <row r="512" spans="1:4" x14ac:dyDescent="0.25">
      <c r="A512" t="s">
        <v>134</v>
      </c>
      <c r="B512" t="s">
        <v>134</v>
      </c>
      <c r="C512" t="s">
        <v>134</v>
      </c>
      <c r="D512" t="s">
        <v>134</v>
      </c>
    </row>
    <row r="513" spans="1:4" x14ac:dyDescent="0.25">
      <c r="A513" t="s">
        <v>134</v>
      </c>
      <c r="B513" t="s">
        <v>134</v>
      </c>
      <c r="C513" t="s">
        <v>134</v>
      </c>
      <c r="D513" t="s">
        <v>134</v>
      </c>
    </row>
    <row r="514" spans="1:4" x14ac:dyDescent="0.25">
      <c r="A514" t="s">
        <v>134</v>
      </c>
      <c r="B514" t="s">
        <v>134</v>
      </c>
      <c r="C514" t="s">
        <v>134</v>
      </c>
      <c r="D514" t="s">
        <v>134</v>
      </c>
    </row>
    <row r="515" spans="1:4" x14ac:dyDescent="0.25">
      <c r="A515" t="s">
        <v>134</v>
      </c>
      <c r="B515" t="s">
        <v>134</v>
      </c>
      <c r="C515" t="s">
        <v>134</v>
      </c>
      <c r="D515" t="s">
        <v>134</v>
      </c>
    </row>
    <row r="516" spans="1:4" x14ac:dyDescent="0.25">
      <c r="A516" t="s">
        <v>134</v>
      </c>
      <c r="B516" t="s">
        <v>134</v>
      </c>
      <c r="C516" t="s">
        <v>134</v>
      </c>
      <c r="D516" t="s">
        <v>134</v>
      </c>
    </row>
    <row r="517" spans="1:4" x14ac:dyDescent="0.25">
      <c r="A517" t="s">
        <v>134</v>
      </c>
      <c r="B517" t="s">
        <v>134</v>
      </c>
      <c r="C517" t="s">
        <v>134</v>
      </c>
      <c r="D517" t="s">
        <v>134</v>
      </c>
    </row>
    <row r="518" spans="1:4" x14ac:dyDescent="0.25">
      <c r="A518" t="s">
        <v>134</v>
      </c>
      <c r="B518" t="s">
        <v>134</v>
      </c>
      <c r="C518" t="s">
        <v>134</v>
      </c>
      <c r="D518" t="s">
        <v>134</v>
      </c>
    </row>
    <row r="519" spans="1:4" x14ac:dyDescent="0.25">
      <c r="A519" t="s">
        <v>134</v>
      </c>
      <c r="B519" t="s">
        <v>134</v>
      </c>
      <c r="C519" t="s">
        <v>134</v>
      </c>
      <c r="D519" t="s">
        <v>134</v>
      </c>
    </row>
    <row r="520" spans="1:4" x14ac:dyDescent="0.25">
      <c r="A520" t="s">
        <v>134</v>
      </c>
      <c r="B520" t="s">
        <v>134</v>
      </c>
      <c r="C520" t="s">
        <v>134</v>
      </c>
      <c r="D520" t="s">
        <v>134</v>
      </c>
    </row>
    <row r="521" spans="1:4" x14ac:dyDescent="0.25">
      <c r="A521" t="s">
        <v>134</v>
      </c>
      <c r="B521" t="s">
        <v>134</v>
      </c>
      <c r="C521" t="s">
        <v>134</v>
      </c>
      <c r="D521" t="s">
        <v>134</v>
      </c>
    </row>
    <row r="522" spans="1:4" x14ac:dyDescent="0.25">
      <c r="A522" t="s">
        <v>134</v>
      </c>
      <c r="B522" t="s">
        <v>134</v>
      </c>
      <c r="C522" t="s">
        <v>134</v>
      </c>
      <c r="D522" t="s">
        <v>134</v>
      </c>
    </row>
    <row r="523" spans="1:4" x14ac:dyDescent="0.25">
      <c r="A523" t="s">
        <v>134</v>
      </c>
      <c r="B523" t="s">
        <v>134</v>
      </c>
      <c r="C523" t="s">
        <v>134</v>
      </c>
      <c r="D523" t="s">
        <v>134</v>
      </c>
    </row>
    <row r="524" spans="1:4" x14ac:dyDescent="0.25">
      <c r="A524" t="s">
        <v>134</v>
      </c>
      <c r="B524" t="s">
        <v>134</v>
      </c>
      <c r="C524" t="s">
        <v>134</v>
      </c>
      <c r="D524" t="s">
        <v>134</v>
      </c>
    </row>
    <row r="525" spans="1:4" x14ac:dyDescent="0.25">
      <c r="A525" t="s">
        <v>134</v>
      </c>
      <c r="B525" t="s">
        <v>134</v>
      </c>
      <c r="C525" t="s">
        <v>134</v>
      </c>
      <c r="D525" t="s">
        <v>134</v>
      </c>
    </row>
    <row r="526" spans="1:4" x14ac:dyDescent="0.25">
      <c r="A526" t="s">
        <v>134</v>
      </c>
      <c r="B526" t="s">
        <v>134</v>
      </c>
      <c r="C526" t="s">
        <v>134</v>
      </c>
      <c r="D526" t="s">
        <v>134</v>
      </c>
    </row>
    <row r="527" spans="1:4" x14ac:dyDescent="0.25">
      <c r="A527" t="s">
        <v>134</v>
      </c>
      <c r="B527" t="s">
        <v>134</v>
      </c>
      <c r="C527" t="s">
        <v>134</v>
      </c>
      <c r="D527" t="s">
        <v>134</v>
      </c>
    </row>
    <row r="528" spans="1:4" x14ac:dyDescent="0.25">
      <c r="A528" t="s">
        <v>134</v>
      </c>
      <c r="B528" t="s">
        <v>134</v>
      </c>
      <c r="C528" t="s">
        <v>134</v>
      </c>
      <c r="D528" t="s">
        <v>134</v>
      </c>
    </row>
    <row r="529" spans="1:4" x14ac:dyDescent="0.25">
      <c r="A529" t="s">
        <v>134</v>
      </c>
      <c r="B529" t="s">
        <v>134</v>
      </c>
      <c r="C529" t="s">
        <v>134</v>
      </c>
      <c r="D529" t="s">
        <v>134</v>
      </c>
    </row>
    <row r="530" spans="1:4" x14ac:dyDescent="0.25">
      <c r="A530" t="s">
        <v>134</v>
      </c>
      <c r="B530" t="s">
        <v>134</v>
      </c>
      <c r="C530" t="s">
        <v>134</v>
      </c>
      <c r="D530" t="s">
        <v>134</v>
      </c>
    </row>
    <row r="531" spans="1:4" x14ac:dyDescent="0.25">
      <c r="A531" t="s">
        <v>134</v>
      </c>
      <c r="B531" t="s">
        <v>134</v>
      </c>
      <c r="C531" t="s">
        <v>134</v>
      </c>
      <c r="D531" t="s">
        <v>134</v>
      </c>
    </row>
    <row r="532" spans="1:4" x14ac:dyDescent="0.25">
      <c r="A532" t="s">
        <v>134</v>
      </c>
      <c r="B532" t="s">
        <v>134</v>
      </c>
      <c r="C532" t="s">
        <v>134</v>
      </c>
      <c r="D532" t="s">
        <v>134</v>
      </c>
    </row>
    <row r="533" spans="1:4" x14ac:dyDescent="0.25">
      <c r="A533" t="s">
        <v>134</v>
      </c>
      <c r="B533" t="s">
        <v>134</v>
      </c>
      <c r="C533" t="s">
        <v>134</v>
      </c>
      <c r="D533" t="s">
        <v>134</v>
      </c>
    </row>
    <row r="534" spans="1:4" x14ac:dyDescent="0.25">
      <c r="A534" t="s">
        <v>134</v>
      </c>
      <c r="B534" t="s">
        <v>134</v>
      </c>
      <c r="C534" t="s">
        <v>134</v>
      </c>
      <c r="D534" t="s">
        <v>134</v>
      </c>
    </row>
    <row r="535" spans="1:4" x14ac:dyDescent="0.25">
      <c r="A535" t="s">
        <v>134</v>
      </c>
      <c r="B535" t="s">
        <v>134</v>
      </c>
      <c r="C535" t="s">
        <v>134</v>
      </c>
      <c r="D535" t="s">
        <v>134</v>
      </c>
    </row>
    <row r="536" spans="1:4" x14ac:dyDescent="0.25">
      <c r="A536" t="s">
        <v>134</v>
      </c>
      <c r="B536" t="s">
        <v>134</v>
      </c>
      <c r="C536" t="s">
        <v>134</v>
      </c>
      <c r="D536" t="s">
        <v>134</v>
      </c>
    </row>
    <row r="537" spans="1:4" x14ac:dyDescent="0.25">
      <c r="A537" t="s">
        <v>134</v>
      </c>
      <c r="B537" t="s">
        <v>134</v>
      </c>
      <c r="C537" t="s">
        <v>134</v>
      </c>
      <c r="D537" t="s">
        <v>134</v>
      </c>
    </row>
    <row r="538" spans="1:4" x14ac:dyDescent="0.25">
      <c r="A538" t="s">
        <v>134</v>
      </c>
      <c r="B538" t="s">
        <v>134</v>
      </c>
      <c r="C538" t="s">
        <v>134</v>
      </c>
      <c r="D538" t="s">
        <v>134</v>
      </c>
    </row>
    <row r="539" spans="1:4" x14ac:dyDescent="0.25">
      <c r="A539" t="s">
        <v>134</v>
      </c>
      <c r="B539" t="s">
        <v>134</v>
      </c>
      <c r="C539" t="s">
        <v>134</v>
      </c>
      <c r="D539" t="s">
        <v>134</v>
      </c>
    </row>
    <row r="540" spans="1:4" x14ac:dyDescent="0.25">
      <c r="A540" t="s">
        <v>134</v>
      </c>
      <c r="B540" t="s">
        <v>134</v>
      </c>
      <c r="C540" t="s">
        <v>134</v>
      </c>
      <c r="D540" t="s">
        <v>134</v>
      </c>
    </row>
    <row r="541" spans="1:4" x14ac:dyDescent="0.25">
      <c r="A541" t="s">
        <v>134</v>
      </c>
      <c r="B541" t="s">
        <v>134</v>
      </c>
      <c r="C541" t="s">
        <v>134</v>
      </c>
      <c r="D541" t="s">
        <v>134</v>
      </c>
    </row>
    <row r="542" spans="1:4" x14ac:dyDescent="0.25">
      <c r="A542" t="s">
        <v>134</v>
      </c>
      <c r="B542" t="s">
        <v>134</v>
      </c>
      <c r="C542" t="s">
        <v>134</v>
      </c>
      <c r="D542" t="s">
        <v>134</v>
      </c>
    </row>
    <row r="543" spans="1:4" x14ac:dyDescent="0.25">
      <c r="A543" t="s">
        <v>134</v>
      </c>
      <c r="B543" t="s">
        <v>134</v>
      </c>
      <c r="C543" t="s">
        <v>134</v>
      </c>
      <c r="D543" t="s">
        <v>134</v>
      </c>
    </row>
    <row r="544" spans="1:4" x14ac:dyDescent="0.25">
      <c r="A544" t="s">
        <v>134</v>
      </c>
      <c r="B544" t="s">
        <v>134</v>
      </c>
      <c r="C544" t="s">
        <v>134</v>
      </c>
      <c r="D544" t="s">
        <v>134</v>
      </c>
    </row>
    <row r="545" spans="1:4" x14ac:dyDescent="0.25">
      <c r="A545" t="s">
        <v>134</v>
      </c>
      <c r="B545" t="s">
        <v>134</v>
      </c>
      <c r="C545" t="s">
        <v>134</v>
      </c>
      <c r="D545" t="s">
        <v>134</v>
      </c>
    </row>
    <row r="546" spans="1:4" x14ac:dyDescent="0.25">
      <c r="A546" t="s">
        <v>134</v>
      </c>
      <c r="B546" t="s">
        <v>134</v>
      </c>
      <c r="C546" t="s">
        <v>134</v>
      </c>
      <c r="D546" t="s">
        <v>134</v>
      </c>
    </row>
    <row r="547" spans="1:4" x14ac:dyDescent="0.25">
      <c r="A547" t="s">
        <v>134</v>
      </c>
      <c r="B547" t="s">
        <v>134</v>
      </c>
      <c r="C547" t="s">
        <v>134</v>
      </c>
      <c r="D547" t="s">
        <v>134</v>
      </c>
    </row>
    <row r="548" spans="1:4" x14ac:dyDescent="0.25">
      <c r="A548" t="s">
        <v>134</v>
      </c>
      <c r="B548" t="s">
        <v>134</v>
      </c>
      <c r="C548" t="s">
        <v>134</v>
      </c>
      <c r="D548" t="s">
        <v>134</v>
      </c>
    </row>
    <row r="549" spans="1:4" x14ac:dyDescent="0.25">
      <c r="A549" t="s">
        <v>134</v>
      </c>
      <c r="B549" t="s">
        <v>134</v>
      </c>
      <c r="C549" t="s">
        <v>134</v>
      </c>
      <c r="D549" t="s">
        <v>134</v>
      </c>
    </row>
    <row r="550" spans="1:4" x14ac:dyDescent="0.25">
      <c r="A550" t="s">
        <v>134</v>
      </c>
      <c r="B550" t="s">
        <v>134</v>
      </c>
      <c r="C550" t="s">
        <v>134</v>
      </c>
      <c r="D550" t="s">
        <v>134</v>
      </c>
    </row>
    <row r="551" spans="1:4" x14ac:dyDescent="0.25">
      <c r="A551" t="s">
        <v>134</v>
      </c>
      <c r="B551" t="s">
        <v>134</v>
      </c>
      <c r="C551" t="s">
        <v>134</v>
      </c>
      <c r="D551" t="s">
        <v>134</v>
      </c>
    </row>
    <row r="552" spans="1:4" x14ac:dyDescent="0.25">
      <c r="A552" t="s">
        <v>134</v>
      </c>
      <c r="B552" t="s">
        <v>134</v>
      </c>
      <c r="C552" t="s">
        <v>134</v>
      </c>
      <c r="D552" t="s">
        <v>134</v>
      </c>
    </row>
    <row r="553" spans="1:4" x14ac:dyDescent="0.25">
      <c r="A553" s="131">
        <v>2019</v>
      </c>
      <c r="B553" s="131" t="s">
        <v>120</v>
      </c>
      <c r="C553" s="131">
        <v>0</v>
      </c>
      <c r="D553" s="134">
        <v>0</v>
      </c>
    </row>
    <row r="554" spans="1:4" x14ac:dyDescent="0.25">
      <c r="A554" s="131">
        <v>2019</v>
      </c>
      <c r="B554" s="131" t="s">
        <v>120</v>
      </c>
      <c r="C554" s="131">
        <v>1</v>
      </c>
      <c r="D554" s="136">
        <v>3</v>
      </c>
    </row>
    <row r="555" spans="1:4" x14ac:dyDescent="0.25">
      <c r="A555" s="131">
        <v>2019</v>
      </c>
      <c r="B555" s="131" t="s">
        <v>120</v>
      </c>
      <c r="C555" s="131">
        <v>5</v>
      </c>
      <c r="D555" s="134">
        <v>0</v>
      </c>
    </row>
    <row r="556" spans="1:4" x14ac:dyDescent="0.25">
      <c r="A556" s="131">
        <v>2019</v>
      </c>
      <c r="B556" s="131" t="s">
        <v>120</v>
      </c>
      <c r="C556" s="131">
        <v>10</v>
      </c>
      <c r="D556" s="136">
        <v>6</v>
      </c>
    </row>
    <row r="557" spans="1:4" x14ac:dyDescent="0.25">
      <c r="A557" s="131">
        <v>2019</v>
      </c>
      <c r="B557" s="131" t="s">
        <v>120</v>
      </c>
      <c r="C557" s="131">
        <v>15</v>
      </c>
      <c r="D557" s="136">
        <v>54</v>
      </c>
    </row>
    <row r="558" spans="1:4" x14ac:dyDescent="0.25">
      <c r="A558" s="131">
        <v>2019</v>
      </c>
      <c r="B558" s="131" t="s">
        <v>120</v>
      </c>
      <c r="C558" s="131">
        <v>20</v>
      </c>
      <c r="D558" s="136">
        <v>168</v>
      </c>
    </row>
    <row r="559" spans="1:4" x14ac:dyDescent="0.25">
      <c r="A559" s="131">
        <v>2019</v>
      </c>
      <c r="B559" s="131" t="s">
        <v>120</v>
      </c>
      <c r="C559" s="131">
        <v>25</v>
      </c>
      <c r="D559" s="136">
        <v>190</v>
      </c>
    </row>
    <row r="560" spans="1:4" x14ac:dyDescent="0.25">
      <c r="A560" s="131">
        <v>2019</v>
      </c>
      <c r="B560" s="131" t="s">
        <v>120</v>
      </c>
      <c r="C560" s="131">
        <v>30</v>
      </c>
      <c r="D560" s="136">
        <v>173</v>
      </c>
    </row>
    <row r="561" spans="1:4" x14ac:dyDescent="0.25">
      <c r="A561" s="131">
        <v>2019</v>
      </c>
      <c r="B561" s="131" t="s">
        <v>120</v>
      </c>
      <c r="C561" s="131">
        <v>35</v>
      </c>
      <c r="D561" s="136">
        <v>142</v>
      </c>
    </row>
    <row r="562" spans="1:4" x14ac:dyDescent="0.25">
      <c r="A562" s="131">
        <v>2019</v>
      </c>
      <c r="B562" s="131" t="s">
        <v>120</v>
      </c>
      <c r="C562" s="131">
        <v>40</v>
      </c>
      <c r="D562" s="136">
        <v>110</v>
      </c>
    </row>
    <row r="563" spans="1:4" x14ac:dyDescent="0.25">
      <c r="A563" s="131">
        <v>2019</v>
      </c>
      <c r="B563" s="131" t="s">
        <v>120</v>
      </c>
      <c r="C563" s="131">
        <v>45</v>
      </c>
      <c r="D563" s="136">
        <v>100</v>
      </c>
    </row>
    <row r="564" spans="1:4" x14ac:dyDescent="0.25">
      <c r="A564" s="131">
        <v>2019</v>
      </c>
      <c r="B564" s="131" t="s">
        <v>120</v>
      </c>
      <c r="C564" s="131">
        <v>50</v>
      </c>
      <c r="D564" s="136">
        <v>52</v>
      </c>
    </row>
    <row r="565" spans="1:4" x14ac:dyDescent="0.25">
      <c r="A565" s="131">
        <v>2019</v>
      </c>
      <c r="B565" s="131" t="s">
        <v>120</v>
      </c>
      <c r="C565" s="131">
        <v>55</v>
      </c>
      <c r="D565" s="136">
        <v>29</v>
      </c>
    </row>
    <row r="566" spans="1:4" x14ac:dyDescent="0.25">
      <c r="A566" s="131">
        <v>2019</v>
      </c>
      <c r="B566" s="131" t="s">
        <v>120</v>
      </c>
      <c r="C566" s="131">
        <v>60</v>
      </c>
      <c r="D566" s="136">
        <v>24</v>
      </c>
    </row>
    <row r="567" spans="1:4" x14ac:dyDescent="0.25">
      <c r="A567" s="131">
        <v>2019</v>
      </c>
      <c r="B567" s="131" t="s">
        <v>120</v>
      </c>
      <c r="C567" s="131">
        <v>65</v>
      </c>
      <c r="D567" s="136">
        <v>20</v>
      </c>
    </row>
    <row r="568" spans="1:4" x14ac:dyDescent="0.25">
      <c r="A568" s="131">
        <v>2019</v>
      </c>
      <c r="B568" s="131" t="s">
        <v>120</v>
      </c>
      <c r="C568" s="131">
        <v>70</v>
      </c>
      <c r="D568" s="136">
        <v>3</v>
      </c>
    </row>
    <row r="569" spans="1:4" x14ac:dyDescent="0.25">
      <c r="A569" s="131">
        <v>2019</v>
      </c>
      <c r="B569" s="131" t="s">
        <v>120</v>
      </c>
      <c r="C569" s="131">
        <v>75</v>
      </c>
      <c r="D569" s="136">
        <v>6</v>
      </c>
    </row>
    <row r="570" spans="1:4" x14ac:dyDescent="0.25">
      <c r="A570" s="131">
        <v>2019</v>
      </c>
      <c r="B570" s="131" t="s">
        <v>120</v>
      </c>
      <c r="C570" s="131">
        <v>80</v>
      </c>
      <c r="D570" s="136">
        <v>1</v>
      </c>
    </row>
    <row r="571" spans="1:4" x14ac:dyDescent="0.25">
      <c r="A571" s="131">
        <v>2019</v>
      </c>
      <c r="B571" s="131" t="s">
        <v>120</v>
      </c>
      <c r="C571" s="131">
        <v>85</v>
      </c>
      <c r="D571" s="136">
        <v>1</v>
      </c>
    </row>
    <row r="572" spans="1:4" x14ac:dyDescent="0.25">
      <c r="A572" t="s">
        <v>134</v>
      </c>
      <c r="B572" t="s">
        <v>134</v>
      </c>
      <c r="C572" t="s">
        <v>134</v>
      </c>
      <c r="D572" t="s">
        <v>134</v>
      </c>
    </row>
    <row r="573" spans="1:4" x14ac:dyDescent="0.25">
      <c r="A573" t="s">
        <v>134</v>
      </c>
      <c r="B573" t="s">
        <v>134</v>
      </c>
      <c r="C573" t="s">
        <v>134</v>
      </c>
      <c r="D573" t="s">
        <v>134</v>
      </c>
    </row>
    <row r="574" spans="1:4" x14ac:dyDescent="0.25">
      <c r="A574" t="s">
        <v>134</v>
      </c>
      <c r="B574" t="s">
        <v>134</v>
      </c>
      <c r="C574" t="s">
        <v>134</v>
      </c>
      <c r="D574" t="s">
        <v>134</v>
      </c>
    </row>
    <row r="575" spans="1:4" x14ac:dyDescent="0.25">
      <c r="A575" t="s">
        <v>134</v>
      </c>
      <c r="B575" t="s">
        <v>134</v>
      </c>
      <c r="C575" t="s">
        <v>134</v>
      </c>
      <c r="D575" t="s">
        <v>134</v>
      </c>
    </row>
    <row r="576" spans="1:4" x14ac:dyDescent="0.25">
      <c r="A576" t="s">
        <v>134</v>
      </c>
      <c r="B576" t="s">
        <v>134</v>
      </c>
      <c r="C576" t="s">
        <v>134</v>
      </c>
      <c r="D576" t="s">
        <v>134</v>
      </c>
    </row>
    <row r="577" spans="1:4" x14ac:dyDescent="0.25">
      <c r="A577" t="s">
        <v>134</v>
      </c>
      <c r="B577" t="s">
        <v>134</v>
      </c>
      <c r="C577" t="s">
        <v>134</v>
      </c>
      <c r="D577" t="s">
        <v>134</v>
      </c>
    </row>
    <row r="578" spans="1:4" x14ac:dyDescent="0.25">
      <c r="A578" t="s">
        <v>134</v>
      </c>
      <c r="B578" t="s">
        <v>134</v>
      </c>
      <c r="C578" t="s">
        <v>134</v>
      </c>
      <c r="D578" t="s">
        <v>134</v>
      </c>
    </row>
    <row r="579" spans="1:4" x14ac:dyDescent="0.25">
      <c r="A579" t="s">
        <v>134</v>
      </c>
      <c r="B579" t="s">
        <v>134</v>
      </c>
      <c r="C579" t="s">
        <v>134</v>
      </c>
      <c r="D579" t="s">
        <v>134</v>
      </c>
    </row>
    <row r="580" spans="1:4" x14ac:dyDescent="0.25">
      <c r="A580" t="s">
        <v>134</v>
      </c>
      <c r="B580" t="s">
        <v>134</v>
      </c>
      <c r="C580" t="s">
        <v>134</v>
      </c>
      <c r="D580" t="s">
        <v>134</v>
      </c>
    </row>
    <row r="581" spans="1:4" x14ac:dyDescent="0.25">
      <c r="A581" t="s">
        <v>134</v>
      </c>
      <c r="B581" t="s">
        <v>134</v>
      </c>
      <c r="C581" t="s">
        <v>134</v>
      </c>
      <c r="D581" t="s">
        <v>134</v>
      </c>
    </row>
    <row r="582" spans="1:4" x14ac:dyDescent="0.25">
      <c r="A582" t="s">
        <v>134</v>
      </c>
      <c r="B582" t="s">
        <v>134</v>
      </c>
      <c r="C582" t="s">
        <v>134</v>
      </c>
      <c r="D582" t="s">
        <v>134</v>
      </c>
    </row>
    <row r="583" spans="1:4" x14ac:dyDescent="0.25">
      <c r="A583" t="s">
        <v>134</v>
      </c>
      <c r="B583" t="s">
        <v>134</v>
      </c>
      <c r="C583" t="s">
        <v>134</v>
      </c>
      <c r="D583" t="s">
        <v>134</v>
      </c>
    </row>
    <row r="584" spans="1:4" x14ac:dyDescent="0.25">
      <c r="A584" t="s">
        <v>134</v>
      </c>
      <c r="B584" t="s">
        <v>134</v>
      </c>
      <c r="C584" t="s">
        <v>134</v>
      </c>
      <c r="D584" t="s">
        <v>134</v>
      </c>
    </row>
    <row r="585" spans="1:4" x14ac:dyDescent="0.25">
      <c r="A585" t="s">
        <v>134</v>
      </c>
      <c r="B585" t="s">
        <v>134</v>
      </c>
      <c r="C585" t="s">
        <v>134</v>
      </c>
      <c r="D585" t="s">
        <v>134</v>
      </c>
    </row>
    <row r="586" spans="1:4" x14ac:dyDescent="0.25">
      <c r="A586" t="s">
        <v>134</v>
      </c>
      <c r="B586" t="s">
        <v>134</v>
      </c>
      <c r="C586" t="s">
        <v>134</v>
      </c>
      <c r="D586" t="s">
        <v>134</v>
      </c>
    </row>
    <row r="587" spans="1:4" x14ac:dyDescent="0.25">
      <c r="A587" t="s">
        <v>134</v>
      </c>
      <c r="B587" t="s">
        <v>134</v>
      </c>
      <c r="C587" t="s">
        <v>134</v>
      </c>
      <c r="D587" t="s">
        <v>134</v>
      </c>
    </row>
    <row r="588" spans="1:4" x14ac:dyDescent="0.25">
      <c r="A588" t="s">
        <v>134</v>
      </c>
      <c r="B588" t="s">
        <v>134</v>
      </c>
      <c r="C588" t="s">
        <v>134</v>
      </c>
      <c r="D588" t="s">
        <v>134</v>
      </c>
    </row>
    <row r="589" spans="1:4" x14ac:dyDescent="0.25">
      <c r="A589" t="s">
        <v>134</v>
      </c>
      <c r="B589" t="s">
        <v>134</v>
      </c>
      <c r="C589" t="s">
        <v>134</v>
      </c>
      <c r="D589" t="s">
        <v>134</v>
      </c>
    </row>
    <row r="590" spans="1:4" x14ac:dyDescent="0.25">
      <c r="A590" t="s">
        <v>134</v>
      </c>
      <c r="B590" t="s">
        <v>134</v>
      </c>
      <c r="C590" t="s">
        <v>134</v>
      </c>
      <c r="D590" t="s">
        <v>134</v>
      </c>
    </row>
    <row r="591" spans="1:4" x14ac:dyDescent="0.25">
      <c r="A591" t="s">
        <v>134</v>
      </c>
      <c r="B591" t="s">
        <v>134</v>
      </c>
      <c r="C591" t="s">
        <v>134</v>
      </c>
      <c r="D591" t="s">
        <v>134</v>
      </c>
    </row>
    <row r="592" spans="1:4" x14ac:dyDescent="0.25">
      <c r="A592" t="s">
        <v>134</v>
      </c>
      <c r="B592" t="s">
        <v>134</v>
      </c>
      <c r="C592" t="s">
        <v>134</v>
      </c>
      <c r="D592" t="s">
        <v>134</v>
      </c>
    </row>
    <row r="593" spans="1:4" x14ac:dyDescent="0.25">
      <c r="A593" t="s">
        <v>134</v>
      </c>
      <c r="B593" t="s">
        <v>134</v>
      </c>
      <c r="C593" t="s">
        <v>134</v>
      </c>
      <c r="D593" t="s">
        <v>134</v>
      </c>
    </row>
    <row r="594" spans="1:4" x14ac:dyDescent="0.25">
      <c r="A594" t="s">
        <v>134</v>
      </c>
      <c r="B594" t="s">
        <v>134</v>
      </c>
      <c r="C594" t="s">
        <v>134</v>
      </c>
      <c r="D594" t="s">
        <v>134</v>
      </c>
    </row>
    <row r="595" spans="1:4" x14ac:dyDescent="0.25">
      <c r="A595" t="s">
        <v>134</v>
      </c>
      <c r="B595" t="s">
        <v>134</v>
      </c>
      <c r="C595" t="s">
        <v>134</v>
      </c>
      <c r="D595" t="s">
        <v>134</v>
      </c>
    </row>
    <row r="596" spans="1:4" x14ac:dyDescent="0.25">
      <c r="A596" t="s">
        <v>134</v>
      </c>
      <c r="B596" t="s">
        <v>134</v>
      </c>
      <c r="C596" t="s">
        <v>134</v>
      </c>
      <c r="D596" t="s">
        <v>134</v>
      </c>
    </row>
    <row r="597" spans="1:4" x14ac:dyDescent="0.25">
      <c r="A597" t="s">
        <v>134</v>
      </c>
      <c r="B597" t="s">
        <v>134</v>
      </c>
      <c r="C597" t="s">
        <v>134</v>
      </c>
      <c r="D597" t="s">
        <v>134</v>
      </c>
    </row>
    <row r="598" spans="1:4" x14ac:dyDescent="0.25">
      <c r="A598" t="s">
        <v>134</v>
      </c>
      <c r="B598" t="s">
        <v>134</v>
      </c>
      <c r="C598" t="s">
        <v>134</v>
      </c>
      <c r="D598" t="s">
        <v>134</v>
      </c>
    </row>
    <row r="599" spans="1:4" x14ac:dyDescent="0.25">
      <c r="A599" t="s">
        <v>134</v>
      </c>
      <c r="B599" t="s">
        <v>134</v>
      </c>
      <c r="C599" t="s">
        <v>134</v>
      </c>
      <c r="D599" t="s">
        <v>134</v>
      </c>
    </row>
    <row r="600" spans="1:4" x14ac:dyDescent="0.25">
      <c r="A600" t="s">
        <v>134</v>
      </c>
      <c r="B600" t="s">
        <v>134</v>
      </c>
      <c r="C600" t="s">
        <v>134</v>
      </c>
      <c r="D600" t="s">
        <v>134</v>
      </c>
    </row>
    <row r="601" spans="1:4" x14ac:dyDescent="0.25">
      <c r="A601" t="s">
        <v>134</v>
      </c>
      <c r="B601" t="s">
        <v>134</v>
      </c>
      <c r="C601" t="s">
        <v>134</v>
      </c>
      <c r="D601" t="s">
        <v>134</v>
      </c>
    </row>
    <row r="602" spans="1:4" x14ac:dyDescent="0.25">
      <c r="A602" t="s">
        <v>134</v>
      </c>
      <c r="B602" t="s">
        <v>134</v>
      </c>
      <c r="C602" t="s">
        <v>134</v>
      </c>
      <c r="D602" t="s">
        <v>134</v>
      </c>
    </row>
    <row r="603" spans="1:4" x14ac:dyDescent="0.25">
      <c r="A603" t="s">
        <v>134</v>
      </c>
      <c r="B603" t="s">
        <v>134</v>
      </c>
      <c r="C603" t="s">
        <v>134</v>
      </c>
      <c r="D603" t="s">
        <v>134</v>
      </c>
    </row>
    <row r="604" spans="1:4" x14ac:dyDescent="0.25">
      <c r="A604" t="s">
        <v>134</v>
      </c>
      <c r="B604" t="s">
        <v>134</v>
      </c>
      <c r="C604" t="s">
        <v>134</v>
      </c>
      <c r="D604" t="s">
        <v>134</v>
      </c>
    </row>
    <row r="605" spans="1:4" x14ac:dyDescent="0.25">
      <c r="A605" t="s">
        <v>134</v>
      </c>
      <c r="B605" t="s">
        <v>134</v>
      </c>
      <c r="C605" t="s">
        <v>134</v>
      </c>
      <c r="D605" t="s">
        <v>134</v>
      </c>
    </row>
    <row r="606" spans="1:4" x14ac:dyDescent="0.25">
      <c r="A606" t="s">
        <v>134</v>
      </c>
      <c r="B606" t="s">
        <v>134</v>
      </c>
      <c r="C606" t="s">
        <v>134</v>
      </c>
      <c r="D606" t="s">
        <v>134</v>
      </c>
    </row>
    <row r="607" spans="1:4" x14ac:dyDescent="0.25">
      <c r="A607" t="s">
        <v>134</v>
      </c>
      <c r="B607" t="s">
        <v>134</v>
      </c>
      <c r="C607" t="s">
        <v>134</v>
      </c>
      <c r="D607" t="s">
        <v>134</v>
      </c>
    </row>
    <row r="608" spans="1:4" x14ac:dyDescent="0.25">
      <c r="A608" t="s">
        <v>134</v>
      </c>
      <c r="B608" t="s">
        <v>134</v>
      </c>
      <c r="C608" t="s">
        <v>134</v>
      </c>
      <c r="D608" t="s">
        <v>134</v>
      </c>
    </row>
    <row r="609" spans="1:4" x14ac:dyDescent="0.25">
      <c r="A609" t="s">
        <v>134</v>
      </c>
      <c r="B609" t="s">
        <v>134</v>
      </c>
      <c r="C609" t="s">
        <v>134</v>
      </c>
      <c r="D609" t="s">
        <v>134</v>
      </c>
    </row>
    <row r="610" spans="1:4" x14ac:dyDescent="0.25">
      <c r="A610" t="s">
        <v>134</v>
      </c>
      <c r="B610" t="s">
        <v>134</v>
      </c>
      <c r="C610" t="s">
        <v>134</v>
      </c>
      <c r="D610" t="s">
        <v>134</v>
      </c>
    </row>
    <row r="611" spans="1:4" x14ac:dyDescent="0.25">
      <c r="A611" t="s">
        <v>134</v>
      </c>
      <c r="B611" t="s">
        <v>134</v>
      </c>
      <c r="C611" t="s">
        <v>134</v>
      </c>
      <c r="D611" t="s">
        <v>134</v>
      </c>
    </row>
    <row r="612" spans="1:4" x14ac:dyDescent="0.25">
      <c r="A612" t="s">
        <v>134</v>
      </c>
      <c r="B612" t="s">
        <v>134</v>
      </c>
      <c r="C612" t="s">
        <v>134</v>
      </c>
      <c r="D612" t="s">
        <v>134</v>
      </c>
    </row>
    <row r="613" spans="1:4" x14ac:dyDescent="0.25">
      <c r="A613" t="s">
        <v>134</v>
      </c>
      <c r="B613" t="s">
        <v>134</v>
      </c>
      <c r="C613" t="s">
        <v>134</v>
      </c>
      <c r="D613" t="s">
        <v>134</v>
      </c>
    </row>
    <row r="614" spans="1:4" x14ac:dyDescent="0.25">
      <c r="A614" t="s">
        <v>134</v>
      </c>
      <c r="B614" t="s">
        <v>134</v>
      </c>
      <c r="C614" t="s">
        <v>134</v>
      </c>
      <c r="D614" t="s">
        <v>134</v>
      </c>
    </row>
    <row r="615" spans="1:4" x14ac:dyDescent="0.25">
      <c r="A615" t="s">
        <v>134</v>
      </c>
      <c r="B615" t="s">
        <v>134</v>
      </c>
      <c r="C615" t="s">
        <v>134</v>
      </c>
      <c r="D615" t="s">
        <v>134</v>
      </c>
    </row>
    <row r="616" spans="1:4" x14ac:dyDescent="0.25">
      <c r="A616" t="s">
        <v>134</v>
      </c>
      <c r="B616" t="s">
        <v>134</v>
      </c>
      <c r="C616" t="s">
        <v>134</v>
      </c>
      <c r="D616" t="s">
        <v>134</v>
      </c>
    </row>
    <row r="617" spans="1:4" x14ac:dyDescent="0.25">
      <c r="A617" t="s">
        <v>134</v>
      </c>
      <c r="B617" t="s">
        <v>134</v>
      </c>
      <c r="C617" t="s">
        <v>134</v>
      </c>
      <c r="D617" t="s">
        <v>134</v>
      </c>
    </row>
    <row r="618" spans="1:4" x14ac:dyDescent="0.25">
      <c r="A618" t="s">
        <v>134</v>
      </c>
      <c r="B618" t="s">
        <v>134</v>
      </c>
      <c r="C618" t="s">
        <v>134</v>
      </c>
      <c r="D618" t="s">
        <v>134</v>
      </c>
    </row>
    <row r="619" spans="1:4" x14ac:dyDescent="0.25">
      <c r="A619" t="s">
        <v>134</v>
      </c>
      <c r="B619" t="s">
        <v>134</v>
      </c>
      <c r="C619" t="s">
        <v>134</v>
      </c>
      <c r="D619" t="s">
        <v>134</v>
      </c>
    </row>
    <row r="620" spans="1:4" x14ac:dyDescent="0.25">
      <c r="A620" t="s">
        <v>134</v>
      </c>
      <c r="B620" t="s">
        <v>134</v>
      </c>
      <c r="C620" t="s">
        <v>134</v>
      </c>
      <c r="D620" t="s">
        <v>134</v>
      </c>
    </row>
    <row r="621" spans="1:4" x14ac:dyDescent="0.25">
      <c r="A621" t="s">
        <v>134</v>
      </c>
      <c r="B621" t="s">
        <v>134</v>
      </c>
      <c r="C621" t="s">
        <v>134</v>
      </c>
      <c r="D621" t="s">
        <v>134</v>
      </c>
    </row>
    <row r="622" spans="1:4" x14ac:dyDescent="0.25">
      <c r="A622" t="s">
        <v>134</v>
      </c>
      <c r="B622" t="s">
        <v>134</v>
      </c>
      <c r="C622" t="s">
        <v>134</v>
      </c>
      <c r="D622" t="s">
        <v>134</v>
      </c>
    </row>
    <row r="623" spans="1:4" x14ac:dyDescent="0.25">
      <c r="A623" t="s">
        <v>134</v>
      </c>
      <c r="B623" t="s">
        <v>134</v>
      </c>
      <c r="C623" t="s">
        <v>134</v>
      </c>
      <c r="D623" t="s">
        <v>134</v>
      </c>
    </row>
    <row r="624" spans="1:4" x14ac:dyDescent="0.25">
      <c r="A624" t="s">
        <v>134</v>
      </c>
      <c r="B624" t="s">
        <v>134</v>
      </c>
      <c r="C624" t="s">
        <v>134</v>
      </c>
      <c r="D624" t="s">
        <v>134</v>
      </c>
    </row>
    <row r="625" spans="1:4" x14ac:dyDescent="0.25">
      <c r="A625" t="s">
        <v>134</v>
      </c>
      <c r="B625" t="s">
        <v>134</v>
      </c>
      <c r="C625" t="s">
        <v>134</v>
      </c>
      <c r="D625" t="s">
        <v>134</v>
      </c>
    </row>
    <row r="626" spans="1:4" x14ac:dyDescent="0.25">
      <c r="A626" t="s">
        <v>134</v>
      </c>
      <c r="B626" t="s">
        <v>134</v>
      </c>
      <c r="C626" t="s">
        <v>134</v>
      </c>
      <c r="D626" t="s">
        <v>134</v>
      </c>
    </row>
    <row r="627" spans="1:4" x14ac:dyDescent="0.25">
      <c r="A627" t="s">
        <v>134</v>
      </c>
      <c r="B627" t="s">
        <v>134</v>
      </c>
      <c r="C627" t="s">
        <v>134</v>
      </c>
      <c r="D627" t="s">
        <v>134</v>
      </c>
    </row>
    <row r="628" spans="1:4" x14ac:dyDescent="0.25">
      <c r="A628" t="s">
        <v>134</v>
      </c>
      <c r="B628" t="s">
        <v>134</v>
      </c>
      <c r="C628" t="s">
        <v>134</v>
      </c>
      <c r="D628" t="s">
        <v>134</v>
      </c>
    </row>
    <row r="629" spans="1:4" x14ac:dyDescent="0.25">
      <c r="A629" t="s">
        <v>134</v>
      </c>
      <c r="B629" t="s">
        <v>134</v>
      </c>
      <c r="C629" t="s">
        <v>134</v>
      </c>
      <c r="D629" t="s">
        <v>134</v>
      </c>
    </row>
    <row r="630" spans="1:4" x14ac:dyDescent="0.25">
      <c r="A630" t="s">
        <v>134</v>
      </c>
      <c r="B630" t="s">
        <v>134</v>
      </c>
      <c r="C630" t="s">
        <v>134</v>
      </c>
      <c r="D630" t="s">
        <v>134</v>
      </c>
    </row>
    <row r="631" spans="1:4" x14ac:dyDescent="0.25">
      <c r="A631" t="s">
        <v>134</v>
      </c>
      <c r="B631" t="s">
        <v>134</v>
      </c>
      <c r="C631" t="s">
        <v>134</v>
      </c>
      <c r="D631" t="s">
        <v>134</v>
      </c>
    </row>
    <row r="632" spans="1:4" x14ac:dyDescent="0.25">
      <c r="A632" t="s">
        <v>134</v>
      </c>
      <c r="B632" t="s">
        <v>134</v>
      </c>
      <c r="C632" t="s">
        <v>134</v>
      </c>
      <c r="D632" t="s">
        <v>134</v>
      </c>
    </row>
    <row r="633" spans="1:4" x14ac:dyDescent="0.25">
      <c r="A633" t="s">
        <v>134</v>
      </c>
      <c r="B633" t="s">
        <v>134</v>
      </c>
      <c r="C633" t="s">
        <v>134</v>
      </c>
      <c r="D633" t="s">
        <v>134</v>
      </c>
    </row>
    <row r="634" spans="1:4" x14ac:dyDescent="0.25">
      <c r="A634" t="s">
        <v>134</v>
      </c>
      <c r="B634" t="s">
        <v>134</v>
      </c>
      <c r="C634" t="s">
        <v>134</v>
      </c>
      <c r="D634" t="s">
        <v>134</v>
      </c>
    </row>
    <row r="635" spans="1:4" x14ac:dyDescent="0.25">
      <c r="A635" t="s">
        <v>134</v>
      </c>
      <c r="B635" t="s">
        <v>134</v>
      </c>
      <c r="C635" t="s">
        <v>134</v>
      </c>
      <c r="D635" t="s">
        <v>134</v>
      </c>
    </row>
    <row r="636" spans="1:4" x14ac:dyDescent="0.25">
      <c r="A636" t="s">
        <v>134</v>
      </c>
      <c r="B636" t="s">
        <v>134</v>
      </c>
      <c r="C636" t="s">
        <v>134</v>
      </c>
      <c r="D636" t="s">
        <v>134</v>
      </c>
    </row>
    <row r="637" spans="1:4" x14ac:dyDescent="0.25">
      <c r="A637" t="s">
        <v>134</v>
      </c>
      <c r="B637" t="s">
        <v>134</v>
      </c>
      <c r="C637" t="s">
        <v>134</v>
      </c>
      <c r="D637" t="s">
        <v>134</v>
      </c>
    </row>
    <row r="638" spans="1:4" x14ac:dyDescent="0.25">
      <c r="A638" t="s">
        <v>134</v>
      </c>
      <c r="B638" t="s">
        <v>134</v>
      </c>
      <c r="C638" t="s">
        <v>134</v>
      </c>
      <c r="D638" t="s">
        <v>134</v>
      </c>
    </row>
    <row r="639" spans="1:4" x14ac:dyDescent="0.25">
      <c r="A639" t="s">
        <v>134</v>
      </c>
      <c r="B639" t="s">
        <v>134</v>
      </c>
      <c r="C639" t="s">
        <v>134</v>
      </c>
      <c r="D639" t="s">
        <v>134</v>
      </c>
    </row>
    <row r="640" spans="1:4" x14ac:dyDescent="0.25">
      <c r="A640" t="s">
        <v>134</v>
      </c>
      <c r="B640" t="s">
        <v>134</v>
      </c>
      <c r="C640" t="s">
        <v>134</v>
      </c>
      <c r="D640" t="s">
        <v>134</v>
      </c>
    </row>
    <row r="641" spans="1:4" x14ac:dyDescent="0.25">
      <c r="A641" t="s">
        <v>134</v>
      </c>
      <c r="B641" t="s">
        <v>134</v>
      </c>
      <c r="C641" t="s">
        <v>134</v>
      </c>
      <c r="D641" t="s">
        <v>134</v>
      </c>
    </row>
    <row r="642" spans="1:4" x14ac:dyDescent="0.25">
      <c r="A642" t="s">
        <v>134</v>
      </c>
      <c r="B642" t="s">
        <v>134</v>
      </c>
      <c r="C642" t="s">
        <v>134</v>
      </c>
      <c r="D642" t="s">
        <v>134</v>
      </c>
    </row>
    <row r="643" spans="1:4" x14ac:dyDescent="0.25">
      <c r="A643" t="s">
        <v>134</v>
      </c>
      <c r="B643" t="s">
        <v>134</v>
      </c>
      <c r="C643" t="s">
        <v>134</v>
      </c>
      <c r="D643" t="s">
        <v>134</v>
      </c>
    </row>
    <row r="644" spans="1:4" x14ac:dyDescent="0.25">
      <c r="A644" t="s">
        <v>134</v>
      </c>
      <c r="B644" t="s">
        <v>134</v>
      </c>
      <c r="C644" t="s">
        <v>134</v>
      </c>
      <c r="D644" t="s">
        <v>134</v>
      </c>
    </row>
    <row r="645" spans="1:4" x14ac:dyDescent="0.25">
      <c r="A645" t="s">
        <v>134</v>
      </c>
      <c r="B645" t="s">
        <v>134</v>
      </c>
      <c r="C645" t="s">
        <v>134</v>
      </c>
      <c r="D645" t="s">
        <v>134</v>
      </c>
    </row>
    <row r="646" spans="1:4" x14ac:dyDescent="0.25">
      <c r="A646" t="s">
        <v>134</v>
      </c>
      <c r="B646" t="s">
        <v>134</v>
      </c>
      <c r="C646" t="s">
        <v>134</v>
      </c>
      <c r="D646" t="s">
        <v>134</v>
      </c>
    </row>
    <row r="647" spans="1:4" x14ac:dyDescent="0.25">
      <c r="A647" t="s">
        <v>134</v>
      </c>
      <c r="B647" t="s">
        <v>134</v>
      </c>
      <c r="C647" t="s">
        <v>134</v>
      </c>
      <c r="D647" t="s">
        <v>134</v>
      </c>
    </row>
    <row r="648" spans="1:4" x14ac:dyDescent="0.25">
      <c r="A648" t="s">
        <v>134</v>
      </c>
      <c r="B648" t="s">
        <v>134</v>
      </c>
      <c r="C648" t="s">
        <v>134</v>
      </c>
      <c r="D648" t="s">
        <v>134</v>
      </c>
    </row>
    <row r="649" spans="1:4" x14ac:dyDescent="0.25">
      <c r="A649" t="s">
        <v>134</v>
      </c>
      <c r="B649" t="s">
        <v>134</v>
      </c>
      <c r="C649" t="s">
        <v>134</v>
      </c>
      <c r="D649" t="s">
        <v>134</v>
      </c>
    </row>
    <row r="650" spans="1:4" x14ac:dyDescent="0.25">
      <c r="A650" t="s">
        <v>134</v>
      </c>
      <c r="B650" t="s">
        <v>134</v>
      </c>
      <c r="C650" t="s">
        <v>134</v>
      </c>
      <c r="D650" t="s">
        <v>134</v>
      </c>
    </row>
    <row r="651" spans="1:4" x14ac:dyDescent="0.25">
      <c r="A651" t="s">
        <v>134</v>
      </c>
      <c r="B651" t="s">
        <v>134</v>
      </c>
      <c r="C651" t="s">
        <v>134</v>
      </c>
      <c r="D651" t="s">
        <v>134</v>
      </c>
    </row>
    <row r="652" spans="1:4" x14ac:dyDescent="0.25">
      <c r="A652" t="s">
        <v>134</v>
      </c>
      <c r="B652" t="s">
        <v>134</v>
      </c>
      <c r="C652" t="s">
        <v>134</v>
      </c>
      <c r="D652" t="s">
        <v>134</v>
      </c>
    </row>
    <row r="653" spans="1:4" x14ac:dyDescent="0.25">
      <c r="A653" t="s">
        <v>134</v>
      </c>
      <c r="B653" t="s">
        <v>134</v>
      </c>
      <c r="C653" t="s">
        <v>134</v>
      </c>
      <c r="D653" t="s">
        <v>134</v>
      </c>
    </row>
    <row r="654" spans="1:4" x14ac:dyDescent="0.25">
      <c r="A654" t="s">
        <v>134</v>
      </c>
      <c r="B654" t="s">
        <v>134</v>
      </c>
      <c r="C654" t="s">
        <v>134</v>
      </c>
      <c r="D654" t="s">
        <v>134</v>
      </c>
    </row>
    <row r="655" spans="1:4" x14ac:dyDescent="0.25">
      <c r="A655" t="s">
        <v>134</v>
      </c>
      <c r="B655" t="s">
        <v>134</v>
      </c>
      <c r="C655" t="s">
        <v>134</v>
      </c>
      <c r="D655" t="s">
        <v>134</v>
      </c>
    </row>
    <row r="656" spans="1:4" x14ac:dyDescent="0.25">
      <c r="A656" t="s">
        <v>134</v>
      </c>
      <c r="B656" t="s">
        <v>134</v>
      </c>
      <c r="C656" t="s">
        <v>134</v>
      </c>
      <c r="D656" t="s">
        <v>134</v>
      </c>
    </row>
    <row r="657" spans="1:4" x14ac:dyDescent="0.25">
      <c r="A657" t="s">
        <v>134</v>
      </c>
      <c r="B657" t="s">
        <v>134</v>
      </c>
      <c r="C657" t="s">
        <v>134</v>
      </c>
      <c r="D657" t="s">
        <v>134</v>
      </c>
    </row>
    <row r="658" spans="1:4" x14ac:dyDescent="0.25">
      <c r="A658" t="s">
        <v>134</v>
      </c>
      <c r="B658" t="s">
        <v>134</v>
      </c>
      <c r="C658" t="s">
        <v>134</v>
      </c>
      <c r="D658" t="s">
        <v>134</v>
      </c>
    </row>
    <row r="659" spans="1:4" x14ac:dyDescent="0.25">
      <c r="A659" t="s">
        <v>134</v>
      </c>
      <c r="B659" t="s">
        <v>134</v>
      </c>
      <c r="C659" t="s">
        <v>134</v>
      </c>
      <c r="D659" t="s">
        <v>134</v>
      </c>
    </row>
    <row r="660" spans="1:4" x14ac:dyDescent="0.25">
      <c r="A660" t="s">
        <v>134</v>
      </c>
      <c r="B660" t="s">
        <v>134</v>
      </c>
      <c r="C660" t="s">
        <v>134</v>
      </c>
      <c r="D660" t="s">
        <v>134</v>
      </c>
    </row>
    <row r="661" spans="1:4" x14ac:dyDescent="0.25">
      <c r="A661" t="s">
        <v>134</v>
      </c>
      <c r="B661" t="s">
        <v>134</v>
      </c>
      <c r="C661" t="s">
        <v>134</v>
      </c>
      <c r="D661" t="s">
        <v>134</v>
      </c>
    </row>
    <row r="662" spans="1:4" x14ac:dyDescent="0.25">
      <c r="A662" t="s">
        <v>134</v>
      </c>
      <c r="B662" t="s">
        <v>134</v>
      </c>
      <c r="C662" t="s">
        <v>134</v>
      </c>
      <c r="D662" t="s">
        <v>134</v>
      </c>
    </row>
    <row r="663" spans="1:4" x14ac:dyDescent="0.25">
      <c r="A663" t="s">
        <v>134</v>
      </c>
      <c r="B663" t="s">
        <v>134</v>
      </c>
      <c r="C663" t="s">
        <v>134</v>
      </c>
      <c r="D663" t="s">
        <v>134</v>
      </c>
    </row>
    <row r="664" spans="1:4" x14ac:dyDescent="0.25">
      <c r="A664" t="s">
        <v>134</v>
      </c>
      <c r="B664" t="s">
        <v>134</v>
      </c>
      <c r="C664" t="s">
        <v>134</v>
      </c>
      <c r="D664" t="s">
        <v>134</v>
      </c>
    </row>
    <row r="665" spans="1:4" x14ac:dyDescent="0.25">
      <c r="A665" t="s">
        <v>134</v>
      </c>
      <c r="B665" t="s">
        <v>134</v>
      </c>
      <c r="C665" t="s">
        <v>134</v>
      </c>
      <c r="D665" t="s">
        <v>134</v>
      </c>
    </row>
    <row r="666" spans="1:4" x14ac:dyDescent="0.25">
      <c r="A666" t="s">
        <v>134</v>
      </c>
      <c r="B666" t="s">
        <v>134</v>
      </c>
      <c r="C666" t="s">
        <v>134</v>
      </c>
      <c r="D666" t="s">
        <v>134</v>
      </c>
    </row>
    <row r="667" spans="1:4" x14ac:dyDescent="0.25">
      <c r="A667" t="s">
        <v>134</v>
      </c>
      <c r="B667" t="s">
        <v>134</v>
      </c>
      <c r="C667" t="s">
        <v>134</v>
      </c>
      <c r="D667" t="s">
        <v>134</v>
      </c>
    </row>
    <row r="668" spans="1:4" x14ac:dyDescent="0.25">
      <c r="A668" t="s">
        <v>134</v>
      </c>
      <c r="B668" t="s">
        <v>134</v>
      </c>
      <c r="C668" t="s">
        <v>134</v>
      </c>
      <c r="D668" t="s">
        <v>134</v>
      </c>
    </row>
    <row r="669" spans="1:4" x14ac:dyDescent="0.25">
      <c r="A669" t="s">
        <v>134</v>
      </c>
      <c r="B669" t="s">
        <v>134</v>
      </c>
      <c r="C669" t="s">
        <v>134</v>
      </c>
      <c r="D669" t="s">
        <v>134</v>
      </c>
    </row>
    <row r="670" spans="1:4" x14ac:dyDescent="0.25">
      <c r="A670" t="s">
        <v>134</v>
      </c>
      <c r="B670" t="s">
        <v>134</v>
      </c>
      <c r="C670" t="s">
        <v>134</v>
      </c>
      <c r="D670" t="s">
        <v>134</v>
      </c>
    </row>
    <row r="671" spans="1:4" x14ac:dyDescent="0.25">
      <c r="A671" t="s">
        <v>134</v>
      </c>
      <c r="B671" t="s">
        <v>134</v>
      </c>
      <c r="C671" t="s">
        <v>134</v>
      </c>
      <c r="D671" t="s">
        <v>134</v>
      </c>
    </row>
    <row r="672" spans="1:4" x14ac:dyDescent="0.25">
      <c r="A672" t="s">
        <v>134</v>
      </c>
      <c r="B672" t="s">
        <v>134</v>
      </c>
      <c r="C672" t="s">
        <v>134</v>
      </c>
      <c r="D672" t="s">
        <v>134</v>
      </c>
    </row>
    <row r="673" spans="1:4" x14ac:dyDescent="0.25">
      <c r="A673" t="s">
        <v>134</v>
      </c>
      <c r="B673" t="s">
        <v>134</v>
      </c>
      <c r="C673" t="s">
        <v>134</v>
      </c>
      <c r="D673" t="s">
        <v>134</v>
      </c>
    </row>
    <row r="674" spans="1:4" x14ac:dyDescent="0.25">
      <c r="A674" t="s">
        <v>134</v>
      </c>
      <c r="B674" t="s">
        <v>134</v>
      </c>
      <c r="C674" t="s">
        <v>134</v>
      </c>
      <c r="D674" t="s">
        <v>134</v>
      </c>
    </row>
    <row r="675" spans="1:4" x14ac:dyDescent="0.25">
      <c r="A675" t="s">
        <v>134</v>
      </c>
      <c r="B675" t="s">
        <v>134</v>
      </c>
      <c r="C675" t="s">
        <v>134</v>
      </c>
      <c r="D675" t="s">
        <v>134</v>
      </c>
    </row>
    <row r="676" spans="1:4" x14ac:dyDescent="0.25">
      <c r="A676" t="s">
        <v>134</v>
      </c>
      <c r="B676" t="s">
        <v>134</v>
      </c>
      <c r="C676" t="s">
        <v>134</v>
      </c>
      <c r="D676" t="s">
        <v>134</v>
      </c>
    </row>
    <row r="677" spans="1:4" x14ac:dyDescent="0.25">
      <c r="A677" t="s">
        <v>134</v>
      </c>
      <c r="B677" t="s">
        <v>134</v>
      </c>
      <c r="C677" t="s">
        <v>134</v>
      </c>
      <c r="D677" t="s">
        <v>134</v>
      </c>
    </row>
    <row r="678" spans="1:4" x14ac:dyDescent="0.25">
      <c r="A678" t="s">
        <v>134</v>
      </c>
      <c r="B678" t="s">
        <v>134</v>
      </c>
      <c r="C678" t="s">
        <v>134</v>
      </c>
      <c r="D678" t="s">
        <v>134</v>
      </c>
    </row>
    <row r="679" spans="1:4" x14ac:dyDescent="0.25">
      <c r="A679" t="s">
        <v>134</v>
      </c>
      <c r="B679" t="s">
        <v>134</v>
      </c>
      <c r="C679" t="s">
        <v>134</v>
      </c>
      <c r="D679" t="s">
        <v>134</v>
      </c>
    </row>
    <row r="680" spans="1:4" x14ac:dyDescent="0.25">
      <c r="A680" t="s">
        <v>134</v>
      </c>
      <c r="B680" t="s">
        <v>134</v>
      </c>
      <c r="C680" t="s">
        <v>134</v>
      </c>
      <c r="D680" t="s">
        <v>134</v>
      </c>
    </row>
    <row r="681" spans="1:4" x14ac:dyDescent="0.25">
      <c r="A681" t="s">
        <v>134</v>
      </c>
      <c r="B681" t="s">
        <v>134</v>
      </c>
      <c r="C681" t="s">
        <v>134</v>
      </c>
      <c r="D681" t="s">
        <v>134</v>
      </c>
    </row>
    <row r="682" spans="1:4" x14ac:dyDescent="0.25">
      <c r="A682" t="s">
        <v>134</v>
      </c>
      <c r="B682" t="s">
        <v>134</v>
      </c>
      <c r="C682" t="s">
        <v>134</v>
      </c>
      <c r="D682" t="s">
        <v>134</v>
      </c>
    </row>
    <row r="683" spans="1:4" x14ac:dyDescent="0.25">
      <c r="A683" t="s">
        <v>134</v>
      </c>
      <c r="B683" t="s">
        <v>134</v>
      </c>
      <c r="C683" t="s">
        <v>134</v>
      </c>
      <c r="D683" t="s">
        <v>134</v>
      </c>
    </row>
    <row r="684" spans="1:4" x14ac:dyDescent="0.25">
      <c r="A684" t="s">
        <v>134</v>
      </c>
      <c r="B684" t="s">
        <v>134</v>
      </c>
      <c r="C684" t="s">
        <v>134</v>
      </c>
      <c r="D684" t="s">
        <v>134</v>
      </c>
    </row>
    <row r="685" spans="1:4" x14ac:dyDescent="0.25">
      <c r="A685" t="s">
        <v>134</v>
      </c>
      <c r="B685" t="s">
        <v>134</v>
      </c>
      <c r="C685" t="s">
        <v>134</v>
      </c>
      <c r="D685" t="s">
        <v>134</v>
      </c>
    </row>
    <row r="686" spans="1:4" x14ac:dyDescent="0.25">
      <c r="A686" t="s">
        <v>134</v>
      </c>
      <c r="B686" t="s">
        <v>134</v>
      </c>
      <c r="C686" t="s">
        <v>134</v>
      </c>
      <c r="D686" t="s">
        <v>134</v>
      </c>
    </row>
    <row r="687" spans="1:4" x14ac:dyDescent="0.25">
      <c r="A687" t="s">
        <v>134</v>
      </c>
      <c r="B687" t="s">
        <v>134</v>
      </c>
      <c r="C687" t="s">
        <v>134</v>
      </c>
      <c r="D687" t="s">
        <v>134</v>
      </c>
    </row>
    <row r="688" spans="1:4" x14ac:dyDescent="0.25">
      <c r="A688" t="s">
        <v>134</v>
      </c>
      <c r="B688" t="s">
        <v>134</v>
      </c>
      <c r="C688" t="s">
        <v>134</v>
      </c>
      <c r="D688" t="s">
        <v>134</v>
      </c>
    </row>
    <row r="689" spans="1:4" x14ac:dyDescent="0.25">
      <c r="A689" t="s">
        <v>134</v>
      </c>
      <c r="B689" t="s">
        <v>134</v>
      </c>
      <c r="C689" t="s">
        <v>134</v>
      </c>
      <c r="D689" t="s">
        <v>134</v>
      </c>
    </row>
    <row r="690" spans="1:4" x14ac:dyDescent="0.25">
      <c r="A690" t="s">
        <v>134</v>
      </c>
      <c r="B690" t="s">
        <v>134</v>
      </c>
      <c r="C690" t="s">
        <v>134</v>
      </c>
      <c r="D690" t="s">
        <v>134</v>
      </c>
    </row>
    <row r="691" spans="1:4" x14ac:dyDescent="0.25">
      <c r="A691" t="s">
        <v>134</v>
      </c>
      <c r="B691" t="s">
        <v>134</v>
      </c>
      <c r="C691" t="s">
        <v>134</v>
      </c>
      <c r="D691" t="s">
        <v>134</v>
      </c>
    </row>
    <row r="692" spans="1:4" x14ac:dyDescent="0.25">
      <c r="A692" t="s">
        <v>134</v>
      </c>
      <c r="B692" t="s">
        <v>134</v>
      </c>
      <c r="C692" t="s">
        <v>134</v>
      </c>
      <c r="D692" t="s">
        <v>134</v>
      </c>
    </row>
    <row r="693" spans="1:4" x14ac:dyDescent="0.25">
      <c r="A693" t="s">
        <v>134</v>
      </c>
      <c r="B693" t="s">
        <v>134</v>
      </c>
      <c r="C693" t="s">
        <v>134</v>
      </c>
      <c r="D693" t="s">
        <v>134</v>
      </c>
    </row>
    <row r="694" spans="1:4" x14ac:dyDescent="0.25">
      <c r="A694" t="s">
        <v>134</v>
      </c>
      <c r="B694" t="s">
        <v>134</v>
      </c>
      <c r="C694" t="s">
        <v>134</v>
      </c>
      <c r="D694" t="s">
        <v>134</v>
      </c>
    </row>
    <row r="695" spans="1:4" x14ac:dyDescent="0.25">
      <c r="A695" t="s">
        <v>134</v>
      </c>
      <c r="B695" t="s">
        <v>134</v>
      </c>
      <c r="C695" t="s">
        <v>134</v>
      </c>
      <c r="D695" t="s">
        <v>134</v>
      </c>
    </row>
    <row r="696" spans="1:4" x14ac:dyDescent="0.25">
      <c r="A696" t="s">
        <v>134</v>
      </c>
      <c r="B696" t="s">
        <v>134</v>
      </c>
      <c r="C696" t="s">
        <v>134</v>
      </c>
      <c r="D696" t="s">
        <v>134</v>
      </c>
    </row>
    <row r="697" spans="1:4" x14ac:dyDescent="0.25">
      <c r="A697" t="s">
        <v>134</v>
      </c>
      <c r="B697" t="s">
        <v>134</v>
      </c>
      <c r="C697" t="s">
        <v>134</v>
      </c>
      <c r="D697" t="s">
        <v>134</v>
      </c>
    </row>
    <row r="698" spans="1:4" x14ac:dyDescent="0.25">
      <c r="A698" t="s">
        <v>134</v>
      </c>
      <c r="B698" t="s">
        <v>134</v>
      </c>
      <c r="C698" t="s">
        <v>134</v>
      </c>
      <c r="D698" t="s">
        <v>134</v>
      </c>
    </row>
    <row r="699" spans="1:4" x14ac:dyDescent="0.25">
      <c r="A699" t="s">
        <v>134</v>
      </c>
      <c r="B699" t="s">
        <v>134</v>
      </c>
      <c r="C699" t="s">
        <v>134</v>
      </c>
      <c r="D699" t="s">
        <v>134</v>
      </c>
    </row>
    <row r="700" spans="1:4" x14ac:dyDescent="0.25">
      <c r="A700" t="s">
        <v>134</v>
      </c>
      <c r="B700" t="s">
        <v>134</v>
      </c>
      <c r="C700" t="s">
        <v>134</v>
      </c>
      <c r="D700" t="s">
        <v>134</v>
      </c>
    </row>
    <row r="701" spans="1:4" x14ac:dyDescent="0.25">
      <c r="A701" t="s">
        <v>134</v>
      </c>
      <c r="B701" t="s">
        <v>134</v>
      </c>
      <c r="C701" t="s">
        <v>134</v>
      </c>
      <c r="D701" t="s">
        <v>134</v>
      </c>
    </row>
    <row r="702" spans="1:4" x14ac:dyDescent="0.25">
      <c r="A702" t="s">
        <v>134</v>
      </c>
      <c r="B702" t="s">
        <v>134</v>
      </c>
      <c r="C702" t="s">
        <v>134</v>
      </c>
      <c r="D702" t="s">
        <v>134</v>
      </c>
    </row>
    <row r="703" spans="1:4" x14ac:dyDescent="0.25">
      <c r="A703" t="s">
        <v>134</v>
      </c>
      <c r="B703" t="s">
        <v>134</v>
      </c>
      <c r="C703" t="s">
        <v>134</v>
      </c>
      <c r="D703" t="s">
        <v>134</v>
      </c>
    </row>
    <row r="704" spans="1:4" x14ac:dyDescent="0.25">
      <c r="A704" t="s">
        <v>134</v>
      </c>
      <c r="B704" t="s">
        <v>134</v>
      </c>
      <c r="C704" t="s">
        <v>134</v>
      </c>
      <c r="D704" t="s">
        <v>134</v>
      </c>
    </row>
    <row r="705" spans="1:4" x14ac:dyDescent="0.25">
      <c r="A705" t="s">
        <v>134</v>
      </c>
      <c r="B705" t="s">
        <v>134</v>
      </c>
      <c r="C705" t="s">
        <v>134</v>
      </c>
      <c r="D705" t="s">
        <v>134</v>
      </c>
    </row>
    <row r="706" spans="1:4" x14ac:dyDescent="0.25">
      <c r="A706" t="s">
        <v>134</v>
      </c>
      <c r="B706" t="s">
        <v>134</v>
      </c>
      <c r="C706" t="s">
        <v>134</v>
      </c>
      <c r="D706" t="s">
        <v>134</v>
      </c>
    </row>
    <row r="707" spans="1:4" x14ac:dyDescent="0.25">
      <c r="A707" t="s">
        <v>134</v>
      </c>
      <c r="B707" t="s">
        <v>134</v>
      </c>
      <c r="C707" t="s">
        <v>134</v>
      </c>
      <c r="D707" t="s">
        <v>134</v>
      </c>
    </row>
    <row r="708" spans="1:4" x14ac:dyDescent="0.25">
      <c r="A708" t="s">
        <v>134</v>
      </c>
      <c r="B708" t="s">
        <v>134</v>
      </c>
      <c r="C708" t="s">
        <v>134</v>
      </c>
      <c r="D708" t="s">
        <v>134</v>
      </c>
    </row>
    <row r="709" spans="1:4" x14ac:dyDescent="0.25">
      <c r="A709" t="s">
        <v>134</v>
      </c>
      <c r="B709" t="s">
        <v>134</v>
      </c>
      <c r="C709" t="s">
        <v>134</v>
      </c>
      <c r="D709" t="s">
        <v>134</v>
      </c>
    </row>
    <row r="710" spans="1:4" x14ac:dyDescent="0.25">
      <c r="A710" t="s">
        <v>134</v>
      </c>
      <c r="B710" t="s">
        <v>134</v>
      </c>
      <c r="C710" t="s">
        <v>134</v>
      </c>
      <c r="D710" t="s">
        <v>134</v>
      </c>
    </row>
    <row r="711" spans="1:4" x14ac:dyDescent="0.25">
      <c r="A711" t="s">
        <v>134</v>
      </c>
      <c r="B711" t="s">
        <v>134</v>
      </c>
      <c r="C711" t="s">
        <v>134</v>
      </c>
      <c r="D711" t="s">
        <v>134</v>
      </c>
    </row>
    <row r="712" spans="1:4" x14ac:dyDescent="0.25">
      <c r="A712" t="s">
        <v>134</v>
      </c>
      <c r="B712" t="s">
        <v>134</v>
      </c>
      <c r="C712" t="s">
        <v>134</v>
      </c>
      <c r="D712" t="s">
        <v>134</v>
      </c>
    </row>
    <row r="713" spans="1:4" x14ac:dyDescent="0.25">
      <c r="A713" t="s">
        <v>134</v>
      </c>
      <c r="B713" t="s">
        <v>134</v>
      </c>
      <c r="C713" t="s">
        <v>134</v>
      </c>
      <c r="D713" t="s">
        <v>134</v>
      </c>
    </row>
    <row r="714" spans="1:4" x14ac:dyDescent="0.25">
      <c r="A714" t="s">
        <v>134</v>
      </c>
      <c r="B714" t="s">
        <v>134</v>
      </c>
      <c r="C714" t="s">
        <v>134</v>
      </c>
      <c r="D714" t="s">
        <v>134</v>
      </c>
    </row>
    <row r="715" spans="1:4" x14ac:dyDescent="0.25">
      <c r="A715" t="s">
        <v>134</v>
      </c>
      <c r="B715" t="s">
        <v>134</v>
      </c>
      <c r="C715" t="s">
        <v>134</v>
      </c>
      <c r="D715" t="s">
        <v>134</v>
      </c>
    </row>
    <row r="716" spans="1:4" x14ac:dyDescent="0.25">
      <c r="A716" t="s">
        <v>134</v>
      </c>
      <c r="B716" t="s">
        <v>134</v>
      </c>
      <c r="C716" t="s">
        <v>134</v>
      </c>
      <c r="D716" t="s">
        <v>134</v>
      </c>
    </row>
    <row r="717" spans="1:4" x14ac:dyDescent="0.25">
      <c r="A717" t="s">
        <v>134</v>
      </c>
      <c r="B717" t="s">
        <v>134</v>
      </c>
      <c r="C717" t="s">
        <v>134</v>
      </c>
      <c r="D717" t="s">
        <v>134</v>
      </c>
    </row>
    <row r="718" spans="1:4" x14ac:dyDescent="0.25">
      <c r="A718" t="s">
        <v>134</v>
      </c>
      <c r="B718" t="s">
        <v>134</v>
      </c>
      <c r="C718" t="s">
        <v>134</v>
      </c>
      <c r="D718" t="s">
        <v>134</v>
      </c>
    </row>
    <row r="719" spans="1:4" x14ac:dyDescent="0.25">
      <c r="A719" t="s">
        <v>134</v>
      </c>
      <c r="B719" t="s">
        <v>134</v>
      </c>
      <c r="C719" t="s">
        <v>134</v>
      </c>
      <c r="D719" t="s">
        <v>134</v>
      </c>
    </row>
    <row r="720" spans="1:4" x14ac:dyDescent="0.25">
      <c r="A720" t="s">
        <v>134</v>
      </c>
      <c r="B720" t="s">
        <v>134</v>
      </c>
      <c r="C720" t="s">
        <v>134</v>
      </c>
      <c r="D720" t="s">
        <v>134</v>
      </c>
    </row>
    <row r="721" spans="1:4" x14ac:dyDescent="0.25">
      <c r="A721" t="s">
        <v>134</v>
      </c>
      <c r="B721" t="s">
        <v>134</v>
      </c>
      <c r="C721" t="s">
        <v>134</v>
      </c>
      <c r="D721" t="s">
        <v>134</v>
      </c>
    </row>
    <row r="722" spans="1:4" x14ac:dyDescent="0.25">
      <c r="A722" t="s">
        <v>134</v>
      </c>
      <c r="B722" t="s">
        <v>134</v>
      </c>
      <c r="C722" t="s">
        <v>134</v>
      </c>
      <c r="D722" t="s">
        <v>134</v>
      </c>
    </row>
    <row r="723" spans="1:4" x14ac:dyDescent="0.25">
      <c r="A723" t="s">
        <v>134</v>
      </c>
      <c r="B723" t="s">
        <v>134</v>
      </c>
      <c r="C723" t="s">
        <v>134</v>
      </c>
      <c r="D723" t="s">
        <v>134</v>
      </c>
    </row>
    <row r="724" spans="1:4" x14ac:dyDescent="0.25">
      <c r="A724" t="s">
        <v>134</v>
      </c>
      <c r="B724" t="s">
        <v>134</v>
      </c>
      <c r="C724" t="s">
        <v>134</v>
      </c>
      <c r="D724" t="s">
        <v>134</v>
      </c>
    </row>
    <row r="725" spans="1:4" x14ac:dyDescent="0.25">
      <c r="A725" t="s">
        <v>134</v>
      </c>
      <c r="B725" t="s">
        <v>134</v>
      </c>
      <c r="C725" t="s">
        <v>134</v>
      </c>
      <c r="D725" t="s">
        <v>134</v>
      </c>
    </row>
    <row r="726" spans="1:4" x14ac:dyDescent="0.25">
      <c r="A726" t="s">
        <v>134</v>
      </c>
      <c r="B726" t="s">
        <v>134</v>
      </c>
      <c r="C726" t="s">
        <v>134</v>
      </c>
      <c r="D726" t="s">
        <v>134</v>
      </c>
    </row>
    <row r="727" spans="1:4" x14ac:dyDescent="0.25">
      <c r="A727" t="s">
        <v>134</v>
      </c>
      <c r="B727" t="s">
        <v>134</v>
      </c>
      <c r="C727" t="s">
        <v>134</v>
      </c>
      <c r="D727" t="s">
        <v>134</v>
      </c>
    </row>
    <row r="728" spans="1:4" x14ac:dyDescent="0.25">
      <c r="A728" t="s">
        <v>134</v>
      </c>
      <c r="B728" t="s">
        <v>134</v>
      </c>
      <c r="C728" t="s">
        <v>134</v>
      </c>
      <c r="D728" t="s">
        <v>134</v>
      </c>
    </row>
    <row r="729" spans="1:4" x14ac:dyDescent="0.25">
      <c r="A729" t="s">
        <v>134</v>
      </c>
      <c r="B729" t="s">
        <v>134</v>
      </c>
      <c r="C729" t="s">
        <v>134</v>
      </c>
      <c r="D729" t="s">
        <v>134</v>
      </c>
    </row>
    <row r="730" spans="1:4" x14ac:dyDescent="0.25">
      <c r="A730" t="s">
        <v>134</v>
      </c>
      <c r="B730" t="s">
        <v>134</v>
      </c>
      <c r="C730" t="s">
        <v>134</v>
      </c>
      <c r="D730" t="s">
        <v>134</v>
      </c>
    </row>
    <row r="731" spans="1:4" x14ac:dyDescent="0.25">
      <c r="A731" t="s">
        <v>134</v>
      </c>
      <c r="B731" t="s">
        <v>134</v>
      </c>
      <c r="C731" t="s">
        <v>134</v>
      </c>
      <c r="D731" t="s">
        <v>134</v>
      </c>
    </row>
    <row r="732" spans="1:4" x14ac:dyDescent="0.25">
      <c r="A732" t="s">
        <v>134</v>
      </c>
      <c r="B732" t="s">
        <v>134</v>
      </c>
      <c r="C732" t="s">
        <v>134</v>
      </c>
      <c r="D732" t="s">
        <v>134</v>
      </c>
    </row>
    <row r="733" spans="1:4" x14ac:dyDescent="0.25">
      <c r="A733" t="s">
        <v>134</v>
      </c>
      <c r="B733" t="s">
        <v>134</v>
      </c>
      <c r="C733" t="s">
        <v>134</v>
      </c>
      <c r="D733" t="s">
        <v>134</v>
      </c>
    </row>
    <row r="734" spans="1:4" x14ac:dyDescent="0.25">
      <c r="A734" t="s">
        <v>134</v>
      </c>
      <c r="B734" t="s">
        <v>134</v>
      </c>
      <c r="C734" t="s">
        <v>134</v>
      </c>
      <c r="D734" t="s">
        <v>134</v>
      </c>
    </row>
    <row r="735" spans="1:4" x14ac:dyDescent="0.25">
      <c r="A735" t="s">
        <v>134</v>
      </c>
      <c r="B735" t="s">
        <v>134</v>
      </c>
      <c r="C735" t="s">
        <v>134</v>
      </c>
      <c r="D735" t="s">
        <v>134</v>
      </c>
    </row>
    <row r="736" spans="1:4" x14ac:dyDescent="0.25">
      <c r="A736" t="s">
        <v>134</v>
      </c>
      <c r="B736" t="s">
        <v>134</v>
      </c>
      <c r="C736" t="s">
        <v>134</v>
      </c>
      <c r="D736" t="s">
        <v>134</v>
      </c>
    </row>
    <row r="737" spans="1:4" x14ac:dyDescent="0.25">
      <c r="A737" t="s">
        <v>134</v>
      </c>
      <c r="B737" t="s">
        <v>134</v>
      </c>
      <c r="C737" t="s">
        <v>134</v>
      </c>
      <c r="D737" t="s">
        <v>134</v>
      </c>
    </row>
    <row r="738" spans="1:4" x14ac:dyDescent="0.25">
      <c r="A738" t="s">
        <v>134</v>
      </c>
      <c r="B738" t="s">
        <v>134</v>
      </c>
      <c r="C738" t="s">
        <v>134</v>
      </c>
      <c r="D738" t="s">
        <v>134</v>
      </c>
    </row>
    <row r="739" spans="1:4" x14ac:dyDescent="0.25">
      <c r="A739" t="s">
        <v>134</v>
      </c>
      <c r="B739" t="s">
        <v>134</v>
      </c>
      <c r="C739" t="s">
        <v>134</v>
      </c>
      <c r="D739" t="s">
        <v>134</v>
      </c>
    </row>
    <row r="740" spans="1:4" x14ac:dyDescent="0.25">
      <c r="A740" t="s">
        <v>134</v>
      </c>
      <c r="B740" t="s">
        <v>134</v>
      </c>
      <c r="C740" t="s">
        <v>134</v>
      </c>
      <c r="D740" t="s">
        <v>134</v>
      </c>
    </row>
    <row r="741" spans="1:4" x14ac:dyDescent="0.25">
      <c r="A741" t="s">
        <v>134</v>
      </c>
      <c r="B741" t="s">
        <v>134</v>
      </c>
      <c r="C741" t="s">
        <v>134</v>
      </c>
      <c r="D741" t="s">
        <v>134</v>
      </c>
    </row>
    <row r="742" spans="1:4" x14ac:dyDescent="0.25">
      <c r="A742" t="s">
        <v>134</v>
      </c>
      <c r="B742" t="s">
        <v>134</v>
      </c>
      <c r="C742" t="s">
        <v>134</v>
      </c>
      <c r="D742" t="s">
        <v>134</v>
      </c>
    </row>
    <row r="743" spans="1:4" x14ac:dyDescent="0.25">
      <c r="A743" t="s">
        <v>134</v>
      </c>
      <c r="B743" t="s">
        <v>134</v>
      </c>
      <c r="C743" t="s">
        <v>134</v>
      </c>
      <c r="D743" t="s">
        <v>134</v>
      </c>
    </row>
    <row r="744" spans="1:4" x14ac:dyDescent="0.25">
      <c r="A744" t="s">
        <v>134</v>
      </c>
      <c r="B744" t="s">
        <v>134</v>
      </c>
      <c r="C744" t="s">
        <v>134</v>
      </c>
      <c r="D744" t="s">
        <v>134</v>
      </c>
    </row>
    <row r="745" spans="1:4" x14ac:dyDescent="0.25">
      <c r="A745" t="s">
        <v>134</v>
      </c>
      <c r="B745" t="s">
        <v>134</v>
      </c>
      <c r="C745" t="s">
        <v>134</v>
      </c>
      <c r="D745" t="s">
        <v>134</v>
      </c>
    </row>
    <row r="746" spans="1:4" x14ac:dyDescent="0.25">
      <c r="A746" t="s">
        <v>134</v>
      </c>
      <c r="B746" t="s">
        <v>134</v>
      </c>
      <c r="C746" t="s">
        <v>134</v>
      </c>
      <c r="D746" t="s">
        <v>134</v>
      </c>
    </row>
    <row r="747" spans="1:4" x14ac:dyDescent="0.25">
      <c r="A747" t="s">
        <v>134</v>
      </c>
      <c r="B747" t="s">
        <v>134</v>
      </c>
      <c r="C747" t="s">
        <v>134</v>
      </c>
      <c r="D747" t="s">
        <v>134</v>
      </c>
    </row>
    <row r="748" spans="1:4" x14ac:dyDescent="0.25">
      <c r="A748" t="s">
        <v>134</v>
      </c>
      <c r="B748" t="s">
        <v>134</v>
      </c>
      <c r="C748" t="s">
        <v>134</v>
      </c>
      <c r="D748" t="s">
        <v>134</v>
      </c>
    </row>
    <row r="749" spans="1:4" x14ac:dyDescent="0.25">
      <c r="A749" t="s">
        <v>134</v>
      </c>
      <c r="B749" t="s">
        <v>134</v>
      </c>
      <c r="C749" t="s">
        <v>134</v>
      </c>
      <c r="D749" t="s">
        <v>134</v>
      </c>
    </row>
    <row r="750" spans="1:4" x14ac:dyDescent="0.25">
      <c r="A750" t="s">
        <v>134</v>
      </c>
      <c r="B750" t="s">
        <v>134</v>
      </c>
      <c r="C750" t="s">
        <v>134</v>
      </c>
      <c r="D750" t="s">
        <v>134</v>
      </c>
    </row>
    <row r="751" spans="1:4" x14ac:dyDescent="0.25">
      <c r="A751" t="s">
        <v>134</v>
      </c>
      <c r="B751" t="s">
        <v>134</v>
      </c>
      <c r="C751" t="s">
        <v>134</v>
      </c>
      <c r="D751" t="s">
        <v>134</v>
      </c>
    </row>
    <row r="752" spans="1:4" x14ac:dyDescent="0.25">
      <c r="A752" t="s">
        <v>134</v>
      </c>
      <c r="B752" t="s">
        <v>134</v>
      </c>
      <c r="C752" t="s">
        <v>134</v>
      </c>
      <c r="D752" t="s">
        <v>134</v>
      </c>
    </row>
    <row r="753" spans="1:4" x14ac:dyDescent="0.25">
      <c r="A753" t="s">
        <v>134</v>
      </c>
      <c r="B753" t="s">
        <v>134</v>
      </c>
      <c r="C753" t="s">
        <v>134</v>
      </c>
      <c r="D753" t="s">
        <v>134</v>
      </c>
    </row>
    <row r="754" spans="1:4" x14ac:dyDescent="0.25">
      <c r="A754" t="s">
        <v>134</v>
      </c>
      <c r="B754" t="s">
        <v>134</v>
      </c>
      <c r="C754" t="s">
        <v>134</v>
      </c>
      <c r="D754" t="s">
        <v>134</v>
      </c>
    </row>
    <row r="755" spans="1:4" x14ac:dyDescent="0.25">
      <c r="A755" t="s">
        <v>134</v>
      </c>
      <c r="B755" t="s">
        <v>134</v>
      </c>
      <c r="C755" t="s">
        <v>134</v>
      </c>
      <c r="D755" t="s">
        <v>134</v>
      </c>
    </row>
    <row r="756" spans="1:4" x14ac:dyDescent="0.25">
      <c r="A756" t="s">
        <v>134</v>
      </c>
      <c r="B756" t="s">
        <v>134</v>
      </c>
      <c r="C756" t="s">
        <v>134</v>
      </c>
      <c r="D756" t="s">
        <v>134</v>
      </c>
    </row>
    <row r="757" spans="1:4" x14ac:dyDescent="0.25">
      <c r="A757" t="s">
        <v>134</v>
      </c>
      <c r="B757" t="s">
        <v>134</v>
      </c>
      <c r="C757" t="s">
        <v>134</v>
      </c>
      <c r="D757" t="s">
        <v>134</v>
      </c>
    </row>
    <row r="758" spans="1:4" x14ac:dyDescent="0.25">
      <c r="A758" t="s">
        <v>134</v>
      </c>
      <c r="B758" t="s">
        <v>134</v>
      </c>
      <c r="C758" t="s">
        <v>134</v>
      </c>
      <c r="D758" t="s">
        <v>134</v>
      </c>
    </row>
    <row r="759" spans="1:4" x14ac:dyDescent="0.25">
      <c r="A759" t="s">
        <v>134</v>
      </c>
      <c r="B759" t="s">
        <v>134</v>
      </c>
      <c r="C759" t="s">
        <v>134</v>
      </c>
      <c r="D759" t="s">
        <v>134</v>
      </c>
    </row>
    <row r="760" spans="1:4" x14ac:dyDescent="0.25">
      <c r="A760" t="s">
        <v>134</v>
      </c>
      <c r="B760" t="s">
        <v>134</v>
      </c>
      <c r="C760" t="s">
        <v>134</v>
      </c>
      <c r="D760" t="s">
        <v>134</v>
      </c>
    </row>
    <row r="761" spans="1:4" x14ac:dyDescent="0.25">
      <c r="A761" t="s">
        <v>134</v>
      </c>
      <c r="B761" t="s">
        <v>134</v>
      </c>
      <c r="C761" t="s">
        <v>134</v>
      </c>
      <c r="D761" t="s">
        <v>134</v>
      </c>
    </row>
    <row r="762" spans="1:4" x14ac:dyDescent="0.25">
      <c r="A762" t="s">
        <v>134</v>
      </c>
      <c r="B762" t="s">
        <v>134</v>
      </c>
      <c r="C762" t="s">
        <v>134</v>
      </c>
      <c r="D762" t="s">
        <v>134</v>
      </c>
    </row>
    <row r="763" spans="1:4" x14ac:dyDescent="0.25">
      <c r="A763" t="s">
        <v>134</v>
      </c>
      <c r="B763" t="s">
        <v>134</v>
      </c>
      <c r="C763" t="s">
        <v>134</v>
      </c>
      <c r="D763" t="s">
        <v>134</v>
      </c>
    </row>
    <row r="764" spans="1:4" x14ac:dyDescent="0.25">
      <c r="A764" t="s">
        <v>134</v>
      </c>
      <c r="B764" t="s">
        <v>134</v>
      </c>
      <c r="C764" t="s">
        <v>134</v>
      </c>
      <c r="D764" t="s">
        <v>134</v>
      </c>
    </row>
    <row r="765" spans="1:4" x14ac:dyDescent="0.25">
      <c r="A765" t="s">
        <v>134</v>
      </c>
      <c r="B765" t="s">
        <v>134</v>
      </c>
      <c r="C765" t="s">
        <v>134</v>
      </c>
      <c r="D765" t="s">
        <v>134</v>
      </c>
    </row>
    <row r="766" spans="1:4" x14ac:dyDescent="0.25">
      <c r="A766" t="s">
        <v>134</v>
      </c>
      <c r="B766" t="s">
        <v>134</v>
      </c>
      <c r="C766" t="s">
        <v>134</v>
      </c>
      <c r="D766" t="s">
        <v>134</v>
      </c>
    </row>
    <row r="767" spans="1:4" x14ac:dyDescent="0.25">
      <c r="A767" t="s">
        <v>134</v>
      </c>
      <c r="B767" t="s">
        <v>134</v>
      </c>
      <c r="C767" t="s">
        <v>134</v>
      </c>
      <c r="D767" t="s">
        <v>134</v>
      </c>
    </row>
    <row r="768" spans="1:4" x14ac:dyDescent="0.25">
      <c r="A768" t="s">
        <v>134</v>
      </c>
      <c r="B768" t="s">
        <v>134</v>
      </c>
      <c r="C768" t="s">
        <v>134</v>
      </c>
      <c r="D768" t="s">
        <v>134</v>
      </c>
    </row>
    <row r="769" spans="1:4" x14ac:dyDescent="0.25">
      <c r="A769" t="s">
        <v>134</v>
      </c>
      <c r="B769" t="s">
        <v>134</v>
      </c>
      <c r="C769" t="s">
        <v>134</v>
      </c>
      <c r="D769" t="s">
        <v>134</v>
      </c>
    </row>
    <row r="770" spans="1:4" x14ac:dyDescent="0.25">
      <c r="A770" t="s">
        <v>134</v>
      </c>
      <c r="B770" t="s">
        <v>134</v>
      </c>
      <c r="C770" t="s">
        <v>134</v>
      </c>
      <c r="D770" t="s">
        <v>134</v>
      </c>
    </row>
    <row r="771" spans="1:4" x14ac:dyDescent="0.25">
      <c r="A771" t="s">
        <v>134</v>
      </c>
      <c r="B771" t="s">
        <v>134</v>
      </c>
      <c r="C771" t="s">
        <v>134</v>
      </c>
      <c r="D771" t="s">
        <v>134</v>
      </c>
    </row>
    <row r="772" spans="1:4" x14ac:dyDescent="0.25">
      <c r="A772" t="s">
        <v>134</v>
      </c>
      <c r="B772" t="s">
        <v>134</v>
      </c>
      <c r="C772" t="s">
        <v>134</v>
      </c>
      <c r="D772" t="s">
        <v>134</v>
      </c>
    </row>
    <row r="773" spans="1:4" x14ac:dyDescent="0.25">
      <c r="A773" t="s">
        <v>134</v>
      </c>
      <c r="B773" t="s">
        <v>134</v>
      </c>
      <c r="C773" t="s">
        <v>134</v>
      </c>
      <c r="D773" t="s">
        <v>134</v>
      </c>
    </row>
    <row r="774" spans="1:4" x14ac:dyDescent="0.25">
      <c r="A774" t="s">
        <v>134</v>
      </c>
      <c r="B774" t="s">
        <v>134</v>
      </c>
      <c r="C774" t="s">
        <v>134</v>
      </c>
      <c r="D774" t="s">
        <v>134</v>
      </c>
    </row>
    <row r="775" spans="1:4" x14ac:dyDescent="0.25">
      <c r="A775" t="s">
        <v>134</v>
      </c>
      <c r="B775" t="s">
        <v>134</v>
      </c>
      <c r="C775" t="s">
        <v>134</v>
      </c>
      <c r="D775" t="s">
        <v>134</v>
      </c>
    </row>
    <row r="776" spans="1:4" x14ac:dyDescent="0.25">
      <c r="A776" t="s">
        <v>134</v>
      </c>
      <c r="B776" t="s">
        <v>134</v>
      </c>
      <c r="C776" t="s">
        <v>134</v>
      </c>
      <c r="D776" t="s">
        <v>134</v>
      </c>
    </row>
    <row r="777" spans="1:4" x14ac:dyDescent="0.25">
      <c r="A777" t="s">
        <v>134</v>
      </c>
      <c r="B777" t="s">
        <v>134</v>
      </c>
      <c r="C777" t="s">
        <v>134</v>
      </c>
      <c r="D777" t="s">
        <v>134</v>
      </c>
    </row>
    <row r="778" spans="1:4" x14ac:dyDescent="0.25">
      <c r="A778" t="s">
        <v>134</v>
      </c>
      <c r="B778" t="s">
        <v>134</v>
      </c>
      <c r="C778" t="s">
        <v>134</v>
      </c>
      <c r="D778" t="s">
        <v>134</v>
      </c>
    </row>
    <row r="779" spans="1:4" x14ac:dyDescent="0.25">
      <c r="A779" t="s">
        <v>134</v>
      </c>
      <c r="B779" t="s">
        <v>134</v>
      </c>
      <c r="C779" t="s">
        <v>134</v>
      </c>
      <c r="D779" t="s">
        <v>134</v>
      </c>
    </row>
    <row r="780" spans="1:4" x14ac:dyDescent="0.25">
      <c r="A780" t="s">
        <v>134</v>
      </c>
      <c r="B780" t="s">
        <v>134</v>
      </c>
      <c r="C780" t="s">
        <v>134</v>
      </c>
      <c r="D780" t="s">
        <v>134</v>
      </c>
    </row>
    <row r="781" spans="1:4" x14ac:dyDescent="0.25">
      <c r="A781" t="s">
        <v>134</v>
      </c>
      <c r="B781" t="s">
        <v>134</v>
      </c>
      <c r="C781" t="s">
        <v>134</v>
      </c>
      <c r="D781" t="s">
        <v>134</v>
      </c>
    </row>
    <row r="782" spans="1:4" x14ac:dyDescent="0.25">
      <c r="A782" t="s">
        <v>134</v>
      </c>
      <c r="B782" t="s">
        <v>134</v>
      </c>
      <c r="C782" t="s">
        <v>134</v>
      </c>
      <c r="D782" t="s">
        <v>134</v>
      </c>
    </row>
    <row r="783" spans="1:4" x14ac:dyDescent="0.25">
      <c r="A783" t="s">
        <v>134</v>
      </c>
      <c r="B783" t="s">
        <v>134</v>
      </c>
      <c r="C783" t="s">
        <v>134</v>
      </c>
      <c r="D783" t="s">
        <v>134</v>
      </c>
    </row>
    <row r="784" spans="1:4" x14ac:dyDescent="0.25">
      <c r="A784" t="s">
        <v>134</v>
      </c>
      <c r="B784" t="s">
        <v>134</v>
      </c>
      <c r="C784" t="s">
        <v>134</v>
      </c>
      <c r="D784" t="s">
        <v>134</v>
      </c>
    </row>
    <row r="785" spans="1:4" x14ac:dyDescent="0.25">
      <c r="A785" t="s">
        <v>134</v>
      </c>
      <c r="B785" t="s">
        <v>134</v>
      </c>
      <c r="C785" t="s">
        <v>134</v>
      </c>
      <c r="D785" t="s">
        <v>134</v>
      </c>
    </row>
    <row r="786" spans="1:4" x14ac:dyDescent="0.25">
      <c r="A786" t="s">
        <v>134</v>
      </c>
      <c r="B786" t="s">
        <v>134</v>
      </c>
      <c r="C786" t="s">
        <v>134</v>
      </c>
      <c r="D786" t="s">
        <v>134</v>
      </c>
    </row>
    <row r="787" spans="1:4" x14ac:dyDescent="0.25">
      <c r="A787" t="s">
        <v>134</v>
      </c>
      <c r="B787" t="s">
        <v>134</v>
      </c>
      <c r="C787" t="s">
        <v>134</v>
      </c>
      <c r="D787" t="s">
        <v>134</v>
      </c>
    </row>
    <row r="788" spans="1:4" x14ac:dyDescent="0.25">
      <c r="A788" t="s">
        <v>134</v>
      </c>
      <c r="B788" t="s">
        <v>134</v>
      </c>
      <c r="C788" t="s">
        <v>134</v>
      </c>
      <c r="D788" t="s">
        <v>134</v>
      </c>
    </row>
    <row r="789" spans="1:4" x14ac:dyDescent="0.25">
      <c r="A789" t="s">
        <v>134</v>
      </c>
      <c r="B789" t="s">
        <v>134</v>
      </c>
      <c r="C789" t="s">
        <v>134</v>
      </c>
      <c r="D789" t="s">
        <v>134</v>
      </c>
    </row>
    <row r="790" spans="1:4" x14ac:dyDescent="0.25">
      <c r="A790" t="s">
        <v>134</v>
      </c>
      <c r="B790" t="s">
        <v>134</v>
      </c>
      <c r="C790" t="s">
        <v>134</v>
      </c>
      <c r="D790" t="s">
        <v>134</v>
      </c>
    </row>
    <row r="791" spans="1:4" x14ac:dyDescent="0.25">
      <c r="A791" t="s">
        <v>134</v>
      </c>
      <c r="B791" t="s">
        <v>134</v>
      </c>
      <c r="C791" t="s">
        <v>134</v>
      </c>
      <c r="D791" t="s">
        <v>134</v>
      </c>
    </row>
    <row r="792" spans="1:4" x14ac:dyDescent="0.25">
      <c r="A792" t="s">
        <v>134</v>
      </c>
      <c r="B792" t="s">
        <v>134</v>
      </c>
      <c r="C792" t="s">
        <v>134</v>
      </c>
      <c r="D792" t="s">
        <v>134</v>
      </c>
    </row>
    <row r="793" spans="1:4" x14ac:dyDescent="0.25">
      <c r="A793" t="s">
        <v>134</v>
      </c>
      <c r="B793" t="s">
        <v>134</v>
      </c>
      <c r="C793" t="s">
        <v>134</v>
      </c>
      <c r="D793" t="s">
        <v>134</v>
      </c>
    </row>
    <row r="794" spans="1:4" x14ac:dyDescent="0.25">
      <c r="A794" t="s">
        <v>134</v>
      </c>
      <c r="B794" t="s">
        <v>134</v>
      </c>
      <c r="C794" t="s">
        <v>134</v>
      </c>
      <c r="D794" t="s">
        <v>134</v>
      </c>
    </row>
    <row r="795" spans="1:4" x14ac:dyDescent="0.25">
      <c r="A795" t="s">
        <v>134</v>
      </c>
      <c r="B795" t="s">
        <v>134</v>
      </c>
      <c r="C795" t="s">
        <v>134</v>
      </c>
      <c r="D795" t="s">
        <v>134</v>
      </c>
    </row>
    <row r="796" spans="1:4" x14ac:dyDescent="0.25">
      <c r="A796" t="s">
        <v>134</v>
      </c>
      <c r="B796" t="s">
        <v>134</v>
      </c>
      <c r="C796" t="s">
        <v>134</v>
      </c>
      <c r="D796" t="s">
        <v>134</v>
      </c>
    </row>
    <row r="797" spans="1:4" x14ac:dyDescent="0.25">
      <c r="A797" t="s">
        <v>134</v>
      </c>
      <c r="B797" t="s">
        <v>134</v>
      </c>
      <c r="C797" t="s">
        <v>134</v>
      </c>
      <c r="D797" t="s">
        <v>134</v>
      </c>
    </row>
    <row r="798" spans="1:4" x14ac:dyDescent="0.25">
      <c r="A798" t="s">
        <v>134</v>
      </c>
      <c r="B798" t="s">
        <v>134</v>
      </c>
      <c r="C798" t="s">
        <v>134</v>
      </c>
      <c r="D798" t="s">
        <v>134</v>
      </c>
    </row>
    <row r="799" spans="1:4" x14ac:dyDescent="0.25">
      <c r="A799" t="s">
        <v>134</v>
      </c>
      <c r="B799" t="s">
        <v>134</v>
      </c>
      <c r="C799" t="s">
        <v>134</v>
      </c>
      <c r="D799" t="s">
        <v>134</v>
      </c>
    </row>
    <row r="800" spans="1:4" x14ac:dyDescent="0.25">
      <c r="A800" t="s">
        <v>134</v>
      </c>
      <c r="B800" t="s">
        <v>134</v>
      </c>
      <c r="C800" t="s">
        <v>134</v>
      </c>
      <c r="D800" t="s">
        <v>134</v>
      </c>
    </row>
    <row r="801" spans="1:4" x14ac:dyDescent="0.25">
      <c r="A801" t="s">
        <v>134</v>
      </c>
      <c r="B801" t="s">
        <v>134</v>
      </c>
      <c r="C801" t="s">
        <v>134</v>
      </c>
      <c r="D801" t="s">
        <v>134</v>
      </c>
    </row>
    <row r="802" spans="1:4" x14ac:dyDescent="0.25">
      <c r="A802" t="s">
        <v>134</v>
      </c>
      <c r="B802" t="s">
        <v>134</v>
      </c>
      <c r="C802" t="s">
        <v>134</v>
      </c>
      <c r="D802" t="s">
        <v>134</v>
      </c>
    </row>
    <row r="803" spans="1:4" x14ac:dyDescent="0.25">
      <c r="A803" t="s">
        <v>134</v>
      </c>
      <c r="B803" t="s">
        <v>134</v>
      </c>
      <c r="C803" t="s">
        <v>134</v>
      </c>
      <c r="D803" t="s">
        <v>134</v>
      </c>
    </row>
    <row r="804" spans="1:4" x14ac:dyDescent="0.25">
      <c r="A804" t="s">
        <v>134</v>
      </c>
      <c r="B804" t="s">
        <v>134</v>
      </c>
      <c r="C804" t="s">
        <v>134</v>
      </c>
      <c r="D804" t="s">
        <v>134</v>
      </c>
    </row>
    <row r="805" spans="1:4" x14ac:dyDescent="0.25">
      <c r="A805" t="s">
        <v>134</v>
      </c>
      <c r="B805" t="s">
        <v>134</v>
      </c>
      <c r="C805" t="s">
        <v>134</v>
      </c>
      <c r="D805" t="s">
        <v>134</v>
      </c>
    </row>
    <row r="806" spans="1:4" x14ac:dyDescent="0.25">
      <c r="A806" t="s">
        <v>134</v>
      </c>
      <c r="B806" t="s">
        <v>134</v>
      </c>
      <c r="C806" t="s">
        <v>134</v>
      </c>
      <c r="D806" t="s">
        <v>134</v>
      </c>
    </row>
    <row r="807" spans="1:4" x14ac:dyDescent="0.25">
      <c r="A807" t="s">
        <v>134</v>
      </c>
      <c r="B807" t="s">
        <v>134</v>
      </c>
      <c r="C807" t="s">
        <v>134</v>
      </c>
      <c r="D807" t="s">
        <v>134</v>
      </c>
    </row>
    <row r="808" spans="1:4" x14ac:dyDescent="0.25">
      <c r="A808" t="s">
        <v>134</v>
      </c>
      <c r="B808" t="s">
        <v>134</v>
      </c>
      <c r="C808" t="s">
        <v>134</v>
      </c>
      <c r="D808" t="s">
        <v>134</v>
      </c>
    </row>
    <row r="809" spans="1:4" x14ac:dyDescent="0.25">
      <c r="A809" t="s">
        <v>134</v>
      </c>
      <c r="B809" t="s">
        <v>134</v>
      </c>
      <c r="C809" t="s">
        <v>134</v>
      </c>
      <c r="D809" t="s">
        <v>134</v>
      </c>
    </row>
    <row r="810" spans="1:4" x14ac:dyDescent="0.25">
      <c r="A810" t="s">
        <v>134</v>
      </c>
      <c r="B810" t="s">
        <v>134</v>
      </c>
      <c r="C810" t="s">
        <v>134</v>
      </c>
      <c r="D810" t="s">
        <v>134</v>
      </c>
    </row>
    <row r="811" spans="1:4" x14ac:dyDescent="0.25">
      <c r="A811" t="s">
        <v>134</v>
      </c>
      <c r="B811" t="s">
        <v>134</v>
      </c>
      <c r="C811" t="s">
        <v>134</v>
      </c>
      <c r="D811" t="s">
        <v>134</v>
      </c>
    </row>
    <row r="812" spans="1:4" x14ac:dyDescent="0.25">
      <c r="A812" t="s">
        <v>134</v>
      </c>
      <c r="B812" t="s">
        <v>134</v>
      </c>
      <c r="C812" t="s">
        <v>134</v>
      </c>
      <c r="D812" t="s">
        <v>134</v>
      </c>
    </row>
    <row r="813" spans="1:4" x14ac:dyDescent="0.25">
      <c r="A813" t="s">
        <v>134</v>
      </c>
      <c r="B813" t="s">
        <v>134</v>
      </c>
      <c r="C813" t="s">
        <v>134</v>
      </c>
      <c r="D813" t="s">
        <v>134</v>
      </c>
    </row>
    <row r="814" spans="1:4" x14ac:dyDescent="0.25">
      <c r="A814" t="s">
        <v>134</v>
      </c>
      <c r="B814" t="s">
        <v>134</v>
      </c>
      <c r="C814" t="s">
        <v>134</v>
      </c>
      <c r="D814" t="s">
        <v>134</v>
      </c>
    </row>
    <row r="815" spans="1:4" x14ac:dyDescent="0.25">
      <c r="A815" t="s">
        <v>134</v>
      </c>
      <c r="B815" t="s">
        <v>134</v>
      </c>
      <c r="C815" t="s">
        <v>134</v>
      </c>
      <c r="D815" t="s">
        <v>134</v>
      </c>
    </row>
    <row r="816" spans="1:4" x14ac:dyDescent="0.25">
      <c r="A816" t="s">
        <v>134</v>
      </c>
      <c r="B816" t="s">
        <v>134</v>
      </c>
      <c r="C816" t="s">
        <v>134</v>
      </c>
      <c r="D816" t="s">
        <v>134</v>
      </c>
    </row>
    <row r="817" spans="1:4" x14ac:dyDescent="0.25">
      <c r="A817" t="s">
        <v>134</v>
      </c>
      <c r="B817" t="s">
        <v>134</v>
      </c>
      <c r="C817" t="s">
        <v>134</v>
      </c>
      <c r="D817" t="s">
        <v>134</v>
      </c>
    </row>
    <row r="818" spans="1:4" x14ac:dyDescent="0.25">
      <c r="A818" t="s">
        <v>134</v>
      </c>
      <c r="B818" t="s">
        <v>134</v>
      </c>
      <c r="C818" t="s">
        <v>134</v>
      </c>
      <c r="D818" t="s">
        <v>134</v>
      </c>
    </row>
    <row r="819" spans="1:4" x14ac:dyDescent="0.25">
      <c r="A819" t="s">
        <v>134</v>
      </c>
      <c r="B819" t="s">
        <v>134</v>
      </c>
      <c r="C819" t="s">
        <v>134</v>
      </c>
      <c r="D819" t="s">
        <v>134</v>
      </c>
    </row>
    <row r="820" spans="1:4" x14ac:dyDescent="0.25">
      <c r="A820" t="s">
        <v>134</v>
      </c>
      <c r="B820" t="s">
        <v>134</v>
      </c>
      <c r="C820" t="s">
        <v>134</v>
      </c>
      <c r="D820" t="s">
        <v>134</v>
      </c>
    </row>
    <row r="821" spans="1:4" x14ac:dyDescent="0.25">
      <c r="A821" t="s">
        <v>134</v>
      </c>
      <c r="B821" t="s">
        <v>134</v>
      </c>
      <c r="C821" t="s">
        <v>134</v>
      </c>
      <c r="D821" t="s">
        <v>134</v>
      </c>
    </row>
    <row r="822" spans="1:4" x14ac:dyDescent="0.25">
      <c r="A822" t="s">
        <v>134</v>
      </c>
      <c r="B822" t="s">
        <v>134</v>
      </c>
      <c r="C822" t="s">
        <v>134</v>
      </c>
      <c r="D822" t="s">
        <v>134</v>
      </c>
    </row>
    <row r="823" spans="1:4" x14ac:dyDescent="0.25">
      <c r="A823" t="s">
        <v>134</v>
      </c>
      <c r="B823" t="s">
        <v>134</v>
      </c>
      <c r="C823" t="s">
        <v>134</v>
      </c>
      <c r="D823" t="s">
        <v>134</v>
      </c>
    </row>
    <row r="824" spans="1:4" x14ac:dyDescent="0.25">
      <c r="A824" t="s">
        <v>134</v>
      </c>
      <c r="B824" t="s">
        <v>134</v>
      </c>
      <c r="C824" t="s">
        <v>134</v>
      </c>
      <c r="D824" t="s">
        <v>134</v>
      </c>
    </row>
    <row r="825" spans="1:4" x14ac:dyDescent="0.25">
      <c r="A825" t="s">
        <v>134</v>
      </c>
      <c r="B825" t="s">
        <v>134</v>
      </c>
      <c r="C825" t="s">
        <v>134</v>
      </c>
      <c r="D825" t="s">
        <v>134</v>
      </c>
    </row>
    <row r="826" spans="1:4" x14ac:dyDescent="0.25">
      <c r="A826" t="s">
        <v>134</v>
      </c>
      <c r="B826" t="s">
        <v>134</v>
      </c>
      <c r="C826" t="s">
        <v>134</v>
      </c>
      <c r="D826" t="s">
        <v>134</v>
      </c>
    </row>
    <row r="827" spans="1:4" x14ac:dyDescent="0.25">
      <c r="A827" t="s">
        <v>134</v>
      </c>
      <c r="B827" t="s">
        <v>134</v>
      </c>
      <c r="C827" t="s">
        <v>134</v>
      </c>
      <c r="D827" t="s">
        <v>134</v>
      </c>
    </row>
    <row r="828" spans="1:4" x14ac:dyDescent="0.25">
      <c r="A828" t="s">
        <v>134</v>
      </c>
      <c r="B828" t="s">
        <v>134</v>
      </c>
      <c r="C828" t="s">
        <v>134</v>
      </c>
      <c r="D828" t="s">
        <v>134</v>
      </c>
    </row>
    <row r="829" spans="1:4" x14ac:dyDescent="0.25">
      <c r="A829" t="s">
        <v>134</v>
      </c>
      <c r="B829" t="s">
        <v>134</v>
      </c>
      <c r="C829" t="s">
        <v>134</v>
      </c>
      <c r="D829" t="s">
        <v>134</v>
      </c>
    </row>
    <row r="830" spans="1:4" x14ac:dyDescent="0.25">
      <c r="A830" t="s">
        <v>134</v>
      </c>
      <c r="B830" t="s">
        <v>134</v>
      </c>
      <c r="C830" t="s">
        <v>134</v>
      </c>
      <c r="D830" t="s">
        <v>134</v>
      </c>
    </row>
    <row r="831" spans="1:4" x14ac:dyDescent="0.25">
      <c r="A831" t="s">
        <v>134</v>
      </c>
      <c r="B831" t="s">
        <v>134</v>
      </c>
      <c r="C831" t="s">
        <v>134</v>
      </c>
      <c r="D831" t="s">
        <v>134</v>
      </c>
    </row>
    <row r="832" spans="1:4" x14ac:dyDescent="0.25">
      <c r="A832" t="s">
        <v>134</v>
      </c>
      <c r="B832" t="s">
        <v>134</v>
      </c>
      <c r="C832" t="s">
        <v>134</v>
      </c>
      <c r="D832" t="s">
        <v>134</v>
      </c>
    </row>
    <row r="833" spans="1:4" x14ac:dyDescent="0.25">
      <c r="A833" t="s">
        <v>134</v>
      </c>
      <c r="B833" t="s">
        <v>134</v>
      </c>
      <c r="C833" t="s">
        <v>134</v>
      </c>
      <c r="D833" t="s">
        <v>134</v>
      </c>
    </row>
    <row r="834" spans="1:4" x14ac:dyDescent="0.25">
      <c r="A834" t="s">
        <v>134</v>
      </c>
      <c r="B834" t="s">
        <v>134</v>
      </c>
      <c r="C834" t="s">
        <v>134</v>
      </c>
      <c r="D834" t="s">
        <v>134</v>
      </c>
    </row>
    <row r="835" spans="1:4" x14ac:dyDescent="0.25">
      <c r="A835" t="s">
        <v>134</v>
      </c>
      <c r="B835" t="s">
        <v>134</v>
      </c>
      <c r="C835" t="s">
        <v>134</v>
      </c>
      <c r="D835" t="s">
        <v>134</v>
      </c>
    </row>
    <row r="836" spans="1:4" x14ac:dyDescent="0.25">
      <c r="A836" t="s">
        <v>134</v>
      </c>
      <c r="B836" t="s">
        <v>134</v>
      </c>
      <c r="C836" t="s">
        <v>134</v>
      </c>
      <c r="D836" t="s">
        <v>134</v>
      </c>
    </row>
    <row r="837" spans="1:4" x14ac:dyDescent="0.25">
      <c r="A837" t="s">
        <v>134</v>
      </c>
      <c r="B837" t="s">
        <v>134</v>
      </c>
      <c r="C837" t="s">
        <v>134</v>
      </c>
      <c r="D837" t="s">
        <v>134</v>
      </c>
    </row>
    <row r="838" spans="1:4" x14ac:dyDescent="0.25">
      <c r="A838" t="s">
        <v>134</v>
      </c>
      <c r="B838" t="s">
        <v>134</v>
      </c>
      <c r="C838" t="s">
        <v>134</v>
      </c>
      <c r="D838" t="s">
        <v>134</v>
      </c>
    </row>
    <row r="839" spans="1:4" x14ac:dyDescent="0.25">
      <c r="A839" t="s">
        <v>134</v>
      </c>
      <c r="B839" t="s">
        <v>134</v>
      </c>
      <c r="C839" t="s">
        <v>134</v>
      </c>
      <c r="D839" t="s">
        <v>134</v>
      </c>
    </row>
    <row r="840" spans="1:4" x14ac:dyDescent="0.25">
      <c r="A840" t="s">
        <v>134</v>
      </c>
      <c r="B840" t="s">
        <v>134</v>
      </c>
      <c r="C840" t="s">
        <v>134</v>
      </c>
      <c r="D840" t="s">
        <v>134</v>
      </c>
    </row>
    <row r="841" spans="1:4" x14ac:dyDescent="0.25">
      <c r="A841" t="s">
        <v>134</v>
      </c>
      <c r="B841" t="s">
        <v>134</v>
      </c>
      <c r="C841" t="s">
        <v>134</v>
      </c>
      <c r="D841" t="s">
        <v>134</v>
      </c>
    </row>
    <row r="842" spans="1:4" x14ac:dyDescent="0.25">
      <c r="A842" t="s">
        <v>134</v>
      </c>
      <c r="B842" t="s">
        <v>134</v>
      </c>
      <c r="C842" t="s">
        <v>134</v>
      </c>
      <c r="D842" t="s">
        <v>134</v>
      </c>
    </row>
    <row r="843" spans="1:4" x14ac:dyDescent="0.25">
      <c r="A843" t="s">
        <v>134</v>
      </c>
      <c r="B843" t="s">
        <v>134</v>
      </c>
      <c r="C843" t="s">
        <v>134</v>
      </c>
      <c r="D843" t="s">
        <v>134</v>
      </c>
    </row>
    <row r="844" spans="1:4" x14ac:dyDescent="0.25">
      <c r="A844" t="s">
        <v>134</v>
      </c>
      <c r="B844" t="s">
        <v>134</v>
      </c>
      <c r="C844" t="s">
        <v>134</v>
      </c>
      <c r="D844" t="s">
        <v>134</v>
      </c>
    </row>
    <row r="845" spans="1:4" x14ac:dyDescent="0.25">
      <c r="A845" t="s">
        <v>134</v>
      </c>
      <c r="B845" t="s">
        <v>134</v>
      </c>
      <c r="C845" t="s">
        <v>134</v>
      </c>
      <c r="D845" t="s">
        <v>134</v>
      </c>
    </row>
    <row r="846" spans="1:4" x14ac:dyDescent="0.25">
      <c r="A846" t="s">
        <v>134</v>
      </c>
      <c r="B846" t="s">
        <v>134</v>
      </c>
      <c r="C846" t="s">
        <v>134</v>
      </c>
      <c r="D846" t="s">
        <v>134</v>
      </c>
    </row>
    <row r="847" spans="1:4" x14ac:dyDescent="0.25">
      <c r="A847" t="s">
        <v>134</v>
      </c>
      <c r="B847" t="s">
        <v>134</v>
      </c>
      <c r="C847" t="s">
        <v>134</v>
      </c>
      <c r="D847" t="s">
        <v>134</v>
      </c>
    </row>
    <row r="848" spans="1:4" x14ac:dyDescent="0.25">
      <c r="A848" t="s">
        <v>134</v>
      </c>
      <c r="B848" t="s">
        <v>134</v>
      </c>
      <c r="C848" t="s">
        <v>134</v>
      </c>
      <c r="D848" t="s">
        <v>134</v>
      </c>
    </row>
    <row r="849" spans="1:4" x14ac:dyDescent="0.25">
      <c r="A849" t="s">
        <v>134</v>
      </c>
      <c r="B849" t="s">
        <v>134</v>
      </c>
      <c r="C849" t="s">
        <v>134</v>
      </c>
      <c r="D849" t="s">
        <v>134</v>
      </c>
    </row>
    <row r="850" spans="1:4" x14ac:dyDescent="0.25">
      <c r="A850" t="s">
        <v>134</v>
      </c>
      <c r="B850" t="s">
        <v>134</v>
      </c>
      <c r="C850" t="s">
        <v>134</v>
      </c>
      <c r="D850" t="s">
        <v>134</v>
      </c>
    </row>
    <row r="851" spans="1:4" x14ac:dyDescent="0.25">
      <c r="A851" t="s">
        <v>134</v>
      </c>
      <c r="B851" t="s">
        <v>134</v>
      </c>
      <c r="C851" t="s">
        <v>134</v>
      </c>
      <c r="D851" t="s">
        <v>134</v>
      </c>
    </row>
    <row r="852" spans="1:4" x14ac:dyDescent="0.25">
      <c r="A852" t="s">
        <v>134</v>
      </c>
      <c r="B852" t="s">
        <v>134</v>
      </c>
      <c r="C852" t="s">
        <v>134</v>
      </c>
      <c r="D852" t="s">
        <v>134</v>
      </c>
    </row>
    <row r="853" spans="1:4" x14ac:dyDescent="0.25">
      <c r="A853" t="s">
        <v>134</v>
      </c>
      <c r="B853" t="s">
        <v>134</v>
      </c>
      <c r="C853" t="s">
        <v>134</v>
      </c>
      <c r="D853" t="s">
        <v>134</v>
      </c>
    </row>
    <row r="854" spans="1:4" x14ac:dyDescent="0.25">
      <c r="A854" t="s">
        <v>134</v>
      </c>
      <c r="B854" t="s">
        <v>134</v>
      </c>
      <c r="C854" t="s">
        <v>134</v>
      </c>
      <c r="D854" t="s">
        <v>134</v>
      </c>
    </row>
    <row r="855" spans="1:4" x14ac:dyDescent="0.25">
      <c r="A855" t="s">
        <v>134</v>
      </c>
      <c r="B855" t="s">
        <v>134</v>
      </c>
      <c r="C855" t="s">
        <v>134</v>
      </c>
      <c r="D855" t="s">
        <v>134</v>
      </c>
    </row>
    <row r="856" spans="1:4" x14ac:dyDescent="0.25">
      <c r="A856" t="s">
        <v>134</v>
      </c>
      <c r="B856" t="s">
        <v>134</v>
      </c>
      <c r="C856" t="s">
        <v>134</v>
      </c>
      <c r="D856" t="s">
        <v>134</v>
      </c>
    </row>
    <row r="857" spans="1:4" x14ac:dyDescent="0.25">
      <c r="A857" t="s">
        <v>134</v>
      </c>
      <c r="B857" t="s">
        <v>134</v>
      </c>
      <c r="C857" t="s">
        <v>134</v>
      </c>
      <c r="D857" t="s">
        <v>134</v>
      </c>
    </row>
    <row r="858" spans="1:4" x14ac:dyDescent="0.25">
      <c r="A858" t="s">
        <v>134</v>
      </c>
      <c r="B858" t="s">
        <v>134</v>
      </c>
      <c r="C858" t="s">
        <v>134</v>
      </c>
      <c r="D858" t="s">
        <v>134</v>
      </c>
    </row>
    <row r="859" spans="1:4" x14ac:dyDescent="0.25">
      <c r="A859" t="s">
        <v>134</v>
      </c>
      <c r="B859" t="s">
        <v>134</v>
      </c>
      <c r="C859" t="s">
        <v>134</v>
      </c>
      <c r="D859" t="s">
        <v>134</v>
      </c>
    </row>
    <row r="860" spans="1:4" x14ac:dyDescent="0.25">
      <c r="A860" t="s">
        <v>134</v>
      </c>
      <c r="B860" t="s">
        <v>134</v>
      </c>
      <c r="C860" t="s">
        <v>134</v>
      </c>
      <c r="D860" t="s">
        <v>134</v>
      </c>
    </row>
    <row r="861" spans="1:4" x14ac:dyDescent="0.25">
      <c r="A861" t="s">
        <v>134</v>
      </c>
      <c r="B861" t="s">
        <v>134</v>
      </c>
      <c r="C861" t="s">
        <v>134</v>
      </c>
      <c r="D861" t="s">
        <v>134</v>
      </c>
    </row>
    <row r="862" spans="1:4" x14ac:dyDescent="0.25">
      <c r="A862" t="s">
        <v>134</v>
      </c>
      <c r="B862" t="s">
        <v>134</v>
      </c>
      <c r="C862" t="s">
        <v>134</v>
      </c>
      <c r="D862" t="s">
        <v>134</v>
      </c>
    </row>
    <row r="863" spans="1:4" x14ac:dyDescent="0.25">
      <c r="A863" t="s">
        <v>134</v>
      </c>
      <c r="B863" t="s">
        <v>134</v>
      </c>
      <c r="C863" t="s">
        <v>134</v>
      </c>
      <c r="D863" t="s">
        <v>134</v>
      </c>
    </row>
    <row r="864" spans="1:4" x14ac:dyDescent="0.25">
      <c r="A864" t="s">
        <v>134</v>
      </c>
      <c r="B864" t="s">
        <v>134</v>
      </c>
      <c r="C864" t="s">
        <v>134</v>
      </c>
      <c r="D864" t="s">
        <v>134</v>
      </c>
    </row>
    <row r="865" spans="1:4" x14ac:dyDescent="0.25">
      <c r="A865" t="s">
        <v>134</v>
      </c>
      <c r="B865" t="s">
        <v>134</v>
      </c>
      <c r="C865" t="s">
        <v>134</v>
      </c>
      <c r="D865" t="s">
        <v>134</v>
      </c>
    </row>
    <row r="866" spans="1:4" x14ac:dyDescent="0.25">
      <c r="A866" t="s">
        <v>134</v>
      </c>
      <c r="B866" t="s">
        <v>134</v>
      </c>
      <c r="C866" t="s">
        <v>134</v>
      </c>
      <c r="D866" t="s">
        <v>134</v>
      </c>
    </row>
    <row r="867" spans="1:4" x14ac:dyDescent="0.25">
      <c r="A867" t="s">
        <v>134</v>
      </c>
      <c r="B867" t="s">
        <v>134</v>
      </c>
      <c r="C867" t="s">
        <v>134</v>
      </c>
      <c r="D867" t="s">
        <v>134</v>
      </c>
    </row>
    <row r="868" spans="1:4" x14ac:dyDescent="0.25">
      <c r="A868" t="s">
        <v>134</v>
      </c>
      <c r="B868" t="s">
        <v>134</v>
      </c>
      <c r="C868" t="s">
        <v>134</v>
      </c>
      <c r="D868" t="s">
        <v>134</v>
      </c>
    </row>
    <row r="869" spans="1:4" x14ac:dyDescent="0.25">
      <c r="A869" t="s">
        <v>134</v>
      </c>
      <c r="B869" t="s">
        <v>134</v>
      </c>
      <c r="C869" t="s">
        <v>134</v>
      </c>
      <c r="D869" t="s">
        <v>134</v>
      </c>
    </row>
    <row r="870" spans="1:4" x14ac:dyDescent="0.25">
      <c r="A870" t="s">
        <v>134</v>
      </c>
      <c r="B870" t="s">
        <v>134</v>
      </c>
      <c r="C870" t="s">
        <v>134</v>
      </c>
      <c r="D870" t="s">
        <v>134</v>
      </c>
    </row>
    <row r="871" spans="1:4" x14ac:dyDescent="0.25">
      <c r="A871" t="s">
        <v>134</v>
      </c>
      <c r="B871" t="s">
        <v>134</v>
      </c>
      <c r="C871" t="s">
        <v>134</v>
      </c>
      <c r="D871" t="s">
        <v>134</v>
      </c>
    </row>
    <row r="872" spans="1:4" x14ac:dyDescent="0.25">
      <c r="A872" t="s">
        <v>134</v>
      </c>
      <c r="B872" t="s">
        <v>134</v>
      </c>
      <c r="C872" t="s">
        <v>134</v>
      </c>
      <c r="D872" t="s">
        <v>134</v>
      </c>
    </row>
    <row r="873" spans="1:4" x14ac:dyDescent="0.25">
      <c r="A873" t="s">
        <v>134</v>
      </c>
      <c r="B873" t="s">
        <v>134</v>
      </c>
      <c r="C873" t="s">
        <v>134</v>
      </c>
      <c r="D873" t="s">
        <v>134</v>
      </c>
    </row>
    <row r="874" spans="1:4" x14ac:dyDescent="0.25">
      <c r="A874" t="s">
        <v>134</v>
      </c>
      <c r="B874" t="s">
        <v>134</v>
      </c>
      <c r="C874" t="s">
        <v>134</v>
      </c>
      <c r="D874" t="s">
        <v>134</v>
      </c>
    </row>
    <row r="875" spans="1:4" x14ac:dyDescent="0.25">
      <c r="A875" t="s">
        <v>134</v>
      </c>
      <c r="B875" t="s">
        <v>134</v>
      </c>
      <c r="C875" t="s">
        <v>134</v>
      </c>
      <c r="D875" t="s">
        <v>134</v>
      </c>
    </row>
    <row r="876" spans="1:4" x14ac:dyDescent="0.25">
      <c r="A876" t="s">
        <v>134</v>
      </c>
      <c r="B876" t="s">
        <v>134</v>
      </c>
      <c r="C876" t="s">
        <v>134</v>
      </c>
      <c r="D876" t="s">
        <v>134</v>
      </c>
    </row>
    <row r="877" spans="1:4" x14ac:dyDescent="0.25">
      <c r="A877" t="s">
        <v>134</v>
      </c>
      <c r="B877" t="s">
        <v>134</v>
      </c>
      <c r="C877" t="s">
        <v>134</v>
      </c>
      <c r="D877" t="s">
        <v>134</v>
      </c>
    </row>
    <row r="878" spans="1:4" x14ac:dyDescent="0.25">
      <c r="A878" t="s">
        <v>134</v>
      </c>
      <c r="B878" t="s">
        <v>134</v>
      </c>
      <c r="C878" t="s">
        <v>134</v>
      </c>
      <c r="D878" t="s">
        <v>134</v>
      </c>
    </row>
    <row r="879" spans="1:4" x14ac:dyDescent="0.25">
      <c r="A879" t="s">
        <v>134</v>
      </c>
      <c r="B879" t="s">
        <v>134</v>
      </c>
      <c r="C879" t="s">
        <v>134</v>
      </c>
      <c r="D879" t="s">
        <v>134</v>
      </c>
    </row>
    <row r="880" spans="1:4" x14ac:dyDescent="0.25">
      <c r="A880" t="s">
        <v>134</v>
      </c>
      <c r="B880" t="s">
        <v>134</v>
      </c>
      <c r="C880" t="s">
        <v>134</v>
      </c>
      <c r="D880" t="s">
        <v>134</v>
      </c>
    </row>
    <row r="881" spans="1:4" x14ac:dyDescent="0.25">
      <c r="A881" t="s">
        <v>134</v>
      </c>
      <c r="B881" t="s">
        <v>134</v>
      </c>
      <c r="C881" t="s">
        <v>134</v>
      </c>
      <c r="D881" t="s">
        <v>134</v>
      </c>
    </row>
    <row r="882" spans="1:4" x14ac:dyDescent="0.25">
      <c r="A882" t="s">
        <v>134</v>
      </c>
      <c r="B882" t="s">
        <v>134</v>
      </c>
      <c r="C882" t="s">
        <v>134</v>
      </c>
      <c r="D882" t="s">
        <v>134</v>
      </c>
    </row>
    <row r="883" spans="1:4" x14ac:dyDescent="0.25">
      <c r="A883" t="s">
        <v>134</v>
      </c>
      <c r="B883" t="s">
        <v>134</v>
      </c>
      <c r="C883" t="s">
        <v>134</v>
      </c>
      <c r="D883" t="s">
        <v>134</v>
      </c>
    </row>
    <row r="884" spans="1:4" x14ac:dyDescent="0.25">
      <c r="A884" t="s">
        <v>134</v>
      </c>
      <c r="B884" t="s">
        <v>134</v>
      </c>
      <c r="C884" t="s">
        <v>134</v>
      </c>
      <c r="D884" t="s">
        <v>134</v>
      </c>
    </row>
    <row r="885" spans="1:4" x14ac:dyDescent="0.25">
      <c r="A885" t="s">
        <v>134</v>
      </c>
      <c r="B885" t="s">
        <v>134</v>
      </c>
      <c r="C885" t="s">
        <v>134</v>
      </c>
      <c r="D885" t="s">
        <v>134</v>
      </c>
    </row>
    <row r="886" spans="1:4" x14ac:dyDescent="0.25">
      <c r="A886" t="s">
        <v>134</v>
      </c>
      <c r="B886" t="s">
        <v>134</v>
      </c>
      <c r="C886" t="s">
        <v>134</v>
      </c>
      <c r="D886" t="s">
        <v>134</v>
      </c>
    </row>
    <row r="887" spans="1:4" x14ac:dyDescent="0.25">
      <c r="A887" t="s">
        <v>134</v>
      </c>
      <c r="B887" t="s">
        <v>134</v>
      </c>
      <c r="C887" t="s">
        <v>134</v>
      </c>
      <c r="D887" t="s">
        <v>134</v>
      </c>
    </row>
    <row r="888" spans="1:4" x14ac:dyDescent="0.25">
      <c r="A888" t="s">
        <v>134</v>
      </c>
      <c r="B888" t="s">
        <v>134</v>
      </c>
      <c r="C888" t="s">
        <v>134</v>
      </c>
      <c r="D888" t="s">
        <v>134</v>
      </c>
    </row>
    <row r="889" spans="1:4" x14ac:dyDescent="0.25">
      <c r="A889" t="s">
        <v>134</v>
      </c>
      <c r="B889" t="s">
        <v>134</v>
      </c>
      <c r="C889" t="s">
        <v>134</v>
      </c>
      <c r="D889" t="s">
        <v>134</v>
      </c>
    </row>
    <row r="890" spans="1:4" x14ac:dyDescent="0.25">
      <c r="A890" t="s">
        <v>134</v>
      </c>
      <c r="B890" t="s">
        <v>134</v>
      </c>
      <c r="C890" t="s">
        <v>134</v>
      </c>
      <c r="D890" t="s">
        <v>134</v>
      </c>
    </row>
    <row r="891" spans="1:4" x14ac:dyDescent="0.25">
      <c r="A891" t="s">
        <v>134</v>
      </c>
      <c r="B891" t="s">
        <v>134</v>
      </c>
      <c r="C891" t="s">
        <v>134</v>
      </c>
      <c r="D891" t="s">
        <v>134</v>
      </c>
    </row>
    <row r="892" spans="1:4" x14ac:dyDescent="0.25">
      <c r="A892" t="s">
        <v>134</v>
      </c>
      <c r="B892" t="s">
        <v>134</v>
      </c>
      <c r="C892" t="s">
        <v>134</v>
      </c>
      <c r="D892" t="s">
        <v>134</v>
      </c>
    </row>
    <row r="893" spans="1:4" x14ac:dyDescent="0.25">
      <c r="A893" t="s">
        <v>134</v>
      </c>
      <c r="B893" t="s">
        <v>134</v>
      </c>
      <c r="C893" t="s">
        <v>134</v>
      </c>
      <c r="D893" t="s">
        <v>134</v>
      </c>
    </row>
    <row r="894" spans="1:4" x14ac:dyDescent="0.25">
      <c r="A894" t="s">
        <v>134</v>
      </c>
      <c r="B894" t="s">
        <v>134</v>
      </c>
      <c r="C894" t="s">
        <v>134</v>
      </c>
      <c r="D894" t="s">
        <v>134</v>
      </c>
    </row>
    <row r="895" spans="1:4" x14ac:dyDescent="0.25">
      <c r="A895" t="s">
        <v>134</v>
      </c>
      <c r="B895" t="s">
        <v>134</v>
      </c>
      <c r="C895" t="s">
        <v>134</v>
      </c>
      <c r="D895" t="s">
        <v>134</v>
      </c>
    </row>
    <row r="896" spans="1:4" x14ac:dyDescent="0.25">
      <c r="A896" t="s">
        <v>134</v>
      </c>
      <c r="B896" t="s">
        <v>134</v>
      </c>
      <c r="C896" t="s">
        <v>134</v>
      </c>
      <c r="D896" t="s">
        <v>134</v>
      </c>
    </row>
    <row r="897" spans="1:4" x14ac:dyDescent="0.25">
      <c r="A897" t="s">
        <v>134</v>
      </c>
      <c r="B897" t="s">
        <v>134</v>
      </c>
      <c r="C897" t="s">
        <v>134</v>
      </c>
      <c r="D897" t="s">
        <v>134</v>
      </c>
    </row>
    <row r="898" spans="1:4" x14ac:dyDescent="0.25">
      <c r="A898" t="s">
        <v>134</v>
      </c>
      <c r="B898" t="s">
        <v>134</v>
      </c>
      <c r="C898" t="s">
        <v>134</v>
      </c>
      <c r="D898" t="s">
        <v>134</v>
      </c>
    </row>
    <row r="899" spans="1:4" x14ac:dyDescent="0.25">
      <c r="A899" t="s">
        <v>134</v>
      </c>
      <c r="B899" t="s">
        <v>134</v>
      </c>
      <c r="C899" t="s">
        <v>134</v>
      </c>
      <c r="D899" t="s">
        <v>134</v>
      </c>
    </row>
    <row r="900" spans="1:4" x14ac:dyDescent="0.25">
      <c r="A900" t="s">
        <v>134</v>
      </c>
      <c r="B900" t="s">
        <v>134</v>
      </c>
      <c r="C900" t="s">
        <v>134</v>
      </c>
      <c r="D900" t="s">
        <v>134</v>
      </c>
    </row>
    <row r="901" spans="1:4" x14ac:dyDescent="0.25">
      <c r="A901" t="s">
        <v>134</v>
      </c>
      <c r="B901" t="s">
        <v>134</v>
      </c>
      <c r="C901" t="s">
        <v>134</v>
      </c>
      <c r="D901" t="s">
        <v>134</v>
      </c>
    </row>
    <row r="902" spans="1:4" x14ac:dyDescent="0.25">
      <c r="A902" t="s">
        <v>134</v>
      </c>
      <c r="B902" t="s">
        <v>134</v>
      </c>
      <c r="C902" t="s">
        <v>134</v>
      </c>
      <c r="D902" t="s">
        <v>134</v>
      </c>
    </row>
    <row r="903" spans="1:4" x14ac:dyDescent="0.25">
      <c r="A903" t="s">
        <v>134</v>
      </c>
      <c r="B903" t="s">
        <v>134</v>
      </c>
      <c r="C903" t="s">
        <v>134</v>
      </c>
      <c r="D903" t="s">
        <v>134</v>
      </c>
    </row>
    <row r="904" spans="1:4" x14ac:dyDescent="0.25">
      <c r="A904" t="s">
        <v>134</v>
      </c>
      <c r="B904" t="s">
        <v>134</v>
      </c>
      <c r="C904" t="s">
        <v>134</v>
      </c>
      <c r="D904" t="s">
        <v>134</v>
      </c>
    </row>
    <row r="905" spans="1:4" x14ac:dyDescent="0.25">
      <c r="A905" t="s">
        <v>134</v>
      </c>
      <c r="B905" t="s">
        <v>134</v>
      </c>
      <c r="C905" t="s">
        <v>134</v>
      </c>
      <c r="D905" t="s">
        <v>134</v>
      </c>
    </row>
    <row r="906" spans="1:4" x14ac:dyDescent="0.25">
      <c r="A906" t="s">
        <v>134</v>
      </c>
      <c r="B906" t="s">
        <v>134</v>
      </c>
      <c r="C906" t="s">
        <v>134</v>
      </c>
      <c r="D906" t="s">
        <v>134</v>
      </c>
    </row>
    <row r="907" spans="1:4" x14ac:dyDescent="0.25">
      <c r="A907" t="s">
        <v>134</v>
      </c>
      <c r="B907" t="s">
        <v>134</v>
      </c>
      <c r="C907" t="s">
        <v>134</v>
      </c>
      <c r="D907" t="s">
        <v>134</v>
      </c>
    </row>
    <row r="908" spans="1:4" x14ac:dyDescent="0.25">
      <c r="A908" t="s">
        <v>134</v>
      </c>
      <c r="B908" t="s">
        <v>134</v>
      </c>
      <c r="C908" t="s">
        <v>134</v>
      </c>
      <c r="D908" t="s">
        <v>134</v>
      </c>
    </row>
    <row r="909" spans="1:4" x14ac:dyDescent="0.25">
      <c r="A909" t="s">
        <v>134</v>
      </c>
      <c r="B909" t="s">
        <v>134</v>
      </c>
      <c r="C909" t="s">
        <v>134</v>
      </c>
      <c r="D909" t="s">
        <v>134</v>
      </c>
    </row>
    <row r="910" spans="1:4" x14ac:dyDescent="0.25">
      <c r="A910" t="s">
        <v>134</v>
      </c>
      <c r="B910" t="s">
        <v>134</v>
      </c>
      <c r="C910" t="s">
        <v>134</v>
      </c>
      <c r="D910" t="s">
        <v>134</v>
      </c>
    </row>
    <row r="911" spans="1:4" x14ac:dyDescent="0.25">
      <c r="A911" t="s">
        <v>134</v>
      </c>
      <c r="B911" t="s">
        <v>134</v>
      </c>
      <c r="C911" t="s">
        <v>134</v>
      </c>
      <c r="D911" t="s">
        <v>134</v>
      </c>
    </row>
    <row r="912" spans="1:4" x14ac:dyDescent="0.25">
      <c r="A912" t="s">
        <v>134</v>
      </c>
      <c r="B912" t="s">
        <v>134</v>
      </c>
      <c r="C912" t="s">
        <v>134</v>
      </c>
      <c r="D912" t="s">
        <v>134</v>
      </c>
    </row>
    <row r="913" spans="1:4" x14ac:dyDescent="0.25">
      <c r="A913" t="s">
        <v>134</v>
      </c>
      <c r="B913" t="s">
        <v>134</v>
      </c>
      <c r="C913" t="s">
        <v>134</v>
      </c>
      <c r="D913" t="s">
        <v>134</v>
      </c>
    </row>
    <row r="914" spans="1:4" x14ac:dyDescent="0.25">
      <c r="A914" t="s">
        <v>134</v>
      </c>
      <c r="B914" t="s">
        <v>134</v>
      </c>
      <c r="C914" t="s">
        <v>134</v>
      </c>
      <c r="D914" t="s">
        <v>134</v>
      </c>
    </row>
    <row r="915" spans="1:4" x14ac:dyDescent="0.25">
      <c r="A915" t="s">
        <v>134</v>
      </c>
      <c r="B915" t="s">
        <v>134</v>
      </c>
      <c r="C915" t="s">
        <v>134</v>
      </c>
      <c r="D915" t="s">
        <v>134</v>
      </c>
    </row>
    <row r="916" spans="1:4" x14ac:dyDescent="0.25">
      <c r="A916" t="s">
        <v>134</v>
      </c>
      <c r="B916" t="s">
        <v>134</v>
      </c>
      <c r="C916" t="s">
        <v>134</v>
      </c>
      <c r="D916" t="s">
        <v>134</v>
      </c>
    </row>
    <row r="917" spans="1:4" x14ac:dyDescent="0.25">
      <c r="A917" t="s">
        <v>134</v>
      </c>
      <c r="B917" t="s">
        <v>134</v>
      </c>
      <c r="C917" t="s">
        <v>134</v>
      </c>
      <c r="D917" t="s">
        <v>134</v>
      </c>
    </row>
    <row r="918" spans="1:4" x14ac:dyDescent="0.25">
      <c r="A918" t="s">
        <v>134</v>
      </c>
      <c r="B918" t="s">
        <v>134</v>
      </c>
      <c r="C918" t="s">
        <v>134</v>
      </c>
      <c r="D918" t="s">
        <v>134</v>
      </c>
    </row>
    <row r="919" spans="1:4" x14ac:dyDescent="0.25">
      <c r="A919" t="s">
        <v>134</v>
      </c>
      <c r="B919" t="s">
        <v>134</v>
      </c>
      <c r="C919" t="s">
        <v>134</v>
      </c>
      <c r="D919" t="s">
        <v>134</v>
      </c>
    </row>
    <row r="920" spans="1:4" x14ac:dyDescent="0.25">
      <c r="A920" t="s">
        <v>134</v>
      </c>
      <c r="B920" t="s">
        <v>134</v>
      </c>
      <c r="C920" t="s">
        <v>134</v>
      </c>
      <c r="D920" t="s">
        <v>134</v>
      </c>
    </row>
    <row r="921" spans="1:4" x14ac:dyDescent="0.25">
      <c r="A921" t="s">
        <v>134</v>
      </c>
      <c r="B921" t="s">
        <v>134</v>
      </c>
      <c r="C921" t="s">
        <v>134</v>
      </c>
      <c r="D921" t="s">
        <v>134</v>
      </c>
    </row>
    <row r="922" spans="1:4" x14ac:dyDescent="0.25">
      <c r="A922" t="s">
        <v>134</v>
      </c>
      <c r="B922" t="s">
        <v>134</v>
      </c>
      <c r="C922" t="s">
        <v>134</v>
      </c>
      <c r="D922" t="s">
        <v>134</v>
      </c>
    </row>
    <row r="923" spans="1:4" x14ac:dyDescent="0.25">
      <c r="A923" t="s">
        <v>134</v>
      </c>
      <c r="B923" t="s">
        <v>134</v>
      </c>
      <c r="C923" t="s">
        <v>134</v>
      </c>
      <c r="D923" t="s">
        <v>134</v>
      </c>
    </row>
    <row r="924" spans="1:4" x14ac:dyDescent="0.25">
      <c r="A924" t="s">
        <v>134</v>
      </c>
      <c r="B924" t="s">
        <v>134</v>
      </c>
      <c r="C924" t="s">
        <v>134</v>
      </c>
      <c r="D924" t="s">
        <v>134</v>
      </c>
    </row>
    <row r="925" spans="1:4" x14ac:dyDescent="0.25">
      <c r="A925" t="s">
        <v>134</v>
      </c>
      <c r="B925" t="s">
        <v>134</v>
      </c>
      <c r="C925" t="s">
        <v>134</v>
      </c>
      <c r="D925" t="s">
        <v>134</v>
      </c>
    </row>
    <row r="926" spans="1:4" x14ac:dyDescent="0.25">
      <c r="A926" t="s">
        <v>134</v>
      </c>
      <c r="B926" t="s">
        <v>134</v>
      </c>
      <c r="C926" t="s">
        <v>134</v>
      </c>
      <c r="D926" t="s">
        <v>134</v>
      </c>
    </row>
    <row r="927" spans="1:4" x14ac:dyDescent="0.25">
      <c r="A927" t="s">
        <v>134</v>
      </c>
      <c r="B927" t="s">
        <v>134</v>
      </c>
      <c r="C927" t="s">
        <v>134</v>
      </c>
      <c r="D927" t="s">
        <v>134</v>
      </c>
    </row>
    <row r="928" spans="1:4" x14ac:dyDescent="0.25">
      <c r="A928" t="s">
        <v>134</v>
      </c>
      <c r="B928" t="s">
        <v>134</v>
      </c>
      <c r="C928" t="s">
        <v>134</v>
      </c>
      <c r="D928" t="s">
        <v>134</v>
      </c>
    </row>
    <row r="929" spans="1:4" x14ac:dyDescent="0.25">
      <c r="A929" t="s">
        <v>134</v>
      </c>
      <c r="B929" t="s">
        <v>134</v>
      </c>
      <c r="C929" t="s">
        <v>134</v>
      </c>
      <c r="D929" t="s">
        <v>134</v>
      </c>
    </row>
    <row r="930" spans="1:4" x14ac:dyDescent="0.25">
      <c r="A930" t="s">
        <v>134</v>
      </c>
      <c r="B930" t="s">
        <v>134</v>
      </c>
      <c r="C930" t="s">
        <v>134</v>
      </c>
      <c r="D930" t="s">
        <v>134</v>
      </c>
    </row>
    <row r="931" spans="1:4" x14ac:dyDescent="0.25">
      <c r="A931" t="s">
        <v>134</v>
      </c>
      <c r="B931" t="s">
        <v>134</v>
      </c>
      <c r="C931" t="s">
        <v>134</v>
      </c>
      <c r="D931" t="s">
        <v>134</v>
      </c>
    </row>
    <row r="932" spans="1:4" x14ac:dyDescent="0.25">
      <c r="A932" t="s">
        <v>134</v>
      </c>
      <c r="B932" t="s">
        <v>134</v>
      </c>
      <c r="C932" t="s">
        <v>134</v>
      </c>
      <c r="D932" t="s">
        <v>134</v>
      </c>
    </row>
    <row r="933" spans="1:4" x14ac:dyDescent="0.25">
      <c r="A933" t="s">
        <v>134</v>
      </c>
      <c r="B933" t="s">
        <v>134</v>
      </c>
      <c r="C933" t="s">
        <v>134</v>
      </c>
      <c r="D933" t="s">
        <v>134</v>
      </c>
    </row>
    <row r="934" spans="1:4" x14ac:dyDescent="0.25">
      <c r="A934" t="s">
        <v>134</v>
      </c>
      <c r="B934" t="s">
        <v>134</v>
      </c>
      <c r="C934" t="s">
        <v>134</v>
      </c>
      <c r="D934" t="s">
        <v>134</v>
      </c>
    </row>
    <row r="935" spans="1:4" x14ac:dyDescent="0.25">
      <c r="A935" t="s">
        <v>134</v>
      </c>
      <c r="B935" t="s">
        <v>134</v>
      </c>
      <c r="C935" t="s">
        <v>134</v>
      </c>
      <c r="D935" t="s">
        <v>134</v>
      </c>
    </row>
    <row r="936" spans="1:4" x14ac:dyDescent="0.25">
      <c r="A936" t="s">
        <v>134</v>
      </c>
      <c r="B936" t="s">
        <v>134</v>
      </c>
      <c r="C936" t="s">
        <v>134</v>
      </c>
      <c r="D936" t="s">
        <v>134</v>
      </c>
    </row>
    <row r="937" spans="1:4" x14ac:dyDescent="0.25">
      <c r="A937" t="s">
        <v>134</v>
      </c>
      <c r="B937" t="s">
        <v>134</v>
      </c>
      <c r="C937" t="s">
        <v>134</v>
      </c>
      <c r="D937" t="s">
        <v>134</v>
      </c>
    </row>
    <row r="938" spans="1:4" x14ac:dyDescent="0.25">
      <c r="A938" t="s">
        <v>134</v>
      </c>
      <c r="B938" t="s">
        <v>134</v>
      </c>
      <c r="C938" t="s">
        <v>134</v>
      </c>
      <c r="D938" t="s">
        <v>134</v>
      </c>
    </row>
    <row r="939" spans="1:4" x14ac:dyDescent="0.25">
      <c r="A939" t="s">
        <v>134</v>
      </c>
      <c r="B939" t="s">
        <v>134</v>
      </c>
      <c r="C939" t="s">
        <v>134</v>
      </c>
      <c r="D939" t="s">
        <v>134</v>
      </c>
    </row>
    <row r="940" spans="1:4" x14ac:dyDescent="0.25">
      <c r="A940" t="s">
        <v>134</v>
      </c>
      <c r="B940" t="s">
        <v>134</v>
      </c>
      <c r="C940" t="s">
        <v>134</v>
      </c>
      <c r="D940" t="s">
        <v>134</v>
      </c>
    </row>
    <row r="941" spans="1:4" x14ac:dyDescent="0.25">
      <c r="A941" t="s">
        <v>134</v>
      </c>
      <c r="B941" t="s">
        <v>134</v>
      </c>
      <c r="C941" t="s">
        <v>134</v>
      </c>
      <c r="D941" t="s">
        <v>134</v>
      </c>
    </row>
    <row r="942" spans="1:4" x14ac:dyDescent="0.25">
      <c r="A942" t="s">
        <v>134</v>
      </c>
      <c r="B942" t="s">
        <v>134</v>
      </c>
      <c r="C942" t="s">
        <v>134</v>
      </c>
      <c r="D942" t="s">
        <v>134</v>
      </c>
    </row>
    <row r="943" spans="1:4" x14ac:dyDescent="0.25">
      <c r="A943" t="s">
        <v>134</v>
      </c>
      <c r="B943" t="s">
        <v>134</v>
      </c>
      <c r="C943" t="s">
        <v>134</v>
      </c>
      <c r="D943" t="s">
        <v>134</v>
      </c>
    </row>
    <row r="944" spans="1:4" x14ac:dyDescent="0.25">
      <c r="A944" t="s">
        <v>134</v>
      </c>
      <c r="B944" t="s">
        <v>134</v>
      </c>
      <c r="C944" t="s">
        <v>134</v>
      </c>
      <c r="D944" t="s">
        <v>134</v>
      </c>
    </row>
    <row r="945" spans="1:4" x14ac:dyDescent="0.25">
      <c r="A945" t="s">
        <v>134</v>
      </c>
      <c r="B945" t="s">
        <v>134</v>
      </c>
      <c r="C945" t="s">
        <v>134</v>
      </c>
      <c r="D945" t="s">
        <v>134</v>
      </c>
    </row>
    <row r="946" spans="1:4" x14ac:dyDescent="0.25">
      <c r="A946" t="s">
        <v>134</v>
      </c>
      <c r="B946" t="s">
        <v>134</v>
      </c>
      <c r="C946" t="s">
        <v>134</v>
      </c>
      <c r="D946" t="s">
        <v>134</v>
      </c>
    </row>
    <row r="947" spans="1:4" x14ac:dyDescent="0.25">
      <c r="A947" t="s">
        <v>134</v>
      </c>
      <c r="B947" t="s">
        <v>134</v>
      </c>
      <c r="C947" t="s">
        <v>134</v>
      </c>
      <c r="D947" t="s">
        <v>134</v>
      </c>
    </row>
    <row r="948" spans="1:4" x14ac:dyDescent="0.25">
      <c r="A948" t="s">
        <v>134</v>
      </c>
      <c r="B948" t="s">
        <v>134</v>
      </c>
      <c r="C948" t="s">
        <v>134</v>
      </c>
      <c r="D948" t="s">
        <v>134</v>
      </c>
    </row>
    <row r="949" spans="1:4" x14ac:dyDescent="0.25">
      <c r="A949" t="s">
        <v>134</v>
      </c>
      <c r="B949" t="s">
        <v>134</v>
      </c>
      <c r="C949" t="s">
        <v>134</v>
      </c>
      <c r="D949" t="s">
        <v>134</v>
      </c>
    </row>
    <row r="950" spans="1:4" x14ac:dyDescent="0.25">
      <c r="A950" t="s">
        <v>134</v>
      </c>
      <c r="B950" t="s">
        <v>134</v>
      </c>
      <c r="C950" t="s">
        <v>134</v>
      </c>
      <c r="D950" t="s">
        <v>134</v>
      </c>
    </row>
    <row r="951" spans="1:4" x14ac:dyDescent="0.25">
      <c r="A951" t="s">
        <v>134</v>
      </c>
      <c r="B951" t="s">
        <v>134</v>
      </c>
      <c r="C951" t="s">
        <v>134</v>
      </c>
      <c r="D951" t="s">
        <v>134</v>
      </c>
    </row>
    <row r="952" spans="1:4" x14ac:dyDescent="0.25">
      <c r="A952" t="s">
        <v>134</v>
      </c>
      <c r="B952" t="s">
        <v>134</v>
      </c>
      <c r="C952" t="s">
        <v>134</v>
      </c>
      <c r="D952" t="s">
        <v>134</v>
      </c>
    </row>
    <row r="953" spans="1:4" x14ac:dyDescent="0.25">
      <c r="A953" t="s">
        <v>134</v>
      </c>
      <c r="B953" t="s">
        <v>134</v>
      </c>
      <c r="C953" t="s">
        <v>134</v>
      </c>
      <c r="D953" t="s">
        <v>134</v>
      </c>
    </row>
    <row r="954" spans="1:4" x14ac:dyDescent="0.25">
      <c r="A954" t="s">
        <v>134</v>
      </c>
      <c r="B954" t="s">
        <v>134</v>
      </c>
      <c r="C954" t="s">
        <v>134</v>
      </c>
      <c r="D954" t="s">
        <v>134</v>
      </c>
    </row>
    <row r="955" spans="1:4" x14ac:dyDescent="0.25">
      <c r="A955" t="s">
        <v>134</v>
      </c>
      <c r="B955" t="s">
        <v>134</v>
      </c>
      <c r="C955" t="s">
        <v>134</v>
      </c>
      <c r="D955" t="s">
        <v>134</v>
      </c>
    </row>
    <row r="956" spans="1:4" x14ac:dyDescent="0.25">
      <c r="A956" t="s">
        <v>134</v>
      </c>
      <c r="B956" t="s">
        <v>134</v>
      </c>
      <c r="C956" t="s">
        <v>134</v>
      </c>
      <c r="D956" t="s">
        <v>134</v>
      </c>
    </row>
    <row r="957" spans="1:4" x14ac:dyDescent="0.25">
      <c r="A957" t="s">
        <v>134</v>
      </c>
      <c r="B957" t="s">
        <v>134</v>
      </c>
      <c r="C957" t="s">
        <v>134</v>
      </c>
      <c r="D957" t="s">
        <v>134</v>
      </c>
    </row>
    <row r="958" spans="1:4" x14ac:dyDescent="0.25">
      <c r="A958" t="s">
        <v>134</v>
      </c>
      <c r="B958" t="s">
        <v>134</v>
      </c>
      <c r="C958" t="s">
        <v>134</v>
      </c>
      <c r="D958" t="s">
        <v>134</v>
      </c>
    </row>
    <row r="959" spans="1:4" x14ac:dyDescent="0.25">
      <c r="A959" t="s">
        <v>134</v>
      </c>
      <c r="B959" t="s">
        <v>134</v>
      </c>
      <c r="C959" t="s">
        <v>134</v>
      </c>
      <c r="D959" t="s">
        <v>134</v>
      </c>
    </row>
    <row r="960" spans="1:4" x14ac:dyDescent="0.25">
      <c r="A960" t="s">
        <v>134</v>
      </c>
      <c r="B960" t="s">
        <v>134</v>
      </c>
      <c r="C960" t="s">
        <v>134</v>
      </c>
      <c r="D960" t="s">
        <v>134</v>
      </c>
    </row>
    <row r="961" spans="1:4" x14ac:dyDescent="0.25">
      <c r="A961" t="s">
        <v>134</v>
      </c>
      <c r="B961" t="s">
        <v>134</v>
      </c>
      <c r="C961" t="s">
        <v>134</v>
      </c>
      <c r="D961" t="s">
        <v>134</v>
      </c>
    </row>
    <row r="962" spans="1:4" x14ac:dyDescent="0.25">
      <c r="A962" t="s">
        <v>134</v>
      </c>
      <c r="B962" t="s">
        <v>134</v>
      </c>
      <c r="C962" t="s">
        <v>134</v>
      </c>
      <c r="D962" t="s">
        <v>134</v>
      </c>
    </row>
    <row r="963" spans="1:4" x14ac:dyDescent="0.25">
      <c r="A963" t="s">
        <v>134</v>
      </c>
      <c r="B963" t="s">
        <v>134</v>
      </c>
      <c r="C963" t="s">
        <v>134</v>
      </c>
      <c r="D963" t="s">
        <v>134</v>
      </c>
    </row>
    <row r="964" spans="1:4" x14ac:dyDescent="0.25">
      <c r="A964" t="s">
        <v>134</v>
      </c>
      <c r="B964" t="s">
        <v>134</v>
      </c>
      <c r="C964" t="s">
        <v>134</v>
      </c>
      <c r="D964" t="s">
        <v>134</v>
      </c>
    </row>
    <row r="965" spans="1:4" x14ac:dyDescent="0.25">
      <c r="A965" t="s">
        <v>134</v>
      </c>
      <c r="B965" t="s">
        <v>134</v>
      </c>
      <c r="C965" t="s">
        <v>134</v>
      </c>
      <c r="D965" t="s">
        <v>134</v>
      </c>
    </row>
    <row r="966" spans="1:4" x14ac:dyDescent="0.25">
      <c r="A966" t="s">
        <v>134</v>
      </c>
      <c r="B966" t="s">
        <v>134</v>
      </c>
      <c r="C966" t="s">
        <v>134</v>
      </c>
      <c r="D966" t="s">
        <v>134</v>
      </c>
    </row>
    <row r="967" spans="1:4" x14ac:dyDescent="0.25">
      <c r="A967" t="s">
        <v>134</v>
      </c>
      <c r="B967" t="s">
        <v>134</v>
      </c>
      <c r="C967" t="s">
        <v>134</v>
      </c>
      <c r="D967" t="s">
        <v>134</v>
      </c>
    </row>
    <row r="968" spans="1:4" x14ac:dyDescent="0.25">
      <c r="A968" t="s">
        <v>134</v>
      </c>
      <c r="B968" t="s">
        <v>134</v>
      </c>
      <c r="C968" t="s">
        <v>134</v>
      </c>
      <c r="D968" t="s">
        <v>134</v>
      </c>
    </row>
    <row r="969" spans="1:4" x14ac:dyDescent="0.25">
      <c r="A969" t="s">
        <v>134</v>
      </c>
      <c r="B969" t="s">
        <v>134</v>
      </c>
      <c r="C969" t="s">
        <v>134</v>
      </c>
      <c r="D969" t="s">
        <v>134</v>
      </c>
    </row>
    <row r="970" spans="1:4" x14ac:dyDescent="0.25">
      <c r="A970" t="s">
        <v>134</v>
      </c>
      <c r="B970" t="s">
        <v>134</v>
      </c>
      <c r="C970" t="s">
        <v>134</v>
      </c>
      <c r="D970" t="s">
        <v>134</v>
      </c>
    </row>
    <row r="971" spans="1:4" x14ac:dyDescent="0.25">
      <c r="A971" t="s">
        <v>134</v>
      </c>
      <c r="B971" t="s">
        <v>134</v>
      </c>
      <c r="C971" t="s">
        <v>134</v>
      </c>
      <c r="D971" t="s">
        <v>134</v>
      </c>
    </row>
    <row r="972" spans="1:4" x14ac:dyDescent="0.25">
      <c r="A972" t="s">
        <v>134</v>
      </c>
      <c r="B972" t="s">
        <v>134</v>
      </c>
      <c r="C972" t="s">
        <v>134</v>
      </c>
      <c r="D972" t="s">
        <v>134</v>
      </c>
    </row>
    <row r="973" spans="1:4" x14ac:dyDescent="0.25">
      <c r="A973" t="s">
        <v>134</v>
      </c>
      <c r="B973" t="s">
        <v>134</v>
      </c>
      <c r="C973" t="s">
        <v>134</v>
      </c>
      <c r="D973" t="s">
        <v>134</v>
      </c>
    </row>
    <row r="974" spans="1:4" x14ac:dyDescent="0.25">
      <c r="A974" t="s">
        <v>134</v>
      </c>
      <c r="B974" t="s">
        <v>134</v>
      </c>
      <c r="C974" t="s">
        <v>134</v>
      </c>
      <c r="D974" t="s">
        <v>134</v>
      </c>
    </row>
    <row r="975" spans="1:4" x14ac:dyDescent="0.25">
      <c r="A975" t="s">
        <v>134</v>
      </c>
      <c r="B975" t="s">
        <v>134</v>
      </c>
      <c r="C975" t="s">
        <v>134</v>
      </c>
      <c r="D975" t="s">
        <v>134</v>
      </c>
    </row>
    <row r="976" spans="1:4" x14ac:dyDescent="0.25">
      <c r="A976" t="s">
        <v>134</v>
      </c>
      <c r="B976" t="s">
        <v>134</v>
      </c>
      <c r="C976" t="s">
        <v>134</v>
      </c>
      <c r="D976" t="s">
        <v>134</v>
      </c>
    </row>
    <row r="977" spans="1:4" x14ac:dyDescent="0.25">
      <c r="A977" t="s">
        <v>134</v>
      </c>
      <c r="B977" t="s">
        <v>134</v>
      </c>
      <c r="C977" t="s">
        <v>134</v>
      </c>
      <c r="D977" t="s">
        <v>134</v>
      </c>
    </row>
    <row r="978" spans="1:4" x14ac:dyDescent="0.25">
      <c r="A978" t="s">
        <v>134</v>
      </c>
      <c r="B978" t="s">
        <v>134</v>
      </c>
      <c r="C978" t="s">
        <v>134</v>
      </c>
      <c r="D978" t="s">
        <v>134</v>
      </c>
    </row>
    <row r="979" spans="1:4" x14ac:dyDescent="0.25">
      <c r="A979" t="s">
        <v>134</v>
      </c>
      <c r="B979" t="s">
        <v>134</v>
      </c>
      <c r="C979" t="s">
        <v>134</v>
      </c>
      <c r="D979" t="s">
        <v>134</v>
      </c>
    </row>
    <row r="980" spans="1:4" x14ac:dyDescent="0.25">
      <c r="A980" t="s">
        <v>134</v>
      </c>
      <c r="B980" t="s">
        <v>134</v>
      </c>
      <c r="C980" t="s">
        <v>134</v>
      </c>
      <c r="D980" t="s">
        <v>134</v>
      </c>
    </row>
    <row r="981" spans="1:4" x14ac:dyDescent="0.25">
      <c r="A981" t="s">
        <v>134</v>
      </c>
      <c r="B981" t="s">
        <v>134</v>
      </c>
      <c r="C981" t="s">
        <v>134</v>
      </c>
      <c r="D981" t="s">
        <v>134</v>
      </c>
    </row>
    <row r="982" spans="1:4" x14ac:dyDescent="0.25">
      <c r="A982" t="s">
        <v>134</v>
      </c>
      <c r="B982" t="s">
        <v>134</v>
      </c>
      <c r="C982" t="s">
        <v>134</v>
      </c>
      <c r="D982" t="s">
        <v>134</v>
      </c>
    </row>
    <row r="983" spans="1:4" x14ac:dyDescent="0.25">
      <c r="A983" t="s">
        <v>134</v>
      </c>
      <c r="B983" t="s">
        <v>134</v>
      </c>
      <c r="C983" t="s">
        <v>134</v>
      </c>
      <c r="D983" t="s">
        <v>134</v>
      </c>
    </row>
    <row r="984" spans="1:4" x14ac:dyDescent="0.25">
      <c r="A984" t="s">
        <v>134</v>
      </c>
      <c r="B984" t="s">
        <v>134</v>
      </c>
      <c r="C984" t="s">
        <v>134</v>
      </c>
      <c r="D984" t="s">
        <v>134</v>
      </c>
    </row>
    <row r="985" spans="1:4" x14ac:dyDescent="0.25">
      <c r="A985" t="s">
        <v>134</v>
      </c>
      <c r="B985" t="s">
        <v>134</v>
      </c>
      <c r="C985" t="s">
        <v>134</v>
      </c>
      <c r="D985" t="s">
        <v>134</v>
      </c>
    </row>
    <row r="986" spans="1:4" x14ac:dyDescent="0.25">
      <c r="A986" t="s">
        <v>134</v>
      </c>
      <c r="B986" t="s">
        <v>134</v>
      </c>
      <c r="C986" t="s">
        <v>134</v>
      </c>
      <c r="D986" t="s">
        <v>134</v>
      </c>
    </row>
    <row r="987" spans="1:4" x14ac:dyDescent="0.25">
      <c r="A987" t="s">
        <v>134</v>
      </c>
      <c r="B987" t="s">
        <v>134</v>
      </c>
      <c r="C987" t="s">
        <v>134</v>
      </c>
      <c r="D987" t="s">
        <v>134</v>
      </c>
    </row>
    <row r="988" spans="1:4" x14ac:dyDescent="0.25">
      <c r="A988" t="s">
        <v>134</v>
      </c>
      <c r="B988" t="s">
        <v>134</v>
      </c>
      <c r="C988" t="s">
        <v>134</v>
      </c>
      <c r="D988" t="s">
        <v>134</v>
      </c>
    </row>
    <row r="989" spans="1:4" x14ac:dyDescent="0.25">
      <c r="A989" t="s">
        <v>134</v>
      </c>
      <c r="B989" t="s">
        <v>134</v>
      </c>
      <c r="C989" t="s">
        <v>134</v>
      </c>
      <c r="D989" t="s">
        <v>134</v>
      </c>
    </row>
    <row r="990" spans="1:4" x14ac:dyDescent="0.25">
      <c r="A990" t="s">
        <v>134</v>
      </c>
      <c r="B990" t="s">
        <v>134</v>
      </c>
      <c r="C990" t="s">
        <v>134</v>
      </c>
      <c r="D990" t="s">
        <v>134</v>
      </c>
    </row>
    <row r="991" spans="1:4" x14ac:dyDescent="0.25">
      <c r="A991" t="s">
        <v>134</v>
      </c>
      <c r="B991" t="s">
        <v>134</v>
      </c>
      <c r="C991" t="s">
        <v>134</v>
      </c>
      <c r="D991" t="s">
        <v>134</v>
      </c>
    </row>
    <row r="992" spans="1:4" x14ac:dyDescent="0.25">
      <c r="A992" t="s">
        <v>134</v>
      </c>
      <c r="B992" t="s">
        <v>134</v>
      </c>
      <c r="C992" t="s">
        <v>134</v>
      </c>
      <c r="D992" t="s">
        <v>134</v>
      </c>
    </row>
    <row r="993" spans="1:4" x14ac:dyDescent="0.25">
      <c r="A993" t="s">
        <v>134</v>
      </c>
      <c r="B993" t="s">
        <v>134</v>
      </c>
      <c r="C993" t="s">
        <v>134</v>
      </c>
      <c r="D993" t="s">
        <v>134</v>
      </c>
    </row>
    <row r="994" spans="1:4" x14ac:dyDescent="0.25">
      <c r="A994" t="s">
        <v>134</v>
      </c>
      <c r="B994" t="s">
        <v>134</v>
      </c>
      <c r="C994" t="s">
        <v>134</v>
      </c>
      <c r="D994" t="s">
        <v>134</v>
      </c>
    </row>
    <row r="995" spans="1:4" x14ac:dyDescent="0.25">
      <c r="A995" t="s">
        <v>134</v>
      </c>
      <c r="B995" t="s">
        <v>134</v>
      </c>
      <c r="C995" t="s">
        <v>134</v>
      </c>
      <c r="D995" t="s">
        <v>134</v>
      </c>
    </row>
    <row r="996" spans="1:4" x14ac:dyDescent="0.25">
      <c r="A996" t="s">
        <v>134</v>
      </c>
      <c r="B996" t="s">
        <v>134</v>
      </c>
      <c r="C996" t="s">
        <v>134</v>
      </c>
      <c r="D996" t="s">
        <v>134</v>
      </c>
    </row>
    <row r="997" spans="1:4" x14ac:dyDescent="0.25">
      <c r="A997" t="s">
        <v>134</v>
      </c>
      <c r="B997" t="s">
        <v>134</v>
      </c>
      <c r="C997" t="s">
        <v>134</v>
      </c>
      <c r="D997" t="s">
        <v>134</v>
      </c>
    </row>
    <row r="998" spans="1:4" x14ac:dyDescent="0.25">
      <c r="A998" t="s">
        <v>134</v>
      </c>
      <c r="B998" t="s">
        <v>134</v>
      </c>
      <c r="C998" t="s">
        <v>134</v>
      </c>
      <c r="D998" t="s">
        <v>134</v>
      </c>
    </row>
    <row r="999" spans="1:4" x14ac:dyDescent="0.25">
      <c r="A999" t="s">
        <v>134</v>
      </c>
      <c r="B999" t="s">
        <v>134</v>
      </c>
      <c r="C999" t="s">
        <v>134</v>
      </c>
      <c r="D999" t="s">
        <v>134</v>
      </c>
    </row>
    <row r="1000" spans="1:4" x14ac:dyDescent="0.25">
      <c r="A1000" t="s">
        <v>134</v>
      </c>
      <c r="B1000" t="s">
        <v>134</v>
      </c>
      <c r="C1000" t="s">
        <v>134</v>
      </c>
      <c r="D1000" t="s">
        <v>134</v>
      </c>
    </row>
    <row r="1001" spans="1:4" x14ac:dyDescent="0.25">
      <c r="A1001" t="s">
        <v>134</v>
      </c>
      <c r="B1001" t="s">
        <v>134</v>
      </c>
      <c r="C1001" t="s">
        <v>134</v>
      </c>
      <c r="D1001" t="s">
        <v>134</v>
      </c>
    </row>
    <row r="1002" spans="1:4" x14ac:dyDescent="0.25">
      <c r="A1002" t="s">
        <v>134</v>
      </c>
      <c r="B1002" t="s">
        <v>134</v>
      </c>
      <c r="C1002" t="s">
        <v>134</v>
      </c>
      <c r="D1002" t="s">
        <v>134</v>
      </c>
    </row>
    <row r="1003" spans="1:4" x14ac:dyDescent="0.25">
      <c r="A1003" t="s">
        <v>134</v>
      </c>
      <c r="B1003" t="s">
        <v>134</v>
      </c>
      <c r="C1003" t="s">
        <v>134</v>
      </c>
      <c r="D1003" t="s">
        <v>134</v>
      </c>
    </row>
    <row r="1004" spans="1:4" x14ac:dyDescent="0.25">
      <c r="A1004" t="s">
        <v>134</v>
      </c>
      <c r="B1004" t="s">
        <v>134</v>
      </c>
      <c r="C1004" t="s">
        <v>134</v>
      </c>
      <c r="D1004" t="s">
        <v>134</v>
      </c>
    </row>
    <row r="1005" spans="1:4" x14ac:dyDescent="0.25">
      <c r="A1005" t="s">
        <v>134</v>
      </c>
      <c r="B1005" t="s">
        <v>134</v>
      </c>
      <c r="C1005" t="s">
        <v>134</v>
      </c>
      <c r="D1005" t="s">
        <v>134</v>
      </c>
    </row>
    <row r="1006" spans="1:4" x14ac:dyDescent="0.25">
      <c r="A1006" t="s">
        <v>134</v>
      </c>
      <c r="B1006" t="s">
        <v>134</v>
      </c>
      <c r="C1006" t="s">
        <v>134</v>
      </c>
      <c r="D1006" t="s">
        <v>134</v>
      </c>
    </row>
    <row r="1007" spans="1:4" x14ac:dyDescent="0.25">
      <c r="A1007" t="s">
        <v>134</v>
      </c>
      <c r="B1007" t="s">
        <v>134</v>
      </c>
      <c r="C1007" t="s">
        <v>134</v>
      </c>
      <c r="D1007" t="s">
        <v>134</v>
      </c>
    </row>
    <row r="1008" spans="1:4" x14ac:dyDescent="0.25">
      <c r="A1008" t="s">
        <v>134</v>
      </c>
      <c r="B1008" t="s">
        <v>134</v>
      </c>
      <c r="C1008" t="s">
        <v>134</v>
      </c>
      <c r="D1008" t="s">
        <v>134</v>
      </c>
    </row>
    <row r="1009" spans="1:4" x14ac:dyDescent="0.25">
      <c r="A1009" t="s">
        <v>134</v>
      </c>
      <c r="B1009" t="s">
        <v>134</v>
      </c>
      <c r="C1009" t="s">
        <v>134</v>
      </c>
      <c r="D1009" t="s">
        <v>134</v>
      </c>
    </row>
    <row r="1010" spans="1:4" x14ac:dyDescent="0.25">
      <c r="A1010" t="s">
        <v>134</v>
      </c>
      <c r="B1010" t="s">
        <v>134</v>
      </c>
      <c r="C1010" t="s">
        <v>134</v>
      </c>
      <c r="D1010" t="s">
        <v>134</v>
      </c>
    </row>
    <row r="1011" spans="1:4" x14ac:dyDescent="0.25">
      <c r="A1011" t="s">
        <v>134</v>
      </c>
      <c r="B1011" t="s">
        <v>134</v>
      </c>
      <c r="C1011" t="s">
        <v>134</v>
      </c>
      <c r="D1011" t="s">
        <v>134</v>
      </c>
    </row>
    <row r="1012" spans="1:4" x14ac:dyDescent="0.25">
      <c r="A1012" t="s">
        <v>134</v>
      </c>
      <c r="B1012" t="s">
        <v>134</v>
      </c>
      <c r="C1012" t="s">
        <v>134</v>
      </c>
      <c r="D1012" t="s">
        <v>134</v>
      </c>
    </row>
    <row r="1013" spans="1:4" x14ac:dyDescent="0.25">
      <c r="A1013" t="s">
        <v>134</v>
      </c>
      <c r="B1013" t="s">
        <v>134</v>
      </c>
      <c r="C1013" t="s">
        <v>134</v>
      </c>
      <c r="D1013" t="s">
        <v>134</v>
      </c>
    </row>
    <row r="1014" spans="1:4" x14ac:dyDescent="0.25">
      <c r="A1014" t="s">
        <v>134</v>
      </c>
      <c r="B1014" t="s">
        <v>134</v>
      </c>
      <c r="C1014" t="s">
        <v>134</v>
      </c>
      <c r="D1014" t="s">
        <v>134</v>
      </c>
    </row>
    <row r="1015" spans="1:4" x14ac:dyDescent="0.25">
      <c r="A1015" t="s">
        <v>134</v>
      </c>
      <c r="B1015" t="s">
        <v>134</v>
      </c>
      <c r="C1015" t="s">
        <v>134</v>
      </c>
      <c r="D1015" t="s">
        <v>134</v>
      </c>
    </row>
    <row r="1016" spans="1:4" x14ac:dyDescent="0.25">
      <c r="A1016" t="s">
        <v>134</v>
      </c>
      <c r="B1016" t="s">
        <v>134</v>
      </c>
      <c r="C1016" t="s">
        <v>134</v>
      </c>
      <c r="D1016" t="s">
        <v>134</v>
      </c>
    </row>
    <row r="1017" spans="1:4" x14ac:dyDescent="0.25">
      <c r="A1017" t="s">
        <v>134</v>
      </c>
      <c r="B1017" t="s">
        <v>134</v>
      </c>
      <c r="C1017" t="s">
        <v>134</v>
      </c>
      <c r="D1017" t="s">
        <v>134</v>
      </c>
    </row>
    <row r="1018" spans="1:4" x14ac:dyDescent="0.25">
      <c r="A1018" t="s">
        <v>134</v>
      </c>
      <c r="B1018" t="s">
        <v>134</v>
      </c>
      <c r="C1018" t="s">
        <v>134</v>
      </c>
      <c r="D1018" t="s">
        <v>134</v>
      </c>
    </row>
    <row r="1019" spans="1:4" x14ac:dyDescent="0.25">
      <c r="A1019" t="s">
        <v>134</v>
      </c>
      <c r="B1019" t="s">
        <v>134</v>
      </c>
      <c r="C1019" t="s">
        <v>134</v>
      </c>
      <c r="D1019" t="s">
        <v>134</v>
      </c>
    </row>
    <row r="1020" spans="1:4" x14ac:dyDescent="0.25">
      <c r="A1020" t="s">
        <v>134</v>
      </c>
      <c r="B1020" t="s">
        <v>134</v>
      </c>
      <c r="C1020" t="s">
        <v>134</v>
      </c>
      <c r="D1020" t="s">
        <v>134</v>
      </c>
    </row>
    <row r="1021" spans="1:4" x14ac:dyDescent="0.25">
      <c r="A1021" t="s">
        <v>134</v>
      </c>
      <c r="B1021" t="s">
        <v>134</v>
      </c>
      <c r="C1021" t="s">
        <v>134</v>
      </c>
      <c r="D1021" t="s">
        <v>134</v>
      </c>
    </row>
    <row r="1022" spans="1:4" x14ac:dyDescent="0.25">
      <c r="A1022" t="s">
        <v>134</v>
      </c>
      <c r="B1022" t="s">
        <v>134</v>
      </c>
      <c r="C1022" t="s">
        <v>134</v>
      </c>
      <c r="D1022" t="s">
        <v>134</v>
      </c>
    </row>
    <row r="1023" spans="1:4" x14ac:dyDescent="0.25">
      <c r="A1023" t="s">
        <v>134</v>
      </c>
      <c r="B1023" t="s">
        <v>134</v>
      </c>
      <c r="C1023" t="s">
        <v>134</v>
      </c>
      <c r="D1023" t="s">
        <v>134</v>
      </c>
    </row>
    <row r="1024" spans="1:4" x14ac:dyDescent="0.25">
      <c r="A1024" t="s">
        <v>134</v>
      </c>
      <c r="B1024" t="s">
        <v>134</v>
      </c>
      <c r="C1024" t="s">
        <v>134</v>
      </c>
      <c r="D1024" t="s">
        <v>134</v>
      </c>
    </row>
    <row r="1025" spans="1:4" x14ac:dyDescent="0.25">
      <c r="A1025" t="s">
        <v>134</v>
      </c>
      <c r="B1025" t="s">
        <v>134</v>
      </c>
      <c r="C1025" t="s">
        <v>134</v>
      </c>
      <c r="D1025" t="s">
        <v>134</v>
      </c>
    </row>
    <row r="1026" spans="1:4" x14ac:dyDescent="0.25">
      <c r="A1026" t="s">
        <v>134</v>
      </c>
      <c r="B1026" t="s">
        <v>134</v>
      </c>
      <c r="C1026" t="s">
        <v>134</v>
      </c>
      <c r="D1026" t="s">
        <v>134</v>
      </c>
    </row>
    <row r="1027" spans="1:4" x14ac:dyDescent="0.25">
      <c r="A1027" t="s">
        <v>134</v>
      </c>
      <c r="B1027" t="s">
        <v>134</v>
      </c>
      <c r="C1027" t="s">
        <v>134</v>
      </c>
      <c r="D1027" t="s">
        <v>134</v>
      </c>
    </row>
    <row r="1028" spans="1:4" x14ac:dyDescent="0.25">
      <c r="A1028" t="s">
        <v>134</v>
      </c>
      <c r="B1028" t="s">
        <v>134</v>
      </c>
      <c r="C1028" t="s">
        <v>134</v>
      </c>
      <c r="D1028" t="s">
        <v>134</v>
      </c>
    </row>
    <row r="1029" spans="1:4" x14ac:dyDescent="0.25">
      <c r="A1029" t="s">
        <v>134</v>
      </c>
      <c r="B1029" t="s">
        <v>134</v>
      </c>
      <c r="C1029" t="s">
        <v>134</v>
      </c>
      <c r="D1029" t="s">
        <v>134</v>
      </c>
    </row>
    <row r="1030" spans="1:4" x14ac:dyDescent="0.25">
      <c r="A1030" t="s">
        <v>134</v>
      </c>
      <c r="B1030" t="s">
        <v>134</v>
      </c>
      <c r="C1030" t="s">
        <v>134</v>
      </c>
      <c r="D1030" t="s">
        <v>134</v>
      </c>
    </row>
    <row r="1031" spans="1:4" x14ac:dyDescent="0.25">
      <c r="A1031" t="s">
        <v>134</v>
      </c>
      <c r="B1031" t="s">
        <v>134</v>
      </c>
      <c r="C1031" t="s">
        <v>134</v>
      </c>
      <c r="D1031" t="s">
        <v>134</v>
      </c>
    </row>
    <row r="1032" spans="1:4" x14ac:dyDescent="0.25">
      <c r="A1032" t="s">
        <v>134</v>
      </c>
      <c r="B1032" t="s">
        <v>134</v>
      </c>
      <c r="C1032" t="s">
        <v>134</v>
      </c>
      <c r="D1032" t="s">
        <v>134</v>
      </c>
    </row>
    <row r="1033" spans="1:4" x14ac:dyDescent="0.25">
      <c r="A1033" t="s">
        <v>134</v>
      </c>
      <c r="B1033" t="s">
        <v>134</v>
      </c>
      <c r="C1033" t="s">
        <v>134</v>
      </c>
      <c r="D1033" t="s">
        <v>134</v>
      </c>
    </row>
    <row r="1034" spans="1:4" x14ac:dyDescent="0.25">
      <c r="A1034" t="s">
        <v>134</v>
      </c>
      <c r="B1034" t="s">
        <v>134</v>
      </c>
      <c r="C1034" t="s">
        <v>134</v>
      </c>
      <c r="D1034" t="s">
        <v>134</v>
      </c>
    </row>
    <row r="1035" spans="1:4" x14ac:dyDescent="0.25">
      <c r="A1035" t="s">
        <v>134</v>
      </c>
      <c r="B1035" t="s">
        <v>134</v>
      </c>
      <c r="C1035" t="s">
        <v>134</v>
      </c>
      <c r="D1035" t="s">
        <v>134</v>
      </c>
    </row>
    <row r="1036" spans="1:4" x14ac:dyDescent="0.25">
      <c r="A1036" t="s">
        <v>134</v>
      </c>
      <c r="B1036" t="s">
        <v>134</v>
      </c>
      <c r="C1036" t="s">
        <v>134</v>
      </c>
      <c r="D1036" t="s">
        <v>134</v>
      </c>
    </row>
    <row r="1037" spans="1:4" x14ac:dyDescent="0.25">
      <c r="A1037" t="s">
        <v>134</v>
      </c>
      <c r="B1037" t="s">
        <v>134</v>
      </c>
      <c r="C1037" t="s">
        <v>134</v>
      </c>
      <c r="D1037" t="s">
        <v>134</v>
      </c>
    </row>
    <row r="1038" spans="1:4" x14ac:dyDescent="0.25">
      <c r="A1038" t="s">
        <v>134</v>
      </c>
      <c r="B1038" t="s">
        <v>134</v>
      </c>
      <c r="C1038" t="s">
        <v>134</v>
      </c>
      <c r="D1038" t="s">
        <v>134</v>
      </c>
    </row>
    <row r="1039" spans="1:4" x14ac:dyDescent="0.25">
      <c r="A1039" t="s">
        <v>134</v>
      </c>
      <c r="B1039" t="s">
        <v>134</v>
      </c>
      <c r="C1039" t="s">
        <v>134</v>
      </c>
      <c r="D1039" t="s">
        <v>134</v>
      </c>
    </row>
    <row r="1040" spans="1:4" x14ac:dyDescent="0.25">
      <c r="A1040" t="s">
        <v>134</v>
      </c>
      <c r="B1040" t="s">
        <v>134</v>
      </c>
      <c r="C1040" t="s">
        <v>134</v>
      </c>
      <c r="D1040" t="s">
        <v>134</v>
      </c>
    </row>
    <row r="1041" spans="1:4" x14ac:dyDescent="0.25">
      <c r="A1041" t="s">
        <v>134</v>
      </c>
      <c r="B1041" t="s">
        <v>134</v>
      </c>
      <c r="C1041" t="s">
        <v>134</v>
      </c>
      <c r="D1041" t="s">
        <v>134</v>
      </c>
    </row>
    <row r="1042" spans="1:4" x14ac:dyDescent="0.25">
      <c r="A1042" t="s">
        <v>134</v>
      </c>
      <c r="B1042" t="s">
        <v>134</v>
      </c>
      <c r="C1042" t="s">
        <v>134</v>
      </c>
      <c r="D1042" t="s">
        <v>134</v>
      </c>
    </row>
    <row r="1043" spans="1:4" x14ac:dyDescent="0.25">
      <c r="A1043" t="s">
        <v>134</v>
      </c>
      <c r="B1043" t="s">
        <v>134</v>
      </c>
      <c r="C1043" t="s">
        <v>134</v>
      </c>
      <c r="D1043" t="s">
        <v>134</v>
      </c>
    </row>
    <row r="1044" spans="1:4" x14ac:dyDescent="0.25">
      <c r="A1044" t="s">
        <v>134</v>
      </c>
      <c r="B1044" t="s">
        <v>134</v>
      </c>
      <c r="C1044" t="s">
        <v>134</v>
      </c>
      <c r="D1044" t="s">
        <v>134</v>
      </c>
    </row>
    <row r="1045" spans="1:4" x14ac:dyDescent="0.25">
      <c r="A1045" t="s">
        <v>134</v>
      </c>
      <c r="B1045" t="s">
        <v>134</v>
      </c>
      <c r="C1045" t="s">
        <v>134</v>
      </c>
      <c r="D1045" t="s">
        <v>134</v>
      </c>
    </row>
    <row r="1046" spans="1:4" x14ac:dyDescent="0.25">
      <c r="A1046" t="s">
        <v>134</v>
      </c>
      <c r="B1046" t="s">
        <v>134</v>
      </c>
      <c r="C1046" t="s">
        <v>134</v>
      </c>
      <c r="D1046" t="s">
        <v>134</v>
      </c>
    </row>
    <row r="1047" spans="1:4" x14ac:dyDescent="0.25">
      <c r="A1047" t="s">
        <v>134</v>
      </c>
      <c r="B1047" t="s">
        <v>134</v>
      </c>
      <c r="C1047" t="s">
        <v>134</v>
      </c>
      <c r="D1047" t="s">
        <v>134</v>
      </c>
    </row>
    <row r="1048" spans="1:4" x14ac:dyDescent="0.25">
      <c r="A1048" t="s">
        <v>134</v>
      </c>
      <c r="B1048" t="s">
        <v>134</v>
      </c>
      <c r="C1048" t="s">
        <v>134</v>
      </c>
      <c r="D1048" t="s">
        <v>134</v>
      </c>
    </row>
    <row r="1049" spans="1:4" x14ac:dyDescent="0.25">
      <c r="A1049" t="s">
        <v>134</v>
      </c>
      <c r="B1049" t="s">
        <v>134</v>
      </c>
      <c r="C1049" t="s">
        <v>134</v>
      </c>
      <c r="D1049" t="s">
        <v>134</v>
      </c>
    </row>
    <row r="1050" spans="1:4" x14ac:dyDescent="0.25">
      <c r="A1050" t="s">
        <v>134</v>
      </c>
      <c r="B1050" t="s">
        <v>134</v>
      </c>
      <c r="C1050" t="s">
        <v>134</v>
      </c>
      <c r="D1050" t="s">
        <v>134</v>
      </c>
    </row>
    <row r="1051" spans="1:4" x14ac:dyDescent="0.25">
      <c r="A1051" t="s">
        <v>134</v>
      </c>
      <c r="B1051" t="s">
        <v>134</v>
      </c>
      <c r="C1051" t="s">
        <v>134</v>
      </c>
      <c r="D1051" t="s">
        <v>134</v>
      </c>
    </row>
    <row r="1052" spans="1:4" x14ac:dyDescent="0.25">
      <c r="A1052" t="s">
        <v>134</v>
      </c>
      <c r="B1052" t="s">
        <v>134</v>
      </c>
      <c r="C1052" t="s">
        <v>134</v>
      </c>
      <c r="D1052" t="s">
        <v>134</v>
      </c>
    </row>
    <row r="1053" spans="1:4" x14ac:dyDescent="0.25">
      <c r="A1053" t="s">
        <v>134</v>
      </c>
      <c r="B1053" t="s">
        <v>134</v>
      </c>
      <c r="C1053" t="s">
        <v>134</v>
      </c>
      <c r="D1053" t="s">
        <v>134</v>
      </c>
    </row>
    <row r="1054" spans="1:4" x14ac:dyDescent="0.25">
      <c r="A1054" t="s">
        <v>134</v>
      </c>
      <c r="B1054" t="s">
        <v>134</v>
      </c>
      <c r="C1054" t="s">
        <v>134</v>
      </c>
      <c r="D1054" t="s">
        <v>134</v>
      </c>
    </row>
    <row r="1055" spans="1:4" x14ac:dyDescent="0.25">
      <c r="A1055" t="s">
        <v>134</v>
      </c>
      <c r="B1055" t="s">
        <v>134</v>
      </c>
      <c r="C1055" t="s">
        <v>134</v>
      </c>
      <c r="D1055" t="s">
        <v>134</v>
      </c>
    </row>
    <row r="1056" spans="1:4" x14ac:dyDescent="0.25">
      <c r="A1056" t="s">
        <v>134</v>
      </c>
      <c r="B1056" t="s">
        <v>134</v>
      </c>
      <c r="C1056" t="s">
        <v>134</v>
      </c>
      <c r="D1056" t="s">
        <v>134</v>
      </c>
    </row>
    <row r="1057" spans="1:4" x14ac:dyDescent="0.25">
      <c r="A1057" t="s">
        <v>134</v>
      </c>
      <c r="B1057" t="s">
        <v>134</v>
      </c>
      <c r="C1057" t="s">
        <v>134</v>
      </c>
      <c r="D1057" t="s">
        <v>134</v>
      </c>
    </row>
    <row r="1058" spans="1:4" x14ac:dyDescent="0.25">
      <c r="A1058" t="s">
        <v>134</v>
      </c>
      <c r="B1058" t="s">
        <v>134</v>
      </c>
      <c r="C1058" t="s">
        <v>134</v>
      </c>
      <c r="D1058" t="s">
        <v>134</v>
      </c>
    </row>
    <row r="1059" spans="1:4" x14ac:dyDescent="0.25">
      <c r="A1059" t="s">
        <v>134</v>
      </c>
      <c r="B1059" t="s">
        <v>134</v>
      </c>
      <c r="C1059" t="s">
        <v>134</v>
      </c>
      <c r="D1059" t="s">
        <v>134</v>
      </c>
    </row>
    <row r="1060" spans="1:4" x14ac:dyDescent="0.25">
      <c r="A1060" t="s">
        <v>134</v>
      </c>
      <c r="B1060" t="s">
        <v>134</v>
      </c>
      <c r="C1060" t="s">
        <v>134</v>
      </c>
      <c r="D1060" t="s">
        <v>134</v>
      </c>
    </row>
    <row r="1061" spans="1:4" x14ac:dyDescent="0.25">
      <c r="A1061" t="s">
        <v>134</v>
      </c>
      <c r="B1061" t="s">
        <v>134</v>
      </c>
      <c r="C1061" t="s">
        <v>134</v>
      </c>
      <c r="D1061" t="s">
        <v>134</v>
      </c>
    </row>
    <row r="1062" spans="1:4" x14ac:dyDescent="0.25">
      <c r="A1062" t="s">
        <v>134</v>
      </c>
      <c r="B1062" t="s">
        <v>134</v>
      </c>
      <c r="C1062" t="s">
        <v>134</v>
      </c>
      <c r="D1062" t="s">
        <v>134</v>
      </c>
    </row>
    <row r="1063" spans="1:4" x14ac:dyDescent="0.25">
      <c r="A1063" t="s">
        <v>134</v>
      </c>
      <c r="B1063" t="s">
        <v>134</v>
      </c>
      <c r="C1063" t="s">
        <v>134</v>
      </c>
      <c r="D1063" t="s">
        <v>134</v>
      </c>
    </row>
    <row r="1064" spans="1:4" x14ac:dyDescent="0.25">
      <c r="A1064" t="s">
        <v>134</v>
      </c>
      <c r="B1064" t="s">
        <v>134</v>
      </c>
      <c r="C1064" t="s">
        <v>134</v>
      </c>
      <c r="D1064" t="s">
        <v>134</v>
      </c>
    </row>
    <row r="1065" spans="1:4" x14ac:dyDescent="0.25">
      <c r="A1065" t="s">
        <v>134</v>
      </c>
      <c r="B1065" t="s">
        <v>134</v>
      </c>
      <c r="C1065" t="s">
        <v>134</v>
      </c>
      <c r="D1065" t="s">
        <v>134</v>
      </c>
    </row>
    <row r="1066" spans="1:4" x14ac:dyDescent="0.25">
      <c r="A1066" t="s">
        <v>134</v>
      </c>
      <c r="B1066" t="s">
        <v>134</v>
      </c>
      <c r="C1066" t="s">
        <v>134</v>
      </c>
      <c r="D1066" t="s">
        <v>134</v>
      </c>
    </row>
    <row r="1067" spans="1:4" x14ac:dyDescent="0.25">
      <c r="A1067" t="s">
        <v>134</v>
      </c>
      <c r="B1067" t="s">
        <v>134</v>
      </c>
      <c r="C1067" t="s">
        <v>134</v>
      </c>
      <c r="D1067" t="s">
        <v>134</v>
      </c>
    </row>
    <row r="1068" spans="1:4" x14ac:dyDescent="0.25">
      <c r="A1068" t="s">
        <v>134</v>
      </c>
      <c r="B1068" t="s">
        <v>134</v>
      </c>
      <c r="C1068" t="s">
        <v>134</v>
      </c>
      <c r="D1068" t="s">
        <v>134</v>
      </c>
    </row>
    <row r="1069" spans="1:4" x14ac:dyDescent="0.25">
      <c r="A1069" t="s">
        <v>134</v>
      </c>
      <c r="B1069" t="s">
        <v>134</v>
      </c>
      <c r="C1069" t="s">
        <v>134</v>
      </c>
      <c r="D1069" t="s">
        <v>134</v>
      </c>
    </row>
    <row r="1070" spans="1:4" x14ac:dyDescent="0.25">
      <c r="A1070" t="s">
        <v>134</v>
      </c>
      <c r="B1070" t="s">
        <v>134</v>
      </c>
      <c r="C1070" t="s">
        <v>134</v>
      </c>
      <c r="D1070" t="s">
        <v>134</v>
      </c>
    </row>
    <row r="1071" spans="1:4" x14ac:dyDescent="0.25">
      <c r="A1071" t="s">
        <v>134</v>
      </c>
      <c r="B1071" t="s">
        <v>134</v>
      </c>
      <c r="C1071" t="s">
        <v>134</v>
      </c>
      <c r="D1071" t="s">
        <v>134</v>
      </c>
    </row>
    <row r="1072" spans="1:4" x14ac:dyDescent="0.25">
      <c r="A1072" t="s">
        <v>134</v>
      </c>
      <c r="B1072" t="s">
        <v>134</v>
      </c>
      <c r="C1072" t="s">
        <v>134</v>
      </c>
      <c r="D1072" t="s">
        <v>134</v>
      </c>
    </row>
    <row r="1073" spans="1:4" x14ac:dyDescent="0.25">
      <c r="A1073" t="s">
        <v>134</v>
      </c>
      <c r="B1073" t="s">
        <v>134</v>
      </c>
      <c r="C1073" t="s">
        <v>134</v>
      </c>
      <c r="D1073" t="s">
        <v>134</v>
      </c>
    </row>
    <row r="1074" spans="1:4" x14ac:dyDescent="0.25">
      <c r="A1074" t="s">
        <v>134</v>
      </c>
      <c r="B1074" t="s">
        <v>134</v>
      </c>
      <c r="C1074" t="s">
        <v>134</v>
      </c>
      <c r="D1074" t="s">
        <v>134</v>
      </c>
    </row>
    <row r="1075" spans="1:4" x14ac:dyDescent="0.25">
      <c r="A1075" t="s">
        <v>134</v>
      </c>
      <c r="B1075" t="s">
        <v>134</v>
      </c>
      <c r="C1075" t="s">
        <v>134</v>
      </c>
      <c r="D1075" t="s">
        <v>134</v>
      </c>
    </row>
    <row r="1076" spans="1:4" x14ac:dyDescent="0.25">
      <c r="A1076" t="s">
        <v>134</v>
      </c>
      <c r="B1076" t="s">
        <v>134</v>
      </c>
      <c r="C1076" t="s">
        <v>134</v>
      </c>
      <c r="D1076" t="s">
        <v>134</v>
      </c>
    </row>
    <row r="1077" spans="1:4" x14ac:dyDescent="0.25">
      <c r="A1077" t="s">
        <v>134</v>
      </c>
      <c r="B1077" t="s">
        <v>134</v>
      </c>
      <c r="C1077" t="s">
        <v>134</v>
      </c>
      <c r="D1077" t="s">
        <v>134</v>
      </c>
    </row>
    <row r="1078" spans="1:4" x14ac:dyDescent="0.25">
      <c r="A1078" t="s">
        <v>134</v>
      </c>
      <c r="B1078" t="s">
        <v>134</v>
      </c>
      <c r="C1078" t="s">
        <v>134</v>
      </c>
      <c r="D1078" t="s">
        <v>134</v>
      </c>
    </row>
    <row r="1079" spans="1:4" x14ac:dyDescent="0.25">
      <c r="A1079" t="s">
        <v>134</v>
      </c>
      <c r="B1079" t="s">
        <v>134</v>
      </c>
      <c r="C1079" t="s">
        <v>134</v>
      </c>
      <c r="D1079" t="s">
        <v>134</v>
      </c>
    </row>
    <row r="1080" spans="1:4" x14ac:dyDescent="0.25">
      <c r="A1080" t="s">
        <v>134</v>
      </c>
      <c r="B1080" t="s">
        <v>134</v>
      </c>
      <c r="C1080" t="s">
        <v>134</v>
      </c>
      <c r="D1080" t="s">
        <v>134</v>
      </c>
    </row>
    <row r="1081" spans="1:4" x14ac:dyDescent="0.25">
      <c r="A1081" t="s">
        <v>134</v>
      </c>
      <c r="B1081" t="s">
        <v>134</v>
      </c>
      <c r="C1081" t="s">
        <v>134</v>
      </c>
      <c r="D1081" t="s">
        <v>134</v>
      </c>
    </row>
    <row r="1082" spans="1:4" x14ac:dyDescent="0.25">
      <c r="A1082" t="s">
        <v>134</v>
      </c>
      <c r="B1082" t="s">
        <v>134</v>
      </c>
      <c r="C1082" t="s">
        <v>134</v>
      </c>
      <c r="D1082" t="s">
        <v>134</v>
      </c>
    </row>
    <row r="1083" spans="1:4" x14ac:dyDescent="0.25">
      <c r="A1083" t="s">
        <v>134</v>
      </c>
      <c r="B1083" t="s">
        <v>134</v>
      </c>
      <c r="C1083" t="s">
        <v>134</v>
      </c>
      <c r="D1083" t="s">
        <v>134</v>
      </c>
    </row>
    <row r="1084" spans="1:4" x14ac:dyDescent="0.25">
      <c r="A1084" t="s">
        <v>134</v>
      </c>
      <c r="B1084" t="s">
        <v>134</v>
      </c>
      <c r="C1084" t="s">
        <v>134</v>
      </c>
      <c r="D1084" t="s">
        <v>134</v>
      </c>
    </row>
    <row r="1085" spans="1:4" x14ac:dyDescent="0.25">
      <c r="A1085" t="s">
        <v>134</v>
      </c>
      <c r="B1085" t="s">
        <v>134</v>
      </c>
      <c r="C1085" t="s">
        <v>134</v>
      </c>
      <c r="D1085" t="s">
        <v>134</v>
      </c>
    </row>
    <row r="1086" spans="1:4" x14ac:dyDescent="0.25">
      <c r="A1086" t="s">
        <v>134</v>
      </c>
      <c r="B1086" t="s">
        <v>134</v>
      </c>
      <c r="C1086" t="s">
        <v>134</v>
      </c>
      <c r="D1086" t="s">
        <v>134</v>
      </c>
    </row>
    <row r="1087" spans="1:4" x14ac:dyDescent="0.25">
      <c r="A1087" t="s">
        <v>134</v>
      </c>
      <c r="B1087" t="s">
        <v>134</v>
      </c>
      <c r="C1087" t="s">
        <v>134</v>
      </c>
      <c r="D1087" t="s">
        <v>134</v>
      </c>
    </row>
    <row r="1088" spans="1:4" x14ac:dyDescent="0.25">
      <c r="A1088" t="s">
        <v>134</v>
      </c>
      <c r="B1088" t="s">
        <v>134</v>
      </c>
      <c r="C1088" t="s">
        <v>134</v>
      </c>
      <c r="D1088" t="s">
        <v>134</v>
      </c>
    </row>
    <row r="1089" spans="1:4" x14ac:dyDescent="0.25">
      <c r="A1089" t="s">
        <v>134</v>
      </c>
      <c r="B1089" t="s">
        <v>134</v>
      </c>
      <c r="C1089" t="s">
        <v>134</v>
      </c>
      <c r="D1089" t="s">
        <v>134</v>
      </c>
    </row>
    <row r="1090" spans="1:4" x14ac:dyDescent="0.25">
      <c r="A1090" t="s">
        <v>134</v>
      </c>
      <c r="B1090" t="s">
        <v>134</v>
      </c>
      <c r="C1090" t="s">
        <v>134</v>
      </c>
      <c r="D1090" t="s">
        <v>134</v>
      </c>
    </row>
    <row r="1091" spans="1:4" x14ac:dyDescent="0.25">
      <c r="A1091" t="s">
        <v>134</v>
      </c>
      <c r="B1091" t="s">
        <v>134</v>
      </c>
      <c r="C1091" t="s">
        <v>134</v>
      </c>
      <c r="D1091" t="s">
        <v>134</v>
      </c>
    </row>
    <row r="1092" spans="1:4" x14ac:dyDescent="0.25">
      <c r="A1092" t="s">
        <v>134</v>
      </c>
      <c r="B1092" t="s">
        <v>134</v>
      </c>
      <c r="C1092" t="s">
        <v>134</v>
      </c>
      <c r="D1092" t="s">
        <v>134</v>
      </c>
    </row>
    <row r="1093" spans="1:4" x14ac:dyDescent="0.25">
      <c r="A1093" t="s">
        <v>134</v>
      </c>
      <c r="B1093" t="s">
        <v>134</v>
      </c>
      <c r="C1093" t="s">
        <v>134</v>
      </c>
      <c r="D1093" t="s">
        <v>134</v>
      </c>
    </row>
    <row r="1094" spans="1:4" x14ac:dyDescent="0.25">
      <c r="A1094" t="s">
        <v>134</v>
      </c>
      <c r="B1094" t="s">
        <v>134</v>
      </c>
      <c r="C1094" t="s">
        <v>134</v>
      </c>
      <c r="D1094" t="s">
        <v>134</v>
      </c>
    </row>
    <row r="1095" spans="1:4" x14ac:dyDescent="0.25">
      <c r="A1095" t="s">
        <v>134</v>
      </c>
      <c r="B1095" t="s">
        <v>134</v>
      </c>
      <c r="C1095" t="s">
        <v>134</v>
      </c>
      <c r="D1095" t="s">
        <v>134</v>
      </c>
    </row>
    <row r="1096" spans="1:4" x14ac:dyDescent="0.25">
      <c r="A1096" t="s">
        <v>134</v>
      </c>
      <c r="B1096" t="s">
        <v>134</v>
      </c>
      <c r="C1096" t="s">
        <v>134</v>
      </c>
      <c r="D1096" t="s">
        <v>134</v>
      </c>
    </row>
    <row r="1097" spans="1:4" x14ac:dyDescent="0.25">
      <c r="A1097" t="s">
        <v>134</v>
      </c>
      <c r="B1097" t="s">
        <v>134</v>
      </c>
      <c r="C1097" t="s">
        <v>134</v>
      </c>
      <c r="D1097" t="s">
        <v>134</v>
      </c>
    </row>
    <row r="1098" spans="1:4" x14ac:dyDescent="0.25">
      <c r="A1098" t="s">
        <v>134</v>
      </c>
      <c r="B1098" t="s">
        <v>134</v>
      </c>
      <c r="C1098" t="s">
        <v>134</v>
      </c>
      <c r="D1098" t="s">
        <v>134</v>
      </c>
    </row>
    <row r="1099" spans="1:4" x14ac:dyDescent="0.25">
      <c r="A1099" t="s">
        <v>134</v>
      </c>
      <c r="B1099" t="s">
        <v>134</v>
      </c>
      <c r="C1099" t="s">
        <v>134</v>
      </c>
      <c r="D1099" t="s">
        <v>134</v>
      </c>
    </row>
    <row r="1100" spans="1:4" x14ac:dyDescent="0.25">
      <c r="A1100" t="s">
        <v>134</v>
      </c>
      <c r="B1100" t="s">
        <v>134</v>
      </c>
      <c r="C1100" t="s">
        <v>134</v>
      </c>
      <c r="D1100" t="s">
        <v>134</v>
      </c>
    </row>
    <row r="1101" spans="1:4" x14ac:dyDescent="0.25">
      <c r="A1101" t="s">
        <v>134</v>
      </c>
      <c r="B1101" t="s">
        <v>134</v>
      </c>
      <c r="C1101" t="s">
        <v>134</v>
      </c>
      <c r="D1101" t="s">
        <v>134</v>
      </c>
    </row>
    <row r="1102" spans="1:4" x14ac:dyDescent="0.25">
      <c r="A1102" t="s">
        <v>134</v>
      </c>
      <c r="B1102" t="s">
        <v>134</v>
      </c>
      <c r="C1102" t="s">
        <v>134</v>
      </c>
      <c r="D1102" t="s">
        <v>134</v>
      </c>
    </row>
    <row r="1103" spans="1:4" x14ac:dyDescent="0.25">
      <c r="A1103" t="s">
        <v>134</v>
      </c>
      <c r="B1103" t="s">
        <v>134</v>
      </c>
      <c r="C1103" t="s">
        <v>134</v>
      </c>
      <c r="D1103" t="s">
        <v>134</v>
      </c>
    </row>
    <row r="1104" spans="1:4" x14ac:dyDescent="0.25">
      <c r="A1104" t="s">
        <v>134</v>
      </c>
      <c r="B1104" t="s">
        <v>134</v>
      </c>
      <c r="C1104" t="s">
        <v>134</v>
      </c>
      <c r="D1104" t="s">
        <v>134</v>
      </c>
    </row>
    <row r="1105" spans="1:4" x14ac:dyDescent="0.25">
      <c r="A1105" t="s">
        <v>134</v>
      </c>
      <c r="B1105" t="s">
        <v>134</v>
      </c>
      <c r="C1105" t="s">
        <v>134</v>
      </c>
      <c r="D1105" t="s">
        <v>134</v>
      </c>
    </row>
    <row r="1106" spans="1:4" x14ac:dyDescent="0.25">
      <c r="A1106" t="s">
        <v>134</v>
      </c>
      <c r="B1106" t="s">
        <v>134</v>
      </c>
      <c r="C1106" t="s">
        <v>134</v>
      </c>
      <c r="D1106" t="s">
        <v>134</v>
      </c>
    </row>
    <row r="1107" spans="1:4" x14ac:dyDescent="0.25">
      <c r="A1107" t="s">
        <v>134</v>
      </c>
      <c r="B1107" t="s">
        <v>134</v>
      </c>
      <c r="C1107" t="s">
        <v>134</v>
      </c>
      <c r="D1107" t="s">
        <v>134</v>
      </c>
    </row>
    <row r="1108" spans="1:4" x14ac:dyDescent="0.25">
      <c r="A1108" t="s">
        <v>134</v>
      </c>
      <c r="B1108" t="s">
        <v>134</v>
      </c>
      <c r="C1108" t="s">
        <v>134</v>
      </c>
      <c r="D1108" t="s">
        <v>134</v>
      </c>
    </row>
    <row r="1109" spans="1:4" x14ac:dyDescent="0.25">
      <c r="A1109" t="s">
        <v>134</v>
      </c>
      <c r="B1109" t="s">
        <v>134</v>
      </c>
      <c r="C1109" t="s">
        <v>134</v>
      </c>
      <c r="D1109" t="s">
        <v>134</v>
      </c>
    </row>
    <row r="1110" spans="1:4" x14ac:dyDescent="0.25">
      <c r="A1110" t="s">
        <v>134</v>
      </c>
      <c r="B1110" t="s">
        <v>134</v>
      </c>
      <c r="C1110" t="s">
        <v>134</v>
      </c>
      <c r="D1110" t="s">
        <v>134</v>
      </c>
    </row>
    <row r="1111" spans="1:4" x14ac:dyDescent="0.25">
      <c r="A1111" t="s">
        <v>134</v>
      </c>
      <c r="B1111" t="s">
        <v>134</v>
      </c>
      <c r="C1111" t="s">
        <v>134</v>
      </c>
      <c r="D1111" t="s">
        <v>134</v>
      </c>
    </row>
    <row r="1112" spans="1:4" x14ac:dyDescent="0.25">
      <c r="A1112" t="s">
        <v>134</v>
      </c>
      <c r="B1112" t="s">
        <v>134</v>
      </c>
      <c r="C1112" t="s">
        <v>134</v>
      </c>
      <c r="D1112" t="s">
        <v>134</v>
      </c>
    </row>
    <row r="1113" spans="1:4" x14ac:dyDescent="0.25">
      <c r="A1113" t="s">
        <v>134</v>
      </c>
      <c r="B1113" t="s">
        <v>134</v>
      </c>
      <c r="C1113" t="s">
        <v>134</v>
      </c>
      <c r="D1113" t="s">
        <v>134</v>
      </c>
    </row>
    <row r="1114" spans="1:4" x14ac:dyDescent="0.25">
      <c r="A1114" t="s">
        <v>134</v>
      </c>
      <c r="B1114" t="s">
        <v>134</v>
      </c>
      <c r="C1114" t="s">
        <v>134</v>
      </c>
      <c r="D1114" t="s">
        <v>134</v>
      </c>
    </row>
    <row r="1115" spans="1:4" x14ac:dyDescent="0.25">
      <c r="A1115" t="s">
        <v>134</v>
      </c>
      <c r="B1115" t="s">
        <v>134</v>
      </c>
      <c r="C1115" t="s">
        <v>134</v>
      </c>
      <c r="D1115" t="s">
        <v>134</v>
      </c>
    </row>
    <row r="1116" spans="1:4" x14ac:dyDescent="0.25">
      <c r="A1116" t="s">
        <v>134</v>
      </c>
      <c r="B1116" t="s">
        <v>134</v>
      </c>
      <c r="C1116" t="s">
        <v>134</v>
      </c>
      <c r="D1116" t="s">
        <v>134</v>
      </c>
    </row>
    <row r="1117" spans="1:4" x14ac:dyDescent="0.25">
      <c r="A1117" t="s">
        <v>134</v>
      </c>
      <c r="B1117" t="s">
        <v>134</v>
      </c>
      <c r="C1117" t="s">
        <v>134</v>
      </c>
      <c r="D1117" t="s">
        <v>134</v>
      </c>
    </row>
    <row r="1118" spans="1:4" x14ac:dyDescent="0.25">
      <c r="A1118" t="s">
        <v>134</v>
      </c>
      <c r="B1118" t="s">
        <v>134</v>
      </c>
      <c r="C1118" t="s">
        <v>134</v>
      </c>
      <c r="D1118" t="s">
        <v>134</v>
      </c>
    </row>
    <row r="1119" spans="1:4" x14ac:dyDescent="0.25">
      <c r="A1119" t="s">
        <v>134</v>
      </c>
      <c r="B1119" t="s">
        <v>134</v>
      </c>
      <c r="C1119" t="s">
        <v>134</v>
      </c>
      <c r="D1119" t="s">
        <v>134</v>
      </c>
    </row>
    <row r="1120" spans="1:4" x14ac:dyDescent="0.25">
      <c r="A1120" t="s">
        <v>134</v>
      </c>
      <c r="B1120" t="s">
        <v>134</v>
      </c>
      <c r="C1120" t="s">
        <v>134</v>
      </c>
      <c r="D1120" t="s">
        <v>134</v>
      </c>
    </row>
    <row r="1121" spans="1:4" x14ac:dyDescent="0.25">
      <c r="A1121" t="s">
        <v>134</v>
      </c>
      <c r="B1121" t="s">
        <v>134</v>
      </c>
      <c r="C1121" t="s">
        <v>134</v>
      </c>
      <c r="D1121" t="s">
        <v>134</v>
      </c>
    </row>
    <row r="1122" spans="1:4" x14ac:dyDescent="0.25">
      <c r="A1122" t="s">
        <v>134</v>
      </c>
      <c r="B1122" t="s">
        <v>134</v>
      </c>
      <c r="C1122" t="s">
        <v>134</v>
      </c>
      <c r="D1122" t="s">
        <v>134</v>
      </c>
    </row>
    <row r="1123" spans="1:4" x14ac:dyDescent="0.25">
      <c r="A1123" t="s">
        <v>134</v>
      </c>
      <c r="B1123" t="s">
        <v>134</v>
      </c>
      <c r="C1123" t="s">
        <v>134</v>
      </c>
      <c r="D1123" t="s">
        <v>134</v>
      </c>
    </row>
    <row r="1124" spans="1:4" x14ac:dyDescent="0.25">
      <c r="A1124" t="s">
        <v>134</v>
      </c>
      <c r="B1124" t="s">
        <v>134</v>
      </c>
      <c r="C1124" t="s">
        <v>134</v>
      </c>
      <c r="D1124" t="s">
        <v>134</v>
      </c>
    </row>
    <row r="1125" spans="1:4" x14ac:dyDescent="0.25">
      <c r="A1125" t="s">
        <v>134</v>
      </c>
      <c r="B1125" t="s">
        <v>134</v>
      </c>
      <c r="C1125" t="s">
        <v>134</v>
      </c>
      <c r="D1125" t="s">
        <v>134</v>
      </c>
    </row>
    <row r="1126" spans="1:4" x14ac:dyDescent="0.25">
      <c r="A1126" t="s">
        <v>134</v>
      </c>
      <c r="B1126" t="s">
        <v>134</v>
      </c>
      <c r="C1126" t="s">
        <v>134</v>
      </c>
      <c r="D1126" t="s">
        <v>134</v>
      </c>
    </row>
    <row r="1127" spans="1:4" x14ac:dyDescent="0.25">
      <c r="A1127" t="s">
        <v>134</v>
      </c>
      <c r="B1127" t="s">
        <v>134</v>
      </c>
      <c r="C1127" t="s">
        <v>134</v>
      </c>
      <c r="D1127" t="s">
        <v>134</v>
      </c>
    </row>
    <row r="1128" spans="1:4" x14ac:dyDescent="0.25">
      <c r="A1128" t="s">
        <v>134</v>
      </c>
      <c r="B1128" t="s">
        <v>134</v>
      </c>
      <c r="C1128" t="s">
        <v>134</v>
      </c>
      <c r="D1128" t="s">
        <v>134</v>
      </c>
    </row>
    <row r="1129" spans="1:4" x14ac:dyDescent="0.25">
      <c r="A1129" t="s">
        <v>134</v>
      </c>
      <c r="B1129" t="s">
        <v>134</v>
      </c>
      <c r="C1129" t="s">
        <v>134</v>
      </c>
      <c r="D1129" t="s">
        <v>134</v>
      </c>
    </row>
    <row r="1130" spans="1:4" x14ac:dyDescent="0.25">
      <c r="A1130" t="s">
        <v>134</v>
      </c>
      <c r="B1130" t="s">
        <v>134</v>
      </c>
      <c r="C1130" t="s">
        <v>134</v>
      </c>
      <c r="D1130" t="s">
        <v>134</v>
      </c>
    </row>
    <row r="1131" spans="1:4" x14ac:dyDescent="0.25">
      <c r="A1131" t="s">
        <v>134</v>
      </c>
      <c r="B1131" t="s">
        <v>134</v>
      </c>
      <c r="C1131" t="s">
        <v>134</v>
      </c>
      <c r="D1131" t="s">
        <v>134</v>
      </c>
    </row>
    <row r="1132" spans="1:4" x14ac:dyDescent="0.25">
      <c r="A1132" t="s">
        <v>134</v>
      </c>
      <c r="B1132" t="s">
        <v>134</v>
      </c>
      <c r="C1132" t="s">
        <v>134</v>
      </c>
      <c r="D1132" t="s">
        <v>134</v>
      </c>
    </row>
    <row r="1133" spans="1:4" x14ac:dyDescent="0.25">
      <c r="A1133" t="s">
        <v>134</v>
      </c>
      <c r="B1133" t="s">
        <v>134</v>
      </c>
      <c r="C1133" t="s">
        <v>134</v>
      </c>
      <c r="D1133" t="s">
        <v>134</v>
      </c>
    </row>
    <row r="1134" spans="1:4" x14ac:dyDescent="0.25">
      <c r="A1134" t="s">
        <v>134</v>
      </c>
      <c r="B1134" t="s">
        <v>134</v>
      </c>
      <c r="C1134" t="s">
        <v>134</v>
      </c>
      <c r="D1134" t="s">
        <v>134</v>
      </c>
    </row>
    <row r="1135" spans="1:4" x14ac:dyDescent="0.25">
      <c r="A1135" t="s">
        <v>134</v>
      </c>
      <c r="B1135" t="s">
        <v>134</v>
      </c>
      <c r="C1135" t="s">
        <v>134</v>
      </c>
      <c r="D1135" t="s">
        <v>134</v>
      </c>
    </row>
    <row r="1136" spans="1:4" x14ac:dyDescent="0.25">
      <c r="A1136" t="s">
        <v>134</v>
      </c>
      <c r="B1136" t="s">
        <v>134</v>
      </c>
      <c r="C1136" t="s">
        <v>134</v>
      </c>
      <c r="D1136" t="s">
        <v>134</v>
      </c>
    </row>
    <row r="1137" spans="1:4" x14ac:dyDescent="0.25">
      <c r="A1137" t="s">
        <v>134</v>
      </c>
      <c r="B1137" t="s">
        <v>134</v>
      </c>
      <c r="C1137" t="s">
        <v>134</v>
      </c>
      <c r="D1137" t="s">
        <v>134</v>
      </c>
    </row>
    <row r="1138" spans="1:4" x14ac:dyDescent="0.25">
      <c r="A1138" t="s">
        <v>134</v>
      </c>
      <c r="B1138" t="s">
        <v>134</v>
      </c>
      <c r="C1138" t="s">
        <v>134</v>
      </c>
      <c r="D1138" t="s">
        <v>134</v>
      </c>
    </row>
    <row r="1139" spans="1:4" x14ac:dyDescent="0.25">
      <c r="A1139" t="s">
        <v>134</v>
      </c>
      <c r="B1139" t="s">
        <v>134</v>
      </c>
      <c r="C1139" t="s">
        <v>134</v>
      </c>
      <c r="D1139" t="s">
        <v>134</v>
      </c>
    </row>
    <row r="1140" spans="1:4" x14ac:dyDescent="0.25">
      <c r="A1140" t="s">
        <v>134</v>
      </c>
      <c r="B1140" t="s">
        <v>134</v>
      </c>
      <c r="C1140" t="s">
        <v>134</v>
      </c>
      <c r="D1140" t="s">
        <v>134</v>
      </c>
    </row>
    <row r="1141" spans="1:4" x14ac:dyDescent="0.25">
      <c r="A1141" t="s">
        <v>134</v>
      </c>
      <c r="B1141" t="s">
        <v>134</v>
      </c>
      <c r="C1141" t="s">
        <v>134</v>
      </c>
      <c r="D1141" t="s">
        <v>134</v>
      </c>
    </row>
    <row r="1142" spans="1:4" x14ac:dyDescent="0.25">
      <c r="A1142" t="s">
        <v>134</v>
      </c>
      <c r="B1142" t="s">
        <v>134</v>
      </c>
      <c r="C1142" t="s">
        <v>134</v>
      </c>
      <c r="D1142" t="s">
        <v>134</v>
      </c>
    </row>
    <row r="1143" spans="1:4" x14ac:dyDescent="0.25">
      <c r="A1143" t="s">
        <v>134</v>
      </c>
      <c r="B1143" t="s">
        <v>134</v>
      </c>
      <c r="C1143" t="s">
        <v>134</v>
      </c>
      <c r="D1143" t="s">
        <v>134</v>
      </c>
    </row>
    <row r="1144" spans="1:4" x14ac:dyDescent="0.25">
      <c r="A1144" t="s">
        <v>134</v>
      </c>
      <c r="B1144" t="s">
        <v>134</v>
      </c>
      <c r="C1144" t="s">
        <v>134</v>
      </c>
      <c r="D1144" t="s">
        <v>134</v>
      </c>
    </row>
    <row r="1145" spans="1:4" x14ac:dyDescent="0.25">
      <c r="A1145" t="s">
        <v>134</v>
      </c>
      <c r="B1145" t="s">
        <v>134</v>
      </c>
      <c r="C1145" t="s">
        <v>134</v>
      </c>
      <c r="D1145" t="s">
        <v>134</v>
      </c>
    </row>
    <row r="1146" spans="1:4" x14ac:dyDescent="0.25">
      <c r="A1146" t="s">
        <v>134</v>
      </c>
      <c r="B1146" t="s">
        <v>134</v>
      </c>
      <c r="C1146" t="s">
        <v>134</v>
      </c>
      <c r="D1146" t="s">
        <v>134</v>
      </c>
    </row>
    <row r="1147" spans="1:4" x14ac:dyDescent="0.25">
      <c r="A1147" t="s">
        <v>134</v>
      </c>
      <c r="B1147" t="s">
        <v>134</v>
      </c>
      <c r="C1147" t="s">
        <v>134</v>
      </c>
      <c r="D1147" t="s">
        <v>134</v>
      </c>
    </row>
    <row r="1148" spans="1:4" x14ac:dyDescent="0.25">
      <c r="A1148" t="s">
        <v>134</v>
      </c>
      <c r="B1148" t="s">
        <v>134</v>
      </c>
      <c r="C1148" t="s">
        <v>134</v>
      </c>
      <c r="D1148" t="s">
        <v>134</v>
      </c>
    </row>
    <row r="1149" spans="1:4" x14ac:dyDescent="0.25">
      <c r="A1149" t="s">
        <v>134</v>
      </c>
      <c r="B1149" t="s">
        <v>134</v>
      </c>
      <c r="C1149" t="s">
        <v>134</v>
      </c>
      <c r="D1149" t="s">
        <v>134</v>
      </c>
    </row>
    <row r="1150" spans="1:4" x14ac:dyDescent="0.25">
      <c r="A1150" t="s">
        <v>134</v>
      </c>
      <c r="B1150" t="s">
        <v>134</v>
      </c>
      <c r="C1150" t="s">
        <v>134</v>
      </c>
      <c r="D1150" t="s">
        <v>134</v>
      </c>
    </row>
    <row r="1151" spans="1:4" x14ac:dyDescent="0.25">
      <c r="A1151" t="s">
        <v>134</v>
      </c>
      <c r="B1151" t="s">
        <v>134</v>
      </c>
      <c r="C1151" t="s">
        <v>134</v>
      </c>
      <c r="D1151" t="s">
        <v>134</v>
      </c>
    </row>
    <row r="1152" spans="1:4" x14ac:dyDescent="0.25">
      <c r="A1152" t="s">
        <v>134</v>
      </c>
      <c r="B1152" t="s">
        <v>134</v>
      </c>
      <c r="C1152" t="s">
        <v>134</v>
      </c>
      <c r="D1152" t="s">
        <v>134</v>
      </c>
    </row>
    <row r="1153" spans="1:4" x14ac:dyDescent="0.25">
      <c r="A1153" t="s">
        <v>134</v>
      </c>
      <c r="B1153" t="s">
        <v>134</v>
      </c>
      <c r="C1153" t="s">
        <v>134</v>
      </c>
      <c r="D1153" t="s">
        <v>134</v>
      </c>
    </row>
    <row r="1154" spans="1:4" x14ac:dyDescent="0.25">
      <c r="A1154" t="s">
        <v>134</v>
      </c>
      <c r="B1154" t="s">
        <v>134</v>
      </c>
      <c r="C1154" t="s">
        <v>134</v>
      </c>
      <c r="D1154" t="s">
        <v>134</v>
      </c>
    </row>
    <row r="1155" spans="1:4" x14ac:dyDescent="0.25">
      <c r="A1155" t="s">
        <v>134</v>
      </c>
      <c r="B1155" t="s">
        <v>134</v>
      </c>
      <c r="C1155" t="s">
        <v>134</v>
      </c>
      <c r="D1155" t="s">
        <v>134</v>
      </c>
    </row>
    <row r="1156" spans="1:4" x14ac:dyDescent="0.25">
      <c r="A1156" t="s">
        <v>134</v>
      </c>
      <c r="B1156" t="s">
        <v>134</v>
      </c>
      <c r="C1156" t="s">
        <v>134</v>
      </c>
      <c r="D1156" t="s">
        <v>134</v>
      </c>
    </row>
    <row r="1157" spans="1:4" x14ac:dyDescent="0.25">
      <c r="A1157" t="s">
        <v>134</v>
      </c>
      <c r="B1157" t="s">
        <v>134</v>
      </c>
      <c r="C1157" t="s">
        <v>134</v>
      </c>
      <c r="D1157" t="s">
        <v>134</v>
      </c>
    </row>
    <row r="1158" spans="1:4" x14ac:dyDescent="0.25">
      <c r="A1158" t="s">
        <v>134</v>
      </c>
      <c r="B1158" t="s">
        <v>134</v>
      </c>
      <c r="C1158" t="s">
        <v>134</v>
      </c>
      <c r="D1158" t="s">
        <v>134</v>
      </c>
    </row>
    <row r="1159" spans="1:4" x14ac:dyDescent="0.25">
      <c r="A1159" t="s">
        <v>134</v>
      </c>
      <c r="B1159" t="s">
        <v>134</v>
      </c>
      <c r="C1159" t="s">
        <v>134</v>
      </c>
      <c r="D1159" t="s">
        <v>134</v>
      </c>
    </row>
    <row r="1160" spans="1:4" x14ac:dyDescent="0.25">
      <c r="A1160" t="s">
        <v>134</v>
      </c>
      <c r="B1160" t="s">
        <v>134</v>
      </c>
      <c r="C1160" t="s">
        <v>134</v>
      </c>
      <c r="D1160" t="s">
        <v>134</v>
      </c>
    </row>
    <row r="1161" spans="1:4" x14ac:dyDescent="0.25">
      <c r="A1161" t="s">
        <v>134</v>
      </c>
      <c r="B1161" t="s">
        <v>134</v>
      </c>
      <c r="C1161" t="s">
        <v>134</v>
      </c>
      <c r="D1161" t="s">
        <v>134</v>
      </c>
    </row>
    <row r="1162" spans="1:4" x14ac:dyDescent="0.25">
      <c r="A1162" t="s">
        <v>134</v>
      </c>
      <c r="B1162" t="s">
        <v>134</v>
      </c>
      <c r="C1162" t="s">
        <v>134</v>
      </c>
      <c r="D1162" t="s">
        <v>134</v>
      </c>
    </row>
    <row r="1163" spans="1:4" x14ac:dyDescent="0.25">
      <c r="A1163" t="s">
        <v>134</v>
      </c>
      <c r="B1163" t="s">
        <v>134</v>
      </c>
      <c r="C1163" t="s">
        <v>134</v>
      </c>
      <c r="D1163" t="s">
        <v>134</v>
      </c>
    </row>
    <row r="1164" spans="1:4" x14ac:dyDescent="0.25">
      <c r="A1164" t="s">
        <v>134</v>
      </c>
      <c r="B1164" t="s">
        <v>134</v>
      </c>
      <c r="C1164" t="s">
        <v>134</v>
      </c>
      <c r="D1164" t="s">
        <v>134</v>
      </c>
    </row>
    <row r="1165" spans="1:4" x14ac:dyDescent="0.25">
      <c r="A1165" t="s">
        <v>134</v>
      </c>
      <c r="B1165" t="s">
        <v>134</v>
      </c>
      <c r="C1165" t="s">
        <v>134</v>
      </c>
      <c r="D1165" t="s">
        <v>134</v>
      </c>
    </row>
    <row r="1166" spans="1:4" x14ac:dyDescent="0.25">
      <c r="A1166" t="s">
        <v>134</v>
      </c>
      <c r="B1166" t="s">
        <v>134</v>
      </c>
      <c r="C1166" t="s">
        <v>134</v>
      </c>
      <c r="D1166" t="s">
        <v>134</v>
      </c>
    </row>
    <row r="1167" spans="1:4" x14ac:dyDescent="0.25">
      <c r="A1167" t="s">
        <v>134</v>
      </c>
      <c r="B1167" t="s">
        <v>134</v>
      </c>
      <c r="C1167" t="s">
        <v>134</v>
      </c>
      <c r="D1167" t="s">
        <v>134</v>
      </c>
    </row>
    <row r="1168" spans="1:4" x14ac:dyDescent="0.25">
      <c r="A1168" t="s">
        <v>134</v>
      </c>
      <c r="B1168" t="s">
        <v>134</v>
      </c>
      <c r="C1168" t="s">
        <v>134</v>
      </c>
      <c r="D1168" t="s">
        <v>134</v>
      </c>
    </row>
    <row r="1169" spans="1:4" x14ac:dyDescent="0.25">
      <c r="A1169" t="s">
        <v>134</v>
      </c>
      <c r="B1169" t="s">
        <v>134</v>
      </c>
      <c r="C1169" t="s">
        <v>134</v>
      </c>
      <c r="D1169" t="s">
        <v>134</v>
      </c>
    </row>
    <row r="1170" spans="1:4" x14ac:dyDescent="0.25">
      <c r="A1170" t="s">
        <v>134</v>
      </c>
      <c r="B1170" t="s">
        <v>134</v>
      </c>
      <c r="C1170" t="s">
        <v>134</v>
      </c>
      <c r="D1170" t="s">
        <v>134</v>
      </c>
    </row>
    <row r="1171" spans="1:4" x14ac:dyDescent="0.25">
      <c r="A1171" t="s">
        <v>134</v>
      </c>
      <c r="B1171" t="s">
        <v>134</v>
      </c>
      <c r="C1171" t="s">
        <v>134</v>
      </c>
      <c r="D1171" t="s">
        <v>134</v>
      </c>
    </row>
    <row r="1172" spans="1:4" x14ac:dyDescent="0.25">
      <c r="A1172" t="s">
        <v>134</v>
      </c>
      <c r="B1172" t="s">
        <v>134</v>
      </c>
      <c r="C1172" t="s">
        <v>134</v>
      </c>
      <c r="D1172" t="s">
        <v>134</v>
      </c>
    </row>
    <row r="1173" spans="1:4" x14ac:dyDescent="0.25">
      <c r="A1173" t="s">
        <v>134</v>
      </c>
      <c r="B1173" t="s">
        <v>134</v>
      </c>
      <c r="C1173" t="s">
        <v>134</v>
      </c>
      <c r="D1173" t="s">
        <v>134</v>
      </c>
    </row>
    <row r="1174" spans="1:4" x14ac:dyDescent="0.25">
      <c r="A1174" t="s">
        <v>134</v>
      </c>
      <c r="B1174" t="s">
        <v>134</v>
      </c>
      <c r="C1174" t="s">
        <v>134</v>
      </c>
      <c r="D1174" t="s">
        <v>134</v>
      </c>
    </row>
    <row r="1175" spans="1:4" x14ac:dyDescent="0.25">
      <c r="A1175" t="s">
        <v>134</v>
      </c>
      <c r="B1175" t="s">
        <v>134</v>
      </c>
      <c r="C1175" t="s">
        <v>134</v>
      </c>
      <c r="D1175" t="s">
        <v>134</v>
      </c>
    </row>
    <row r="1176" spans="1:4" x14ac:dyDescent="0.25">
      <c r="A1176" t="s">
        <v>134</v>
      </c>
      <c r="B1176" t="s">
        <v>134</v>
      </c>
      <c r="C1176" t="s">
        <v>134</v>
      </c>
      <c r="D1176" t="s">
        <v>134</v>
      </c>
    </row>
    <row r="1177" spans="1:4" x14ac:dyDescent="0.25">
      <c r="A1177" t="s">
        <v>134</v>
      </c>
      <c r="B1177" t="s">
        <v>134</v>
      </c>
      <c r="C1177" t="s">
        <v>134</v>
      </c>
      <c r="D1177" t="s">
        <v>134</v>
      </c>
    </row>
    <row r="1178" spans="1:4" x14ac:dyDescent="0.25">
      <c r="A1178" t="s">
        <v>134</v>
      </c>
      <c r="B1178" t="s">
        <v>134</v>
      </c>
      <c r="C1178" t="s">
        <v>134</v>
      </c>
      <c r="D1178" t="s">
        <v>134</v>
      </c>
    </row>
    <row r="1179" spans="1:4" x14ac:dyDescent="0.25">
      <c r="A1179" t="s">
        <v>134</v>
      </c>
      <c r="B1179" t="s">
        <v>134</v>
      </c>
      <c r="C1179" t="s">
        <v>134</v>
      </c>
      <c r="D1179" t="s">
        <v>134</v>
      </c>
    </row>
    <row r="1180" spans="1:4" x14ac:dyDescent="0.25">
      <c r="A1180" t="s">
        <v>134</v>
      </c>
      <c r="B1180" t="s">
        <v>134</v>
      </c>
      <c r="C1180" t="s">
        <v>134</v>
      </c>
      <c r="D1180" t="s">
        <v>134</v>
      </c>
    </row>
    <row r="1181" spans="1:4" x14ac:dyDescent="0.25">
      <c r="A1181" t="s">
        <v>134</v>
      </c>
      <c r="B1181" t="s">
        <v>134</v>
      </c>
      <c r="C1181" t="s">
        <v>134</v>
      </c>
      <c r="D1181" t="s">
        <v>134</v>
      </c>
    </row>
    <row r="1182" spans="1:4" x14ac:dyDescent="0.25">
      <c r="A1182" t="s">
        <v>134</v>
      </c>
      <c r="B1182" t="s">
        <v>134</v>
      </c>
      <c r="C1182" t="s">
        <v>134</v>
      </c>
      <c r="D1182" t="s">
        <v>134</v>
      </c>
    </row>
    <row r="1183" spans="1:4" x14ac:dyDescent="0.25">
      <c r="A1183" t="s">
        <v>134</v>
      </c>
      <c r="B1183" t="s">
        <v>134</v>
      </c>
      <c r="C1183" t="s">
        <v>134</v>
      </c>
      <c r="D1183" t="s">
        <v>134</v>
      </c>
    </row>
    <row r="1184" spans="1:4" x14ac:dyDescent="0.25">
      <c r="A1184" t="s">
        <v>134</v>
      </c>
      <c r="B1184" t="s">
        <v>134</v>
      </c>
      <c r="C1184" t="s">
        <v>134</v>
      </c>
      <c r="D1184" t="s">
        <v>134</v>
      </c>
    </row>
    <row r="1185" spans="1:4" x14ac:dyDescent="0.25">
      <c r="A1185" t="s">
        <v>134</v>
      </c>
      <c r="B1185" t="s">
        <v>134</v>
      </c>
      <c r="C1185" t="s">
        <v>134</v>
      </c>
      <c r="D1185" t="s">
        <v>134</v>
      </c>
    </row>
    <row r="1186" spans="1:4" x14ac:dyDescent="0.25">
      <c r="A1186" t="s">
        <v>134</v>
      </c>
      <c r="B1186" t="s">
        <v>134</v>
      </c>
      <c r="C1186" t="s">
        <v>134</v>
      </c>
      <c r="D1186" t="s">
        <v>134</v>
      </c>
    </row>
    <row r="1187" spans="1:4" x14ac:dyDescent="0.25">
      <c r="A1187" t="s">
        <v>134</v>
      </c>
      <c r="B1187" t="s">
        <v>134</v>
      </c>
      <c r="C1187" t="s">
        <v>134</v>
      </c>
      <c r="D1187" t="s">
        <v>134</v>
      </c>
    </row>
    <row r="1188" spans="1:4" x14ac:dyDescent="0.25">
      <c r="A1188" t="s">
        <v>134</v>
      </c>
      <c r="B1188" t="s">
        <v>134</v>
      </c>
      <c r="C1188" t="s">
        <v>134</v>
      </c>
      <c r="D1188" t="s">
        <v>134</v>
      </c>
    </row>
    <row r="1189" spans="1:4" x14ac:dyDescent="0.25">
      <c r="A1189" t="s">
        <v>134</v>
      </c>
      <c r="B1189" t="s">
        <v>134</v>
      </c>
      <c r="C1189" t="s">
        <v>134</v>
      </c>
      <c r="D1189" t="s">
        <v>134</v>
      </c>
    </row>
    <row r="1190" spans="1:4" x14ac:dyDescent="0.25">
      <c r="A1190" t="s">
        <v>134</v>
      </c>
      <c r="B1190" t="s">
        <v>134</v>
      </c>
      <c r="C1190" t="s">
        <v>134</v>
      </c>
      <c r="D1190" t="s">
        <v>134</v>
      </c>
    </row>
    <row r="1191" spans="1:4" x14ac:dyDescent="0.25">
      <c r="A1191" t="s">
        <v>134</v>
      </c>
      <c r="B1191" t="s">
        <v>134</v>
      </c>
      <c r="C1191" t="s">
        <v>134</v>
      </c>
      <c r="D1191" t="s">
        <v>134</v>
      </c>
    </row>
    <row r="1192" spans="1:4" x14ac:dyDescent="0.25">
      <c r="A1192" t="s">
        <v>134</v>
      </c>
      <c r="B1192" t="s">
        <v>134</v>
      </c>
      <c r="C1192" t="s">
        <v>134</v>
      </c>
      <c r="D1192" t="s">
        <v>134</v>
      </c>
    </row>
    <row r="1193" spans="1:4" x14ac:dyDescent="0.25">
      <c r="A1193" t="s">
        <v>134</v>
      </c>
      <c r="B1193" t="s">
        <v>134</v>
      </c>
      <c r="C1193" t="s">
        <v>134</v>
      </c>
      <c r="D1193" t="s">
        <v>134</v>
      </c>
    </row>
    <row r="1194" spans="1:4" x14ac:dyDescent="0.25">
      <c r="A1194" t="s">
        <v>134</v>
      </c>
      <c r="B1194" t="s">
        <v>134</v>
      </c>
      <c r="C1194" t="s">
        <v>134</v>
      </c>
      <c r="D1194" t="s">
        <v>134</v>
      </c>
    </row>
    <row r="1195" spans="1:4" x14ac:dyDescent="0.25">
      <c r="A1195" t="s">
        <v>134</v>
      </c>
      <c r="B1195" t="s">
        <v>134</v>
      </c>
      <c r="C1195" t="s">
        <v>134</v>
      </c>
      <c r="D1195" t="s">
        <v>134</v>
      </c>
    </row>
    <row r="1196" spans="1:4" x14ac:dyDescent="0.25">
      <c r="A1196" t="s">
        <v>134</v>
      </c>
      <c r="B1196" t="s">
        <v>134</v>
      </c>
      <c r="C1196" t="s">
        <v>134</v>
      </c>
      <c r="D1196" t="s">
        <v>134</v>
      </c>
    </row>
    <row r="1197" spans="1:4" x14ac:dyDescent="0.25">
      <c r="A1197" t="s">
        <v>134</v>
      </c>
      <c r="B1197" t="s">
        <v>134</v>
      </c>
      <c r="C1197" t="s">
        <v>134</v>
      </c>
      <c r="D1197" t="s">
        <v>134</v>
      </c>
    </row>
    <row r="1198" spans="1:4" x14ac:dyDescent="0.25">
      <c r="A1198" t="s">
        <v>134</v>
      </c>
      <c r="B1198" t="s">
        <v>134</v>
      </c>
      <c r="C1198" t="s">
        <v>134</v>
      </c>
      <c r="D1198" t="s">
        <v>134</v>
      </c>
    </row>
    <row r="1199" spans="1:4" x14ac:dyDescent="0.25">
      <c r="A1199" t="s">
        <v>134</v>
      </c>
      <c r="B1199" t="s">
        <v>134</v>
      </c>
      <c r="C1199" t="s">
        <v>134</v>
      </c>
      <c r="D1199" t="s">
        <v>134</v>
      </c>
    </row>
    <row r="1200" spans="1:4" x14ac:dyDescent="0.25">
      <c r="A1200" t="s">
        <v>134</v>
      </c>
      <c r="B1200" t="s">
        <v>134</v>
      </c>
      <c r="C1200" t="s">
        <v>134</v>
      </c>
      <c r="D1200" t="s">
        <v>134</v>
      </c>
    </row>
    <row r="1201" spans="1:4" x14ac:dyDescent="0.25">
      <c r="A1201" t="s">
        <v>134</v>
      </c>
      <c r="B1201" t="s">
        <v>134</v>
      </c>
      <c r="C1201" t="s">
        <v>134</v>
      </c>
      <c r="D1201" t="s">
        <v>134</v>
      </c>
    </row>
    <row r="1202" spans="1:4" x14ac:dyDescent="0.25">
      <c r="A1202" t="s">
        <v>134</v>
      </c>
      <c r="B1202" t="s">
        <v>134</v>
      </c>
      <c r="C1202" t="s">
        <v>134</v>
      </c>
      <c r="D1202" t="s">
        <v>134</v>
      </c>
    </row>
    <row r="1203" spans="1:4" x14ac:dyDescent="0.25">
      <c r="A1203" t="s">
        <v>134</v>
      </c>
      <c r="B1203" t="s">
        <v>134</v>
      </c>
      <c r="C1203" t="s">
        <v>134</v>
      </c>
      <c r="D1203" t="s">
        <v>134</v>
      </c>
    </row>
    <row r="1204" spans="1:4" x14ac:dyDescent="0.25">
      <c r="A1204" t="s">
        <v>134</v>
      </c>
      <c r="B1204" t="s">
        <v>134</v>
      </c>
      <c r="C1204" t="s">
        <v>134</v>
      </c>
      <c r="D1204" t="s">
        <v>134</v>
      </c>
    </row>
    <row r="1205" spans="1:4" x14ac:dyDescent="0.25">
      <c r="A1205" t="s">
        <v>134</v>
      </c>
      <c r="B1205" t="s">
        <v>134</v>
      </c>
      <c r="C1205" t="s">
        <v>134</v>
      </c>
      <c r="D1205" t="s">
        <v>134</v>
      </c>
    </row>
    <row r="1206" spans="1:4" x14ac:dyDescent="0.25">
      <c r="A1206" t="s">
        <v>134</v>
      </c>
      <c r="B1206" t="s">
        <v>134</v>
      </c>
      <c r="C1206" t="s">
        <v>134</v>
      </c>
      <c r="D1206" t="s">
        <v>134</v>
      </c>
    </row>
    <row r="1207" spans="1:4" x14ac:dyDescent="0.25">
      <c r="A1207" t="s">
        <v>134</v>
      </c>
      <c r="B1207" t="s">
        <v>134</v>
      </c>
      <c r="C1207" t="s">
        <v>134</v>
      </c>
      <c r="D1207" t="s">
        <v>134</v>
      </c>
    </row>
    <row r="1208" spans="1:4" x14ac:dyDescent="0.25">
      <c r="A1208" t="s">
        <v>134</v>
      </c>
      <c r="B1208" t="s">
        <v>134</v>
      </c>
      <c r="C1208" t="s">
        <v>134</v>
      </c>
      <c r="D1208" t="s">
        <v>134</v>
      </c>
    </row>
    <row r="1209" spans="1:4" x14ac:dyDescent="0.25">
      <c r="A1209" t="s">
        <v>134</v>
      </c>
      <c r="B1209" t="s">
        <v>134</v>
      </c>
      <c r="C1209" t="s">
        <v>134</v>
      </c>
      <c r="D1209" t="s">
        <v>134</v>
      </c>
    </row>
    <row r="1210" spans="1:4" x14ac:dyDescent="0.25">
      <c r="A1210" t="s">
        <v>134</v>
      </c>
      <c r="B1210" t="s">
        <v>134</v>
      </c>
      <c r="C1210" t="s">
        <v>134</v>
      </c>
      <c r="D1210" t="s">
        <v>134</v>
      </c>
    </row>
    <row r="1211" spans="1:4" x14ac:dyDescent="0.25">
      <c r="A1211" t="s">
        <v>134</v>
      </c>
      <c r="B1211" t="s">
        <v>134</v>
      </c>
      <c r="C1211" t="s">
        <v>134</v>
      </c>
      <c r="D1211" t="s">
        <v>134</v>
      </c>
    </row>
    <row r="1212" spans="1:4" x14ac:dyDescent="0.25">
      <c r="A1212" t="s">
        <v>134</v>
      </c>
      <c r="B1212" t="s">
        <v>134</v>
      </c>
      <c r="C1212" t="s">
        <v>134</v>
      </c>
      <c r="D1212" t="s">
        <v>134</v>
      </c>
    </row>
    <row r="1213" spans="1:4" x14ac:dyDescent="0.25">
      <c r="A1213" t="s">
        <v>134</v>
      </c>
      <c r="B1213" t="s">
        <v>134</v>
      </c>
      <c r="C1213" t="s">
        <v>134</v>
      </c>
      <c r="D1213" t="s">
        <v>134</v>
      </c>
    </row>
    <row r="1214" spans="1:4" x14ac:dyDescent="0.25">
      <c r="A1214" t="s">
        <v>134</v>
      </c>
      <c r="B1214" t="s">
        <v>134</v>
      </c>
      <c r="C1214" t="s">
        <v>134</v>
      </c>
      <c r="D1214" t="s">
        <v>134</v>
      </c>
    </row>
    <row r="1215" spans="1:4" x14ac:dyDescent="0.25">
      <c r="A1215" t="s">
        <v>134</v>
      </c>
      <c r="B1215" t="s">
        <v>134</v>
      </c>
      <c r="C1215" t="s">
        <v>134</v>
      </c>
      <c r="D1215" t="s">
        <v>134</v>
      </c>
    </row>
    <row r="1216" spans="1:4" x14ac:dyDescent="0.25">
      <c r="A1216" t="s">
        <v>134</v>
      </c>
      <c r="B1216" t="s">
        <v>134</v>
      </c>
      <c r="C1216" t="s">
        <v>134</v>
      </c>
      <c r="D1216" t="s">
        <v>134</v>
      </c>
    </row>
    <row r="1217" spans="1:4" x14ac:dyDescent="0.25">
      <c r="A1217" t="s">
        <v>134</v>
      </c>
      <c r="B1217" t="s">
        <v>134</v>
      </c>
      <c r="C1217" t="s">
        <v>134</v>
      </c>
      <c r="D1217" t="s">
        <v>134</v>
      </c>
    </row>
    <row r="1218" spans="1:4" x14ac:dyDescent="0.25">
      <c r="A1218" s="132">
        <v>2019</v>
      </c>
      <c r="B1218" s="132" t="s">
        <v>121</v>
      </c>
      <c r="C1218" s="132">
        <v>0</v>
      </c>
      <c r="D1218" s="137">
        <v>1</v>
      </c>
    </row>
    <row r="1219" spans="1:4" x14ac:dyDescent="0.25">
      <c r="A1219" s="132">
        <v>2019</v>
      </c>
      <c r="B1219" s="132" t="s">
        <v>121</v>
      </c>
      <c r="C1219" s="132">
        <v>1</v>
      </c>
      <c r="D1219" s="137">
        <v>3</v>
      </c>
    </row>
    <row r="1220" spans="1:4" x14ac:dyDescent="0.25">
      <c r="A1220" s="132">
        <v>2019</v>
      </c>
      <c r="B1220" s="132" t="s">
        <v>121</v>
      </c>
      <c r="C1220" s="132">
        <v>5</v>
      </c>
      <c r="D1220" s="137">
        <v>1</v>
      </c>
    </row>
    <row r="1221" spans="1:4" x14ac:dyDescent="0.25">
      <c r="A1221" s="132">
        <v>2019</v>
      </c>
      <c r="B1221" s="132" t="s">
        <v>121</v>
      </c>
      <c r="C1221" s="132">
        <v>10</v>
      </c>
      <c r="D1221" s="135">
        <v>0</v>
      </c>
    </row>
    <row r="1222" spans="1:4" x14ac:dyDescent="0.25">
      <c r="A1222" s="132">
        <v>2019</v>
      </c>
      <c r="B1222" s="132" t="s">
        <v>121</v>
      </c>
      <c r="C1222" s="132">
        <v>15</v>
      </c>
      <c r="D1222" s="137">
        <v>3</v>
      </c>
    </row>
    <row r="1223" spans="1:4" x14ac:dyDescent="0.25">
      <c r="A1223" s="132">
        <v>2019</v>
      </c>
      <c r="B1223" s="132" t="s">
        <v>121</v>
      </c>
      <c r="C1223" s="132">
        <v>20</v>
      </c>
      <c r="D1223" s="137">
        <v>19</v>
      </c>
    </row>
    <row r="1224" spans="1:4" x14ac:dyDescent="0.25">
      <c r="A1224" s="132">
        <v>2019</v>
      </c>
      <c r="B1224" s="132" t="s">
        <v>121</v>
      </c>
      <c r="C1224" s="132">
        <v>25</v>
      </c>
      <c r="D1224" s="137">
        <v>25</v>
      </c>
    </row>
    <row r="1225" spans="1:4" x14ac:dyDescent="0.25">
      <c r="A1225" s="132">
        <v>2019</v>
      </c>
      <c r="B1225" s="132" t="s">
        <v>121</v>
      </c>
      <c r="C1225" s="132">
        <v>30</v>
      </c>
      <c r="D1225" s="137">
        <v>20</v>
      </c>
    </row>
    <row r="1226" spans="1:4" x14ac:dyDescent="0.25">
      <c r="A1226" s="132">
        <v>2019</v>
      </c>
      <c r="B1226" s="132" t="s">
        <v>121</v>
      </c>
      <c r="C1226" s="132">
        <v>35</v>
      </c>
      <c r="D1226" s="137">
        <v>14</v>
      </c>
    </row>
    <row r="1227" spans="1:4" x14ac:dyDescent="0.25">
      <c r="A1227" s="132">
        <v>2019</v>
      </c>
      <c r="B1227" s="132" t="s">
        <v>121</v>
      </c>
      <c r="C1227" s="132">
        <v>40</v>
      </c>
      <c r="D1227" s="137">
        <v>10</v>
      </c>
    </row>
    <row r="1228" spans="1:4" x14ac:dyDescent="0.25">
      <c r="A1228" s="132">
        <v>2019</v>
      </c>
      <c r="B1228" s="132" t="s">
        <v>121</v>
      </c>
      <c r="C1228" s="132">
        <v>45</v>
      </c>
      <c r="D1228" s="137">
        <v>14</v>
      </c>
    </row>
    <row r="1229" spans="1:4" x14ac:dyDescent="0.25">
      <c r="A1229" s="132">
        <v>2019</v>
      </c>
      <c r="B1229" s="132" t="s">
        <v>121</v>
      </c>
      <c r="C1229" s="132">
        <v>50</v>
      </c>
      <c r="D1229" s="137">
        <v>7</v>
      </c>
    </row>
    <row r="1230" spans="1:4" x14ac:dyDescent="0.25">
      <c r="A1230" s="132">
        <v>2019</v>
      </c>
      <c r="B1230" s="132" t="s">
        <v>121</v>
      </c>
      <c r="C1230" s="132">
        <v>55</v>
      </c>
      <c r="D1230" s="137">
        <v>4</v>
      </c>
    </row>
    <row r="1231" spans="1:4" x14ac:dyDescent="0.25">
      <c r="A1231" s="132">
        <v>2019</v>
      </c>
      <c r="B1231" s="132" t="s">
        <v>121</v>
      </c>
      <c r="C1231" s="132">
        <v>60</v>
      </c>
      <c r="D1231" s="137">
        <v>5</v>
      </c>
    </row>
    <row r="1232" spans="1:4" x14ac:dyDescent="0.25">
      <c r="A1232" s="132">
        <v>2019</v>
      </c>
      <c r="B1232" s="132" t="s">
        <v>121</v>
      </c>
      <c r="C1232" s="132">
        <v>65</v>
      </c>
      <c r="D1232" s="137">
        <v>3</v>
      </c>
    </row>
    <row r="1233" spans="1:4" x14ac:dyDescent="0.25">
      <c r="A1233" s="132">
        <v>2019</v>
      </c>
      <c r="B1233" s="132" t="s">
        <v>121</v>
      </c>
      <c r="C1233" s="132">
        <v>70</v>
      </c>
      <c r="D1233" s="137">
        <v>2</v>
      </c>
    </row>
    <row r="1234" spans="1:4" x14ac:dyDescent="0.25">
      <c r="A1234" s="132">
        <v>2019</v>
      </c>
      <c r="B1234" s="132" t="s">
        <v>121</v>
      </c>
      <c r="C1234" s="132">
        <v>75</v>
      </c>
      <c r="D1234" s="137">
        <v>1</v>
      </c>
    </row>
    <row r="1235" spans="1:4" x14ac:dyDescent="0.25">
      <c r="A1235" s="132">
        <v>2019</v>
      </c>
      <c r="B1235" s="132" t="s">
        <v>121</v>
      </c>
      <c r="C1235" s="132">
        <v>80</v>
      </c>
      <c r="D1235" s="137">
        <v>2</v>
      </c>
    </row>
    <row r="1236" spans="1:4" x14ac:dyDescent="0.25">
      <c r="A1236" s="132">
        <v>2019</v>
      </c>
      <c r="B1236" s="132" t="s">
        <v>121</v>
      </c>
      <c r="C1236" s="132">
        <v>85</v>
      </c>
      <c r="D1236" s="137">
        <v>1</v>
      </c>
    </row>
    <row r="1237" spans="1:4" x14ac:dyDescent="0.25">
      <c r="A1237" t="s">
        <v>134</v>
      </c>
      <c r="B1237" t="s">
        <v>134</v>
      </c>
      <c r="C1237" t="s">
        <v>134</v>
      </c>
      <c r="D1237" t="s">
        <v>134</v>
      </c>
    </row>
    <row r="1238" spans="1:4" x14ac:dyDescent="0.25">
      <c r="A1238" t="s">
        <v>134</v>
      </c>
      <c r="B1238" t="s">
        <v>134</v>
      </c>
      <c r="C1238" t="s">
        <v>134</v>
      </c>
      <c r="D1238" t="s">
        <v>134</v>
      </c>
    </row>
    <row r="1239" spans="1:4" x14ac:dyDescent="0.25">
      <c r="A1239" t="s">
        <v>134</v>
      </c>
      <c r="B1239" t="s">
        <v>134</v>
      </c>
      <c r="C1239" t="s">
        <v>134</v>
      </c>
      <c r="D1239" t="s">
        <v>134</v>
      </c>
    </row>
    <row r="1240" spans="1:4" x14ac:dyDescent="0.25">
      <c r="A1240" t="s">
        <v>134</v>
      </c>
      <c r="B1240" t="s">
        <v>134</v>
      </c>
      <c r="C1240" t="s">
        <v>134</v>
      </c>
      <c r="D1240" t="s">
        <v>134</v>
      </c>
    </row>
    <row r="1241" spans="1:4" x14ac:dyDescent="0.25">
      <c r="A1241" t="s">
        <v>134</v>
      </c>
      <c r="B1241" t="s">
        <v>134</v>
      </c>
      <c r="C1241" t="s">
        <v>134</v>
      </c>
      <c r="D1241" t="s">
        <v>134</v>
      </c>
    </row>
    <row r="1242" spans="1:4" x14ac:dyDescent="0.25">
      <c r="A1242" t="s">
        <v>134</v>
      </c>
      <c r="B1242" t="s">
        <v>134</v>
      </c>
      <c r="C1242" t="s">
        <v>134</v>
      </c>
      <c r="D1242" t="s">
        <v>134</v>
      </c>
    </row>
    <row r="1243" spans="1:4" x14ac:dyDescent="0.25">
      <c r="A1243" t="s">
        <v>134</v>
      </c>
      <c r="B1243" t="s">
        <v>134</v>
      </c>
      <c r="C1243" t="s">
        <v>134</v>
      </c>
      <c r="D1243" t="s">
        <v>134</v>
      </c>
    </row>
    <row r="1244" spans="1:4" x14ac:dyDescent="0.25">
      <c r="A1244" t="s">
        <v>134</v>
      </c>
      <c r="B1244" t="s">
        <v>134</v>
      </c>
      <c r="C1244" t="s">
        <v>134</v>
      </c>
      <c r="D1244" t="s">
        <v>134</v>
      </c>
    </row>
    <row r="1245" spans="1:4" x14ac:dyDescent="0.25">
      <c r="A1245" t="s">
        <v>134</v>
      </c>
      <c r="B1245" t="s">
        <v>134</v>
      </c>
      <c r="C1245" t="s">
        <v>134</v>
      </c>
      <c r="D1245" t="s">
        <v>134</v>
      </c>
    </row>
    <row r="1246" spans="1:4" x14ac:dyDescent="0.25">
      <c r="A1246" t="s">
        <v>134</v>
      </c>
      <c r="B1246" t="s">
        <v>134</v>
      </c>
      <c r="C1246" t="s">
        <v>134</v>
      </c>
      <c r="D1246" t="s">
        <v>134</v>
      </c>
    </row>
    <row r="1247" spans="1:4" x14ac:dyDescent="0.25">
      <c r="A1247" t="s">
        <v>134</v>
      </c>
      <c r="B1247" t="s">
        <v>134</v>
      </c>
      <c r="C1247" t="s">
        <v>134</v>
      </c>
      <c r="D1247" t="s">
        <v>134</v>
      </c>
    </row>
    <row r="1248" spans="1:4" x14ac:dyDescent="0.25">
      <c r="A1248" t="s">
        <v>134</v>
      </c>
      <c r="B1248" t="s">
        <v>134</v>
      </c>
      <c r="C1248" t="s">
        <v>134</v>
      </c>
      <c r="D1248" t="s">
        <v>134</v>
      </c>
    </row>
    <row r="1249" spans="1:4" x14ac:dyDescent="0.25">
      <c r="A1249" t="s">
        <v>134</v>
      </c>
      <c r="B1249" t="s">
        <v>134</v>
      </c>
      <c r="C1249" t="s">
        <v>134</v>
      </c>
      <c r="D1249" t="s">
        <v>134</v>
      </c>
    </row>
    <row r="1250" spans="1:4" x14ac:dyDescent="0.25">
      <c r="A1250" t="s">
        <v>134</v>
      </c>
      <c r="B1250" t="s">
        <v>134</v>
      </c>
      <c r="C1250" t="s">
        <v>134</v>
      </c>
      <c r="D1250" t="s">
        <v>134</v>
      </c>
    </row>
    <row r="1251" spans="1:4" x14ac:dyDescent="0.25">
      <c r="A1251" t="s">
        <v>134</v>
      </c>
      <c r="B1251" t="s">
        <v>134</v>
      </c>
      <c r="C1251" t="s">
        <v>134</v>
      </c>
      <c r="D1251" t="s">
        <v>134</v>
      </c>
    </row>
    <row r="1252" spans="1:4" x14ac:dyDescent="0.25">
      <c r="A1252" t="s">
        <v>134</v>
      </c>
      <c r="B1252" t="s">
        <v>134</v>
      </c>
      <c r="C1252" t="s">
        <v>134</v>
      </c>
      <c r="D1252" t="s">
        <v>134</v>
      </c>
    </row>
    <row r="1253" spans="1:4" x14ac:dyDescent="0.25">
      <c r="A1253" t="s">
        <v>134</v>
      </c>
      <c r="B1253" t="s">
        <v>134</v>
      </c>
      <c r="C1253" t="s">
        <v>134</v>
      </c>
      <c r="D1253" t="s">
        <v>134</v>
      </c>
    </row>
    <row r="1254" spans="1:4" x14ac:dyDescent="0.25">
      <c r="A1254" t="s">
        <v>134</v>
      </c>
      <c r="B1254" t="s">
        <v>134</v>
      </c>
      <c r="C1254" t="s">
        <v>134</v>
      </c>
      <c r="D1254" t="s">
        <v>134</v>
      </c>
    </row>
    <row r="1255" spans="1:4" x14ac:dyDescent="0.25">
      <c r="A1255" t="s">
        <v>134</v>
      </c>
      <c r="B1255" t="s">
        <v>134</v>
      </c>
      <c r="C1255" t="s">
        <v>134</v>
      </c>
      <c r="D1255" t="s">
        <v>134</v>
      </c>
    </row>
    <row r="1256" spans="1:4" x14ac:dyDescent="0.25">
      <c r="A1256" t="s">
        <v>134</v>
      </c>
      <c r="B1256" t="s">
        <v>134</v>
      </c>
      <c r="C1256" t="s">
        <v>134</v>
      </c>
      <c r="D1256" t="s">
        <v>134</v>
      </c>
    </row>
    <row r="1257" spans="1:4" x14ac:dyDescent="0.25">
      <c r="A1257" t="s">
        <v>134</v>
      </c>
      <c r="B1257" t="s">
        <v>134</v>
      </c>
      <c r="C1257" t="s">
        <v>134</v>
      </c>
      <c r="D1257" t="s">
        <v>134</v>
      </c>
    </row>
    <row r="1258" spans="1:4" x14ac:dyDescent="0.25">
      <c r="A1258" t="s">
        <v>134</v>
      </c>
      <c r="B1258" t="s">
        <v>134</v>
      </c>
      <c r="C1258" t="s">
        <v>134</v>
      </c>
      <c r="D1258" t="s">
        <v>134</v>
      </c>
    </row>
    <row r="1259" spans="1:4" x14ac:dyDescent="0.25">
      <c r="A1259" t="s">
        <v>134</v>
      </c>
      <c r="B1259" t="s">
        <v>134</v>
      </c>
      <c r="C1259" t="s">
        <v>134</v>
      </c>
      <c r="D1259" t="s">
        <v>134</v>
      </c>
    </row>
    <row r="1260" spans="1:4" x14ac:dyDescent="0.25">
      <c r="A1260" t="s">
        <v>134</v>
      </c>
      <c r="B1260" t="s">
        <v>134</v>
      </c>
      <c r="C1260" t="s">
        <v>134</v>
      </c>
      <c r="D1260" t="s">
        <v>134</v>
      </c>
    </row>
    <row r="1261" spans="1:4" x14ac:dyDescent="0.25">
      <c r="A1261" t="s">
        <v>134</v>
      </c>
      <c r="B1261" t="s">
        <v>134</v>
      </c>
      <c r="C1261" t="s">
        <v>134</v>
      </c>
      <c r="D1261" t="s">
        <v>134</v>
      </c>
    </row>
    <row r="1262" spans="1:4" x14ac:dyDescent="0.25">
      <c r="A1262" t="s">
        <v>134</v>
      </c>
      <c r="B1262" t="s">
        <v>134</v>
      </c>
      <c r="C1262" t="s">
        <v>134</v>
      </c>
      <c r="D1262" t="s">
        <v>134</v>
      </c>
    </row>
    <row r="1263" spans="1:4" x14ac:dyDescent="0.25">
      <c r="A1263" t="s">
        <v>134</v>
      </c>
      <c r="B1263" t="s">
        <v>134</v>
      </c>
      <c r="C1263" t="s">
        <v>134</v>
      </c>
      <c r="D1263" t="s">
        <v>134</v>
      </c>
    </row>
    <row r="1264" spans="1:4" x14ac:dyDescent="0.25">
      <c r="A1264" t="s">
        <v>134</v>
      </c>
      <c r="B1264" t="s">
        <v>134</v>
      </c>
      <c r="C1264" t="s">
        <v>134</v>
      </c>
      <c r="D1264" t="s">
        <v>134</v>
      </c>
    </row>
    <row r="1265" spans="1:4" x14ac:dyDescent="0.25">
      <c r="A1265" t="s">
        <v>134</v>
      </c>
      <c r="B1265" t="s">
        <v>134</v>
      </c>
      <c r="C1265" t="s">
        <v>134</v>
      </c>
      <c r="D1265" t="s">
        <v>134</v>
      </c>
    </row>
    <row r="1266" spans="1:4" x14ac:dyDescent="0.25">
      <c r="A1266" t="s">
        <v>134</v>
      </c>
      <c r="B1266" t="s">
        <v>134</v>
      </c>
      <c r="C1266" t="s">
        <v>134</v>
      </c>
      <c r="D1266" t="s">
        <v>134</v>
      </c>
    </row>
    <row r="1267" spans="1:4" x14ac:dyDescent="0.25">
      <c r="A1267" t="s">
        <v>134</v>
      </c>
      <c r="B1267" t="s">
        <v>134</v>
      </c>
      <c r="C1267" t="s">
        <v>134</v>
      </c>
      <c r="D1267" t="s">
        <v>134</v>
      </c>
    </row>
    <row r="1268" spans="1:4" x14ac:dyDescent="0.25">
      <c r="A1268" t="s">
        <v>134</v>
      </c>
      <c r="B1268" t="s">
        <v>134</v>
      </c>
      <c r="C1268" t="s">
        <v>134</v>
      </c>
      <c r="D1268" t="s">
        <v>134</v>
      </c>
    </row>
    <row r="1269" spans="1:4" x14ac:dyDescent="0.25">
      <c r="A1269" t="s">
        <v>134</v>
      </c>
      <c r="B1269" t="s">
        <v>134</v>
      </c>
      <c r="C1269" t="s">
        <v>134</v>
      </c>
      <c r="D1269" t="s">
        <v>134</v>
      </c>
    </row>
    <row r="1270" spans="1:4" x14ac:dyDescent="0.25">
      <c r="A1270" t="s">
        <v>134</v>
      </c>
      <c r="B1270" t="s">
        <v>134</v>
      </c>
      <c r="C1270" t="s">
        <v>134</v>
      </c>
      <c r="D1270" t="s">
        <v>134</v>
      </c>
    </row>
    <row r="1271" spans="1:4" x14ac:dyDescent="0.25">
      <c r="A1271" t="s">
        <v>134</v>
      </c>
      <c r="B1271" t="s">
        <v>134</v>
      </c>
      <c r="C1271" t="s">
        <v>134</v>
      </c>
      <c r="D1271" t="s">
        <v>134</v>
      </c>
    </row>
    <row r="1272" spans="1:4" x14ac:dyDescent="0.25">
      <c r="A1272" t="s">
        <v>134</v>
      </c>
      <c r="B1272" t="s">
        <v>134</v>
      </c>
      <c r="C1272" t="s">
        <v>134</v>
      </c>
      <c r="D1272" t="s">
        <v>134</v>
      </c>
    </row>
    <row r="1273" spans="1:4" x14ac:dyDescent="0.25">
      <c r="A1273" t="s">
        <v>134</v>
      </c>
      <c r="B1273" t="s">
        <v>134</v>
      </c>
      <c r="C1273" t="s">
        <v>134</v>
      </c>
      <c r="D1273" t="s">
        <v>134</v>
      </c>
    </row>
    <row r="1274" spans="1:4" x14ac:dyDescent="0.25">
      <c r="A1274" t="s">
        <v>134</v>
      </c>
      <c r="B1274" t="s">
        <v>134</v>
      </c>
      <c r="C1274" t="s">
        <v>134</v>
      </c>
      <c r="D1274" t="s">
        <v>134</v>
      </c>
    </row>
    <row r="1275" spans="1:4" x14ac:dyDescent="0.25">
      <c r="A1275" t="s">
        <v>134</v>
      </c>
      <c r="B1275" t="s">
        <v>134</v>
      </c>
      <c r="C1275" t="s">
        <v>134</v>
      </c>
      <c r="D1275" t="s">
        <v>134</v>
      </c>
    </row>
    <row r="1276" spans="1:4" x14ac:dyDescent="0.25">
      <c r="A1276" t="s">
        <v>134</v>
      </c>
      <c r="B1276" t="s">
        <v>134</v>
      </c>
      <c r="C1276" t="s">
        <v>134</v>
      </c>
      <c r="D1276" t="s">
        <v>134</v>
      </c>
    </row>
    <row r="1277" spans="1:4" x14ac:dyDescent="0.25">
      <c r="A1277" t="s">
        <v>134</v>
      </c>
      <c r="B1277" t="s">
        <v>134</v>
      </c>
      <c r="C1277" t="s">
        <v>134</v>
      </c>
      <c r="D1277" t="s">
        <v>134</v>
      </c>
    </row>
    <row r="1278" spans="1:4" x14ac:dyDescent="0.25">
      <c r="A1278" t="s">
        <v>134</v>
      </c>
      <c r="B1278" t="s">
        <v>134</v>
      </c>
      <c r="C1278" t="s">
        <v>134</v>
      </c>
      <c r="D1278" t="s">
        <v>134</v>
      </c>
    </row>
    <row r="1279" spans="1:4" x14ac:dyDescent="0.25">
      <c r="A1279" t="s">
        <v>134</v>
      </c>
      <c r="B1279" t="s">
        <v>134</v>
      </c>
      <c r="C1279" t="s">
        <v>134</v>
      </c>
      <c r="D1279" t="s">
        <v>134</v>
      </c>
    </row>
    <row r="1280" spans="1:4" x14ac:dyDescent="0.25">
      <c r="A1280" t="s">
        <v>134</v>
      </c>
      <c r="B1280" t="s">
        <v>134</v>
      </c>
      <c r="C1280" t="s">
        <v>134</v>
      </c>
      <c r="D1280" t="s">
        <v>134</v>
      </c>
    </row>
    <row r="1281" spans="1:4" x14ac:dyDescent="0.25">
      <c r="A1281" t="s">
        <v>134</v>
      </c>
      <c r="B1281" t="s">
        <v>134</v>
      </c>
      <c r="C1281" t="s">
        <v>134</v>
      </c>
      <c r="D1281" t="s">
        <v>134</v>
      </c>
    </row>
    <row r="1282" spans="1:4" x14ac:dyDescent="0.25">
      <c r="A1282" t="s">
        <v>134</v>
      </c>
      <c r="B1282" t="s">
        <v>134</v>
      </c>
      <c r="C1282" t="s">
        <v>134</v>
      </c>
      <c r="D1282" t="s">
        <v>134</v>
      </c>
    </row>
    <row r="1283" spans="1:4" x14ac:dyDescent="0.25">
      <c r="A1283" t="s">
        <v>134</v>
      </c>
      <c r="B1283" t="s">
        <v>134</v>
      </c>
      <c r="C1283" t="s">
        <v>134</v>
      </c>
      <c r="D1283" t="s">
        <v>134</v>
      </c>
    </row>
    <row r="1284" spans="1:4" x14ac:dyDescent="0.25">
      <c r="A1284" t="s">
        <v>134</v>
      </c>
      <c r="B1284" t="s">
        <v>134</v>
      </c>
      <c r="C1284" t="s">
        <v>134</v>
      </c>
      <c r="D1284" t="s">
        <v>134</v>
      </c>
    </row>
    <row r="1285" spans="1:4" x14ac:dyDescent="0.25">
      <c r="A1285" t="s">
        <v>134</v>
      </c>
      <c r="B1285" t="s">
        <v>134</v>
      </c>
      <c r="C1285" t="s">
        <v>134</v>
      </c>
      <c r="D1285" t="s">
        <v>134</v>
      </c>
    </row>
    <row r="1286" spans="1:4" x14ac:dyDescent="0.25">
      <c r="A1286" t="s">
        <v>134</v>
      </c>
      <c r="B1286" t="s">
        <v>134</v>
      </c>
      <c r="C1286" t="s">
        <v>134</v>
      </c>
      <c r="D1286" t="s">
        <v>134</v>
      </c>
    </row>
    <row r="1287" spans="1:4" x14ac:dyDescent="0.25">
      <c r="A1287" t="s">
        <v>134</v>
      </c>
      <c r="B1287" t="s">
        <v>134</v>
      </c>
      <c r="C1287" t="s">
        <v>134</v>
      </c>
      <c r="D1287" t="s">
        <v>134</v>
      </c>
    </row>
    <row r="1288" spans="1:4" x14ac:dyDescent="0.25">
      <c r="A1288" t="s">
        <v>134</v>
      </c>
      <c r="B1288" t="s">
        <v>134</v>
      </c>
      <c r="C1288" t="s">
        <v>134</v>
      </c>
      <c r="D1288" t="s">
        <v>134</v>
      </c>
    </row>
    <row r="1289" spans="1:4" x14ac:dyDescent="0.25">
      <c r="A1289" t="s">
        <v>134</v>
      </c>
      <c r="B1289" t="s">
        <v>134</v>
      </c>
      <c r="C1289" t="s">
        <v>134</v>
      </c>
      <c r="D1289" t="s">
        <v>134</v>
      </c>
    </row>
    <row r="1290" spans="1:4" x14ac:dyDescent="0.25">
      <c r="A1290" t="s">
        <v>134</v>
      </c>
      <c r="B1290" t="s">
        <v>134</v>
      </c>
      <c r="C1290" t="s">
        <v>134</v>
      </c>
      <c r="D1290" t="s">
        <v>134</v>
      </c>
    </row>
    <row r="1291" spans="1:4" x14ac:dyDescent="0.25">
      <c r="A1291" t="s">
        <v>134</v>
      </c>
      <c r="B1291" t="s">
        <v>134</v>
      </c>
      <c r="C1291" t="s">
        <v>134</v>
      </c>
      <c r="D1291" t="s">
        <v>134</v>
      </c>
    </row>
    <row r="1292" spans="1:4" x14ac:dyDescent="0.25">
      <c r="A1292" t="s">
        <v>134</v>
      </c>
      <c r="B1292" t="s">
        <v>134</v>
      </c>
      <c r="C1292" t="s">
        <v>134</v>
      </c>
      <c r="D1292" t="s">
        <v>134</v>
      </c>
    </row>
    <row r="1293" spans="1:4" x14ac:dyDescent="0.25">
      <c r="A1293" t="s">
        <v>134</v>
      </c>
      <c r="B1293" t="s">
        <v>134</v>
      </c>
      <c r="C1293" t="s">
        <v>134</v>
      </c>
      <c r="D1293" t="s">
        <v>134</v>
      </c>
    </row>
    <row r="1294" spans="1:4" x14ac:dyDescent="0.25">
      <c r="A1294" t="s">
        <v>134</v>
      </c>
      <c r="B1294" t="s">
        <v>134</v>
      </c>
      <c r="C1294" t="s">
        <v>134</v>
      </c>
      <c r="D1294" t="s">
        <v>134</v>
      </c>
    </row>
    <row r="1295" spans="1:4" x14ac:dyDescent="0.25">
      <c r="A1295" t="s">
        <v>134</v>
      </c>
      <c r="B1295" t="s">
        <v>134</v>
      </c>
      <c r="C1295" t="s">
        <v>134</v>
      </c>
      <c r="D1295" t="s">
        <v>134</v>
      </c>
    </row>
    <row r="1296" spans="1:4" x14ac:dyDescent="0.25">
      <c r="A1296" t="s">
        <v>134</v>
      </c>
      <c r="B1296" t="s">
        <v>134</v>
      </c>
      <c r="C1296" t="s">
        <v>134</v>
      </c>
      <c r="D1296" t="s">
        <v>134</v>
      </c>
    </row>
    <row r="1297" spans="1:4" x14ac:dyDescent="0.25">
      <c r="A1297" t="s">
        <v>134</v>
      </c>
      <c r="B1297" t="s">
        <v>134</v>
      </c>
      <c r="C1297" t="s">
        <v>134</v>
      </c>
      <c r="D1297" t="s">
        <v>134</v>
      </c>
    </row>
    <row r="1298" spans="1:4" x14ac:dyDescent="0.25">
      <c r="A1298" t="s">
        <v>134</v>
      </c>
      <c r="B1298" t="s">
        <v>134</v>
      </c>
      <c r="C1298" t="s">
        <v>134</v>
      </c>
      <c r="D1298" t="s">
        <v>134</v>
      </c>
    </row>
    <row r="1299" spans="1:4" x14ac:dyDescent="0.25">
      <c r="A1299" t="s">
        <v>134</v>
      </c>
      <c r="B1299" t="s">
        <v>134</v>
      </c>
      <c r="C1299" t="s">
        <v>134</v>
      </c>
      <c r="D1299" t="s">
        <v>134</v>
      </c>
    </row>
    <row r="1300" spans="1:4" x14ac:dyDescent="0.25">
      <c r="A1300" t="s">
        <v>134</v>
      </c>
      <c r="B1300" t="s">
        <v>134</v>
      </c>
      <c r="C1300" t="s">
        <v>134</v>
      </c>
      <c r="D1300" t="s">
        <v>134</v>
      </c>
    </row>
    <row r="1301" spans="1:4" x14ac:dyDescent="0.25">
      <c r="A1301" t="s">
        <v>134</v>
      </c>
      <c r="B1301" t="s">
        <v>134</v>
      </c>
      <c r="C1301" t="s">
        <v>134</v>
      </c>
      <c r="D1301" t="s">
        <v>134</v>
      </c>
    </row>
    <row r="1302" spans="1:4" x14ac:dyDescent="0.25">
      <c r="A1302" t="s">
        <v>134</v>
      </c>
      <c r="B1302" t="s">
        <v>134</v>
      </c>
      <c r="C1302" t="s">
        <v>134</v>
      </c>
      <c r="D1302" t="s">
        <v>134</v>
      </c>
    </row>
    <row r="1303" spans="1:4" x14ac:dyDescent="0.25">
      <c r="A1303" t="s">
        <v>134</v>
      </c>
      <c r="B1303" t="s">
        <v>134</v>
      </c>
      <c r="C1303" t="s">
        <v>134</v>
      </c>
      <c r="D1303" t="s">
        <v>134</v>
      </c>
    </row>
    <row r="1304" spans="1:4" x14ac:dyDescent="0.25">
      <c r="A1304" t="s">
        <v>134</v>
      </c>
      <c r="B1304" t="s">
        <v>134</v>
      </c>
      <c r="C1304" t="s">
        <v>134</v>
      </c>
      <c r="D1304" t="s">
        <v>134</v>
      </c>
    </row>
    <row r="1305" spans="1:4" x14ac:dyDescent="0.25">
      <c r="A1305" t="s">
        <v>134</v>
      </c>
      <c r="B1305" t="s">
        <v>134</v>
      </c>
      <c r="C1305" t="s">
        <v>134</v>
      </c>
      <c r="D1305" t="s">
        <v>134</v>
      </c>
    </row>
    <row r="1306" spans="1:4" x14ac:dyDescent="0.25">
      <c r="A1306" t="s">
        <v>134</v>
      </c>
      <c r="B1306" t="s">
        <v>134</v>
      </c>
      <c r="C1306" t="s">
        <v>134</v>
      </c>
      <c r="D1306" t="s">
        <v>134</v>
      </c>
    </row>
    <row r="1307" spans="1:4" x14ac:dyDescent="0.25">
      <c r="A1307" t="s">
        <v>134</v>
      </c>
      <c r="B1307" t="s">
        <v>134</v>
      </c>
      <c r="C1307" t="s">
        <v>134</v>
      </c>
      <c r="D1307" t="s">
        <v>134</v>
      </c>
    </row>
    <row r="1308" spans="1:4" x14ac:dyDescent="0.25">
      <c r="A1308" t="s">
        <v>134</v>
      </c>
      <c r="B1308" t="s">
        <v>134</v>
      </c>
      <c r="C1308" t="s">
        <v>134</v>
      </c>
      <c r="D1308" t="s">
        <v>134</v>
      </c>
    </row>
    <row r="1309" spans="1:4" x14ac:dyDescent="0.25">
      <c r="A1309" t="s">
        <v>134</v>
      </c>
      <c r="B1309" t="s">
        <v>134</v>
      </c>
      <c r="C1309" t="s">
        <v>134</v>
      </c>
      <c r="D1309" t="s">
        <v>134</v>
      </c>
    </row>
    <row r="1310" spans="1:4" x14ac:dyDescent="0.25">
      <c r="A1310" t="s">
        <v>134</v>
      </c>
      <c r="B1310" t="s">
        <v>134</v>
      </c>
      <c r="C1310" t="s">
        <v>134</v>
      </c>
      <c r="D1310" t="s">
        <v>134</v>
      </c>
    </row>
    <row r="1311" spans="1:4" x14ac:dyDescent="0.25">
      <c r="A1311" t="s">
        <v>134</v>
      </c>
      <c r="B1311" t="s">
        <v>134</v>
      </c>
      <c r="C1311" t="s">
        <v>134</v>
      </c>
      <c r="D1311" t="s">
        <v>134</v>
      </c>
    </row>
    <row r="1312" spans="1:4" x14ac:dyDescent="0.25">
      <c r="A1312" t="s">
        <v>134</v>
      </c>
      <c r="B1312" t="s">
        <v>134</v>
      </c>
      <c r="C1312" t="s">
        <v>134</v>
      </c>
      <c r="D1312" t="s">
        <v>134</v>
      </c>
    </row>
    <row r="1313" spans="1:4" x14ac:dyDescent="0.25">
      <c r="A1313" t="s">
        <v>134</v>
      </c>
      <c r="B1313" t="s">
        <v>134</v>
      </c>
      <c r="C1313" t="s">
        <v>134</v>
      </c>
      <c r="D1313" t="s">
        <v>134</v>
      </c>
    </row>
    <row r="1314" spans="1:4" x14ac:dyDescent="0.25">
      <c r="A1314" t="s">
        <v>134</v>
      </c>
      <c r="B1314" t="s">
        <v>134</v>
      </c>
      <c r="C1314" t="s">
        <v>134</v>
      </c>
      <c r="D1314" t="s">
        <v>134</v>
      </c>
    </row>
    <row r="1315" spans="1:4" x14ac:dyDescent="0.25">
      <c r="A1315" t="s">
        <v>134</v>
      </c>
      <c r="B1315" t="s">
        <v>134</v>
      </c>
      <c r="C1315" t="s">
        <v>134</v>
      </c>
      <c r="D1315" t="s">
        <v>134</v>
      </c>
    </row>
    <row r="1316" spans="1:4" x14ac:dyDescent="0.25">
      <c r="A1316" t="s">
        <v>134</v>
      </c>
      <c r="B1316" t="s">
        <v>134</v>
      </c>
      <c r="C1316" t="s">
        <v>134</v>
      </c>
      <c r="D1316" t="s">
        <v>134</v>
      </c>
    </row>
    <row r="1317" spans="1:4" x14ac:dyDescent="0.25">
      <c r="A1317" t="s">
        <v>134</v>
      </c>
      <c r="B1317" t="s">
        <v>134</v>
      </c>
      <c r="C1317" t="s">
        <v>134</v>
      </c>
      <c r="D1317" t="s">
        <v>134</v>
      </c>
    </row>
    <row r="1318" spans="1:4" x14ac:dyDescent="0.25">
      <c r="A1318" t="s">
        <v>134</v>
      </c>
      <c r="B1318" t="s">
        <v>134</v>
      </c>
      <c r="C1318" t="s">
        <v>134</v>
      </c>
      <c r="D1318" t="s">
        <v>134</v>
      </c>
    </row>
    <row r="1319" spans="1:4" x14ac:dyDescent="0.25">
      <c r="A1319" t="s">
        <v>134</v>
      </c>
      <c r="B1319" t="s">
        <v>134</v>
      </c>
      <c r="C1319" t="s">
        <v>134</v>
      </c>
      <c r="D1319" t="s">
        <v>134</v>
      </c>
    </row>
    <row r="1320" spans="1:4" x14ac:dyDescent="0.25">
      <c r="A1320" t="s">
        <v>134</v>
      </c>
      <c r="B1320" t="s">
        <v>134</v>
      </c>
      <c r="C1320" t="s">
        <v>134</v>
      </c>
      <c r="D1320" t="s">
        <v>134</v>
      </c>
    </row>
    <row r="1321" spans="1:4" x14ac:dyDescent="0.25">
      <c r="A1321" t="s">
        <v>134</v>
      </c>
      <c r="B1321" t="s">
        <v>134</v>
      </c>
      <c r="C1321" t="s">
        <v>134</v>
      </c>
      <c r="D1321" t="s">
        <v>134</v>
      </c>
    </row>
    <row r="1322" spans="1:4" x14ac:dyDescent="0.25">
      <c r="A1322" t="s">
        <v>134</v>
      </c>
      <c r="B1322" t="s">
        <v>134</v>
      </c>
      <c r="C1322" t="s">
        <v>134</v>
      </c>
      <c r="D1322" t="s">
        <v>134</v>
      </c>
    </row>
    <row r="1323" spans="1:4" x14ac:dyDescent="0.25">
      <c r="A1323" t="s">
        <v>134</v>
      </c>
      <c r="B1323" t="s">
        <v>134</v>
      </c>
      <c r="C1323" t="s">
        <v>134</v>
      </c>
      <c r="D1323" t="s">
        <v>134</v>
      </c>
    </row>
    <row r="1324" spans="1:4" x14ac:dyDescent="0.25">
      <c r="A1324" t="s">
        <v>134</v>
      </c>
      <c r="B1324" t="s">
        <v>134</v>
      </c>
      <c r="C1324" t="s">
        <v>134</v>
      </c>
      <c r="D1324" t="s">
        <v>134</v>
      </c>
    </row>
    <row r="1325" spans="1:4" x14ac:dyDescent="0.25">
      <c r="A1325" t="s">
        <v>134</v>
      </c>
      <c r="B1325" t="s">
        <v>134</v>
      </c>
      <c r="C1325" t="s">
        <v>134</v>
      </c>
      <c r="D1325" t="s">
        <v>134</v>
      </c>
    </row>
    <row r="1326" spans="1:4" x14ac:dyDescent="0.25">
      <c r="A1326" t="s">
        <v>134</v>
      </c>
      <c r="B1326" t="s">
        <v>134</v>
      </c>
      <c r="C1326" t="s">
        <v>134</v>
      </c>
      <c r="D1326" t="s">
        <v>134</v>
      </c>
    </row>
    <row r="1327" spans="1:4" x14ac:dyDescent="0.25">
      <c r="A1327" t="s">
        <v>134</v>
      </c>
      <c r="B1327" t="s">
        <v>134</v>
      </c>
      <c r="C1327" t="s">
        <v>134</v>
      </c>
      <c r="D1327" t="s">
        <v>134</v>
      </c>
    </row>
    <row r="1328" spans="1:4" x14ac:dyDescent="0.25">
      <c r="A1328" t="s">
        <v>134</v>
      </c>
      <c r="B1328" t="s">
        <v>134</v>
      </c>
      <c r="C1328" t="s">
        <v>134</v>
      </c>
      <c r="D1328" t="s">
        <v>134</v>
      </c>
    </row>
    <row r="1329" spans="1:4" x14ac:dyDescent="0.25">
      <c r="A1329" t="s">
        <v>134</v>
      </c>
      <c r="B1329" t="s">
        <v>134</v>
      </c>
      <c r="C1329" t="s">
        <v>134</v>
      </c>
      <c r="D1329" t="s">
        <v>134</v>
      </c>
    </row>
    <row r="1330" spans="1:4" x14ac:dyDescent="0.25">
      <c r="A1330" t="s">
        <v>134</v>
      </c>
      <c r="B1330" t="s">
        <v>134</v>
      </c>
      <c r="C1330" t="s">
        <v>134</v>
      </c>
      <c r="D1330" t="s">
        <v>134</v>
      </c>
    </row>
    <row r="1331" spans="1:4" x14ac:dyDescent="0.25">
      <c r="A1331" t="s">
        <v>134</v>
      </c>
      <c r="B1331" t="s">
        <v>134</v>
      </c>
      <c r="C1331" t="s">
        <v>134</v>
      </c>
      <c r="D1331" t="s">
        <v>134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E0E5A-8B8A-B84C-82BA-E04D66343388}">
  <dimension ref="A1:D115"/>
  <sheetViews>
    <sheetView topLeftCell="A115" workbookViewId="0">
      <selection activeCell="H90" sqref="H90"/>
    </sheetView>
  </sheetViews>
  <sheetFormatPr baseColWidth="10" defaultRowHeight="15" x14ac:dyDescent="0.25"/>
  <sheetData>
    <row r="1" spans="1:4" x14ac:dyDescent="0.25">
      <c r="A1" t="s">
        <v>116</v>
      </c>
      <c r="B1" t="s">
        <v>117</v>
      </c>
      <c r="C1" t="s">
        <v>118</v>
      </c>
      <c r="D1" t="s">
        <v>119</v>
      </c>
    </row>
    <row r="2" spans="1:4" x14ac:dyDescent="0.25">
      <c r="A2" t="s">
        <v>134</v>
      </c>
      <c r="B2" t="s">
        <v>134</v>
      </c>
      <c r="C2" t="s">
        <v>134</v>
      </c>
      <c r="D2" t="s">
        <v>134</v>
      </c>
    </row>
    <row r="3" spans="1:4" x14ac:dyDescent="0.25">
      <c r="A3" t="s">
        <v>134</v>
      </c>
      <c r="B3" t="s">
        <v>134</v>
      </c>
      <c r="C3" t="s">
        <v>134</v>
      </c>
      <c r="D3" t="s">
        <v>134</v>
      </c>
    </row>
    <row r="4" spans="1:4" x14ac:dyDescent="0.25">
      <c r="A4" t="s">
        <v>134</v>
      </c>
      <c r="B4" t="s">
        <v>134</v>
      </c>
      <c r="C4" t="s">
        <v>134</v>
      </c>
      <c r="D4" t="s">
        <v>134</v>
      </c>
    </row>
    <row r="5" spans="1:4" x14ac:dyDescent="0.25">
      <c r="A5" t="s">
        <v>134</v>
      </c>
      <c r="B5" t="s">
        <v>134</v>
      </c>
      <c r="C5" t="s">
        <v>134</v>
      </c>
      <c r="D5" t="s">
        <v>134</v>
      </c>
    </row>
    <row r="6" spans="1:4" x14ac:dyDescent="0.25">
      <c r="A6" t="s">
        <v>134</v>
      </c>
      <c r="B6" t="s">
        <v>134</v>
      </c>
      <c r="C6" t="s">
        <v>134</v>
      </c>
      <c r="D6" t="s">
        <v>134</v>
      </c>
    </row>
    <row r="7" spans="1:4" x14ac:dyDescent="0.25">
      <c r="A7" t="s">
        <v>134</v>
      </c>
      <c r="B7" t="s">
        <v>134</v>
      </c>
      <c r="C7" t="s">
        <v>134</v>
      </c>
      <c r="D7" t="s">
        <v>134</v>
      </c>
    </row>
    <row r="8" spans="1:4" x14ac:dyDescent="0.25">
      <c r="A8" t="s">
        <v>134</v>
      </c>
      <c r="B8" t="s">
        <v>134</v>
      </c>
      <c r="C8" t="s">
        <v>134</v>
      </c>
      <c r="D8" t="s">
        <v>134</v>
      </c>
    </row>
    <row r="9" spans="1:4" x14ac:dyDescent="0.25">
      <c r="A9" t="s">
        <v>134</v>
      </c>
      <c r="B9" t="s">
        <v>134</v>
      </c>
      <c r="C9" t="s">
        <v>134</v>
      </c>
      <c r="D9" t="s">
        <v>134</v>
      </c>
    </row>
    <row r="10" spans="1:4" x14ac:dyDescent="0.25">
      <c r="A10" t="s">
        <v>134</v>
      </c>
      <c r="B10" t="s">
        <v>134</v>
      </c>
      <c r="C10" t="s">
        <v>134</v>
      </c>
      <c r="D10" t="s">
        <v>134</v>
      </c>
    </row>
    <row r="11" spans="1:4" x14ac:dyDescent="0.25">
      <c r="A11" t="s">
        <v>134</v>
      </c>
      <c r="B11" t="s">
        <v>134</v>
      </c>
      <c r="C11" t="s">
        <v>134</v>
      </c>
      <c r="D11" t="s">
        <v>134</v>
      </c>
    </row>
    <row r="12" spans="1:4" x14ac:dyDescent="0.25">
      <c r="A12" t="s">
        <v>134</v>
      </c>
      <c r="B12" t="s">
        <v>134</v>
      </c>
      <c r="C12" t="s">
        <v>134</v>
      </c>
      <c r="D12" t="s">
        <v>134</v>
      </c>
    </row>
    <row r="13" spans="1:4" x14ac:dyDescent="0.25">
      <c r="A13" t="s">
        <v>134</v>
      </c>
      <c r="B13" t="s">
        <v>134</v>
      </c>
      <c r="C13" t="s">
        <v>134</v>
      </c>
      <c r="D13" t="s">
        <v>134</v>
      </c>
    </row>
    <row r="14" spans="1:4" x14ac:dyDescent="0.25">
      <c r="A14" t="s">
        <v>134</v>
      </c>
      <c r="B14" t="s">
        <v>134</v>
      </c>
      <c r="C14" t="s">
        <v>134</v>
      </c>
      <c r="D14" t="s">
        <v>134</v>
      </c>
    </row>
    <row r="15" spans="1:4" x14ac:dyDescent="0.25">
      <c r="A15" t="s">
        <v>134</v>
      </c>
      <c r="B15" t="s">
        <v>134</v>
      </c>
      <c r="C15" t="s">
        <v>134</v>
      </c>
      <c r="D15" t="s">
        <v>134</v>
      </c>
    </row>
    <row r="16" spans="1:4" x14ac:dyDescent="0.25">
      <c r="A16" t="s">
        <v>134</v>
      </c>
      <c r="B16" t="s">
        <v>134</v>
      </c>
      <c r="C16" t="s">
        <v>134</v>
      </c>
      <c r="D16" t="s">
        <v>134</v>
      </c>
    </row>
    <row r="17" spans="1:4" x14ac:dyDescent="0.25">
      <c r="A17" t="s">
        <v>134</v>
      </c>
      <c r="B17" t="s">
        <v>134</v>
      </c>
      <c r="C17" t="s">
        <v>134</v>
      </c>
      <c r="D17" t="s">
        <v>134</v>
      </c>
    </row>
    <row r="18" spans="1:4" x14ac:dyDescent="0.25">
      <c r="A18" t="s">
        <v>134</v>
      </c>
      <c r="B18" t="s">
        <v>134</v>
      </c>
      <c r="C18" t="s">
        <v>134</v>
      </c>
      <c r="D18" t="s">
        <v>134</v>
      </c>
    </row>
    <row r="19" spans="1:4" x14ac:dyDescent="0.25">
      <c r="A19" t="s">
        <v>134</v>
      </c>
      <c r="B19" t="s">
        <v>134</v>
      </c>
      <c r="C19" t="s">
        <v>134</v>
      </c>
      <c r="D19" t="s">
        <v>134</v>
      </c>
    </row>
    <row r="20" spans="1:4" x14ac:dyDescent="0.25">
      <c r="A20" t="s">
        <v>134</v>
      </c>
      <c r="B20" t="s">
        <v>134</v>
      </c>
      <c r="C20" t="s">
        <v>134</v>
      </c>
      <c r="D20" t="s">
        <v>134</v>
      </c>
    </row>
    <row r="21" spans="1:4" x14ac:dyDescent="0.25">
      <c r="A21" s="131">
        <v>2019</v>
      </c>
      <c r="B21" s="131" t="s">
        <v>120</v>
      </c>
      <c r="C21" s="131">
        <v>0</v>
      </c>
      <c r="D21" s="134">
        <v>694</v>
      </c>
    </row>
    <row r="22" spans="1:4" x14ac:dyDescent="0.25">
      <c r="A22" s="131">
        <v>2019</v>
      </c>
      <c r="B22" s="131" t="s">
        <v>120</v>
      </c>
      <c r="C22" s="131">
        <v>1</v>
      </c>
      <c r="D22" s="134">
        <v>107</v>
      </c>
    </row>
    <row r="23" spans="1:4" x14ac:dyDescent="0.25">
      <c r="A23" s="131">
        <v>2019</v>
      </c>
      <c r="B23" s="131" t="s">
        <v>120</v>
      </c>
      <c r="C23" s="131">
        <v>5</v>
      </c>
      <c r="D23" s="134">
        <v>56</v>
      </c>
    </row>
    <row r="24" spans="1:4" x14ac:dyDescent="0.25">
      <c r="A24" s="131">
        <v>2019</v>
      </c>
      <c r="B24" s="131" t="s">
        <v>120</v>
      </c>
      <c r="C24" s="131">
        <v>10</v>
      </c>
      <c r="D24" s="134">
        <v>88</v>
      </c>
    </row>
    <row r="25" spans="1:4" x14ac:dyDescent="0.25">
      <c r="A25" s="131">
        <v>2019</v>
      </c>
      <c r="B25" s="131" t="s">
        <v>120</v>
      </c>
      <c r="C25" s="131">
        <v>15</v>
      </c>
      <c r="D25" s="134">
        <v>290</v>
      </c>
    </row>
    <row r="26" spans="1:4" x14ac:dyDescent="0.25">
      <c r="A26" s="131">
        <v>2019</v>
      </c>
      <c r="B26" s="131" t="s">
        <v>120</v>
      </c>
      <c r="C26" s="131">
        <v>20</v>
      </c>
      <c r="D26" s="134">
        <v>561</v>
      </c>
    </row>
    <row r="27" spans="1:4" x14ac:dyDescent="0.25">
      <c r="A27" s="131">
        <v>2019</v>
      </c>
      <c r="B27" s="131" t="s">
        <v>120</v>
      </c>
      <c r="C27" s="131">
        <v>25</v>
      </c>
      <c r="D27" s="134">
        <v>745</v>
      </c>
    </row>
    <row r="28" spans="1:4" x14ac:dyDescent="0.25">
      <c r="A28" s="131">
        <v>2019</v>
      </c>
      <c r="B28" s="131" t="s">
        <v>120</v>
      </c>
      <c r="C28" s="131">
        <v>30</v>
      </c>
      <c r="D28" s="134">
        <v>866</v>
      </c>
    </row>
    <row r="29" spans="1:4" x14ac:dyDescent="0.25">
      <c r="A29" s="131">
        <v>2019</v>
      </c>
      <c r="B29" s="131" t="s">
        <v>120</v>
      </c>
      <c r="C29" s="131">
        <v>35</v>
      </c>
      <c r="D29" s="134">
        <v>962</v>
      </c>
    </row>
    <row r="30" spans="1:4" x14ac:dyDescent="0.25">
      <c r="A30" s="131">
        <v>2019</v>
      </c>
      <c r="B30" s="131" t="s">
        <v>120</v>
      </c>
      <c r="C30" s="131">
        <v>40</v>
      </c>
      <c r="D30" s="134">
        <v>1209</v>
      </c>
    </row>
    <row r="31" spans="1:4" x14ac:dyDescent="0.25">
      <c r="A31" s="131">
        <v>2019</v>
      </c>
      <c r="B31" s="131" t="s">
        <v>120</v>
      </c>
      <c r="C31" s="131">
        <v>45</v>
      </c>
      <c r="D31" s="134">
        <v>1680</v>
      </c>
    </row>
    <row r="32" spans="1:4" x14ac:dyDescent="0.25">
      <c r="A32" s="131">
        <v>2019</v>
      </c>
      <c r="B32" s="131" t="s">
        <v>120</v>
      </c>
      <c r="C32" s="131">
        <v>50</v>
      </c>
      <c r="D32" s="134">
        <v>2027</v>
      </c>
    </row>
    <row r="33" spans="1:4" x14ac:dyDescent="0.25">
      <c r="A33" s="131">
        <v>2019</v>
      </c>
      <c r="B33" s="131" t="s">
        <v>120</v>
      </c>
      <c r="C33" s="131">
        <v>55</v>
      </c>
      <c r="D33" s="134">
        <v>2511</v>
      </c>
    </row>
    <row r="34" spans="1:4" x14ac:dyDescent="0.25">
      <c r="A34" s="131">
        <v>2019</v>
      </c>
      <c r="B34" s="131" t="s">
        <v>120</v>
      </c>
      <c r="C34" s="131">
        <v>60</v>
      </c>
      <c r="D34" s="134">
        <v>3034</v>
      </c>
    </row>
    <row r="35" spans="1:4" x14ac:dyDescent="0.25">
      <c r="A35" s="131">
        <v>2019</v>
      </c>
      <c r="B35" s="131" t="s">
        <v>120</v>
      </c>
      <c r="C35" s="131">
        <v>65</v>
      </c>
      <c r="D35" s="134">
        <v>3246</v>
      </c>
    </row>
    <row r="36" spans="1:4" x14ac:dyDescent="0.25">
      <c r="A36" s="131">
        <v>2019</v>
      </c>
      <c r="B36" s="131" t="s">
        <v>120</v>
      </c>
      <c r="C36" s="131">
        <v>70</v>
      </c>
      <c r="D36" s="134">
        <v>3323</v>
      </c>
    </row>
    <row r="37" spans="1:4" x14ac:dyDescent="0.25">
      <c r="A37" s="131">
        <v>2019</v>
      </c>
      <c r="B37" s="131" t="s">
        <v>120</v>
      </c>
      <c r="C37" s="131">
        <v>75</v>
      </c>
      <c r="D37" s="134">
        <v>3338</v>
      </c>
    </row>
    <row r="38" spans="1:4" x14ac:dyDescent="0.25">
      <c r="A38" s="131">
        <v>2019</v>
      </c>
      <c r="B38" s="131" t="s">
        <v>120</v>
      </c>
      <c r="C38" s="131">
        <v>80</v>
      </c>
      <c r="D38" s="134">
        <v>3111</v>
      </c>
    </row>
    <row r="39" spans="1:4" x14ac:dyDescent="0.25">
      <c r="A39" s="131">
        <v>2019</v>
      </c>
      <c r="B39" s="131" t="s">
        <v>120</v>
      </c>
      <c r="C39" s="131">
        <v>85</v>
      </c>
      <c r="D39" s="134">
        <v>4952</v>
      </c>
    </row>
    <row r="40" spans="1:4" x14ac:dyDescent="0.25">
      <c r="A40" t="s">
        <v>134</v>
      </c>
      <c r="B40" t="s">
        <v>134</v>
      </c>
      <c r="C40" t="s">
        <v>134</v>
      </c>
      <c r="D40" t="s">
        <v>134</v>
      </c>
    </row>
    <row r="41" spans="1:4" x14ac:dyDescent="0.25">
      <c r="A41" t="s">
        <v>134</v>
      </c>
      <c r="B41" t="s">
        <v>134</v>
      </c>
      <c r="C41" t="s">
        <v>134</v>
      </c>
      <c r="D41" t="s">
        <v>134</v>
      </c>
    </row>
    <row r="42" spans="1:4" x14ac:dyDescent="0.25">
      <c r="A42" t="s">
        <v>134</v>
      </c>
      <c r="B42" t="s">
        <v>134</v>
      </c>
      <c r="C42" t="s">
        <v>134</v>
      </c>
      <c r="D42" t="s">
        <v>134</v>
      </c>
    </row>
    <row r="43" spans="1:4" x14ac:dyDescent="0.25">
      <c r="A43" t="s">
        <v>134</v>
      </c>
      <c r="B43" t="s">
        <v>134</v>
      </c>
      <c r="C43" t="s">
        <v>134</v>
      </c>
      <c r="D43" t="s">
        <v>134</v>
      </c>
    </row>
    <row r="44" spans="1:4" x14ac:dyDescent="0.25">
      <c r="A44" t="s">
        <v>134</v>
      </c>
      <c r="B44" t="s">
        <v>134</v>
      </c>
      <c r="C44" t="s">
        <v>134</v>
      </c>
      <c r="D44" t="s">
        <v>134</v>
      </c>
    </row>
    <row r="45" spans="1:4" x14ac:dyDescent="0.25">
      <c r="A45" t="s">
        <v>134</v>
      </c>
      <c r="B45" t="s">
        <v>134</v>
      </c>
      <c r="C45" t="s">
        <v>134</v>
      </c>
      <c r="D45" t="s">
        <v>134</v>
      </c>
    </row>
    <row r="46" spans="1:4" x14ac:dyDescent="0.25">
      <c r="A46" t="s">
        <v>134</v>
      </c>
      <c r="B46" t="s">
        <v>134</v>
      </c>
      <c r="C46" t="s">
        <v>134</v>
      </c>
      <c r="D46" t="s">
        <v>134</v>
      </c>
    </row>
    <row r="47" spans="1:4" x14ac:dyDescent="0.25">
      <c r="A47" t="s">
        <v>134</v>
      </c>
      <c r="B47" t="s">
        <v>134</v>
      </c>
      <c r="C47" t="s">
        <v>134</v>
      </c>
      <c r="D47" t="s">
        <v>134</v>
      </c>
    </row>
    <row r="48" spans="1:4" x14ac:dyDescent="0.25">
      <c r="A48" t="s">
        <v>134</v>
      </c>
      <c r="B48" t="s">
        <v>134</v>
      </c>
      <c r="C48" t="s">
        <v>134</v>
      </c>
      <c r="D48" t="s">
        <v>134</v>
      </c>
    </row>
    <row r="49" spans="1:4" x14ac:dyDescent="0.25">
      <c r="A49" t="s">
        <v>134</v>
      </c>
      <c r="B49" t="s">
        <v>134</v>
      </c>
      <c r="C49" t="s">
        <v>134</v>
      </c>
      <c r="D49" t="s">
        <v>134</v>
      </c>
    </row>
    <row r="50" spans="1:4" x14ac:dyDescent="0.25">
      <c r="A50" t="s">
        <v>134</v>
      </c>
      <c r="B50" t="s">
        <v>134</v>
      </c>
      <c r="C50" t="s">
        <v>134</v>
      </c>
      <c r="D50" t="s">
        <v>134</v>
      </c>
    </row>
    <row r="51" spans="1:4" x14ac:dyDescent="0.25">
      <c r="A51" t="s">
        <v>134</v>
      </c>
      <c r="B51" t="s">
        <v>134</v>
      </c>
      <c r="C51" t="s">
        <v>134</v>
      </c>
      <c r="D51" t="s">
        <v>134</v>
      </c>
    </row>
    <row r="52" spans="1:4" x14ac:dyDescent="0.25">
      <c r="A52" t="s">
        <v>134</v>
      </c>
      <c r="B52" t="s">
        <v>134</v>
      </c>
      <c r="C52" t="s">
        <v>134</v>
      </c>
      <c r="D52" t="s">
        <v>134</v>
      </c>
    </row>
    <row r="53" spans="1:4" x14ac:dyDescent="0.25">
      <c r="A53" t="s">
        <v>134</v>
      </c>
      <c r="B53" t="s">
        <v>134</v>
      </c>
      <c r="C53" t="s">
        <v>134</v>
      </c>
      <c r="D53" t="s">
        <v>134</v>
      </c>
    </row>
    <row r="54" spans="1:4" x14ac:dyDescent="0.25">
      <c r="A54" t="s">
        <v>134</v>
      </c>
      <c r="B54" t="s">
        <v>134</v>
      </c>
      <c r="C54" t="s">
        <v>134</v>
      </c>
      <c r="D54" t="s">
        <v>134</v>
      </c>
    </row>
    <row r="55" spans="1:4" x14ac:dyDescent="0.25">
      <c r="A55" t="s">
        <v>134</v>
      </c>
      <c r="B55" t="s">
        <v>134</v>
      </c>
      <c r="C55" t="s">
        <v>134</v>
      </c>
      <c r="D55" t="s">
        <v>134</v>
      </c>
    </row>
    <row r="56" spans="1:4" x14ac:dyDescent="0.25">
      <c r="A56" t="s">
        <v>134</v>
      </c>
      <c r="B56" t="s">
        <v>134</v>
      </c>
      <c r="C56" t="s">
        <v>134</v>
      </c>
      <c r="D56" t="s">
        <v>134</v>
      </c>
    </row>
    <row r="57" spans="1:4" x14ac:dyDescent="0.25">
      <c r="A57" t="s">
        <v>134</v>
      </c>
      <c r="B57" t="s">
        <v>134</v>
      </c>
      <c r="C57" t="s">
        <v>134</v>
      </c>
      <c r="D57" t="s">
        <v>134</v>
      </c>
    </row>
    <row r="58" spans="1:4" x14ac:dyDescent="0.25">
      <c r="A58" t="s">
        <v>134</v>
      </c>
      <c r="B58" t="s">
        <v>134</v>
      </c>
      <c r="C58" t="s">
        <v>134</v>
      </c>
      <c r="D58" t="s">
        <v>134</v>
      </c>
    </row>
    <row r="59" spans="1:4" x14ac:dyDescent="0.25">
      <c r="A59" t="s">
        <v>134</v>
      </c>
      <c r="B59" t="s">
        <v>134</v>
      </c>
      <c r="C59" t="s">
        <v>134</v>
      </c>
      <c r="D59" t="s">
        <v>134</v>
      </c>
    </row>
    <row r="60" spans="1:4" x14ac:dyDescent="0.25">
      <c r="A60" t="s">
        <v>134</v>
      </c>
      <c r="B60" t="s">
        <v>134</v>
      </c>
      <c r="C60" t="s">
        <v>134</v>
      </c>
      <c r="D60" t="s">
        <v>134</v>
      </c>
    </row>
    <row r="61" spans="1:4" x14ac:dyDescent="0.25">
      <c r="A61" t="s">
        <v>134</v>
      </c>
      <c r="B61" t="s">
        <v>134</v>
      </c>
      <c r="C61" t="s">
        <v>134</v>
      </c>
      <c r="D61" t="s">
        <v>134</v>
      </c>
    </row>
    <row r="62" spans="1:4" x14ac:dyDescent="0.25">
      <c r="A62" t="s">
        <v>134</v>
      </c>
      <c r="B62" t="s">
        <v>134</v>
      </c>
      <c r="C62" t="s">
        <v>134</v>
      </c>
      <c r="D62" t="s">
        <v>134</v>
      </c>
    </row>
    <row r="63" spans="1:4" x14ac:dyDescent="0.25">
      <c r="A63" t="s">
        <v>134</v>
      </c>
      <c r="B63" t="s">
        <v>134</v>
      </c>
      <c r="C63" t="s">
        <v>134</v>
      </c>
      <c r="D63" t="s">
        <v>134</v>
      </c>
    </row>
    <row r="64" spans="1:4" x14ac:dyDescent="0.25">
      <c r="A64" t="s">
        <v>134</v>
      </c>
      <c r="B64" t="s">
        <v>134</v>
      </c>
      <c r="C64" t="s">
        <v>134</v>
      </c>
      <c r="D64" t="s">
        <v>134</v>
      </c>
    </row>
    <row r="65" spans="1:4" x14ac:dyDescent="0.25">
      <c r="A65" t="s">
        <v>134</v>
      </c>
      <c r="B65" t="s">
        <v>134</v>
      </c>
      <c r="C65" t="s">
        <v>134</v>
      </c>
      <c r="D65" t="s">
        <v>134</v>
      </c>
    </row>
    <row r="66" spans="1:4" x14ac:dyDescent="0.25">
      <c r="A66" t="s">
        <v>134</v>
      </c>
      <c r="B66" t="s">
        <v>134</v>
      </c>
      <c r="C66" t="s">
        <v>134</v>
      </c>
      <c r="D66" t="s">
        <v>134</v>
      </c>
    </row>
    <row r="67" spans="1:4" x14ac:dyDescent="0.25">
      <c r="A67" t="s">
        <v>134</v>
      </c>
      <c r="B67" t="s">
        <v>134</v>
      </c>
      <c r="C67" t="s">
        <v>134</v>
      </c>
      <c r="D67" t="s">
        <v>134</v>
      </c>
    </row>
    <row r="68" spans="1:4" x14ac:dyDescent="0.25">
      <c r="A68" t="s">
        <v>134</v>
      </c>
      <c r="B68" t="s">
        <v>134</v>
      </c>
      <c r="C68" t="s">
        <v>134</v>
      </c>
      <c r="D68" t="s">
        <v>134</v>
      </c>
    </row>
    <row r="69" spans="1:4" x14ac:dyDescent="0.25">
      <c r="A69" t="s">
        <v>134</v>
      </c>
      <c r="B69" t="s">
        <v>134</v>
      </c>
      <c r="C69" t="s">
        <v>134</v>
      </c>
      <c r="D69" t="s">
        <v>134</v>
      </c>
    </row>
    <row r="70" spans="1:4" x14ac:dyDescent="0.25">
      <c r="A70" t="s">
        <v>134</v>
      </c>
      <c r="B70" t="s">
        <v>134</v>
      </c>
      <c r="C70" t="s">
        <v>134</v>
      </c>
      <c r="D70" t="s">
        <v>134</v>
      </c>
    </row>
    <row r="71" spans="1:4" x14ac:dyDescent="0.25">
      <c r="A71" t="s">
        <v>134</v>
      </c>
      <c r="B71" t="s">
        <v>134</v>
      </c>
      <c r="C71" t="s">
        <v>134</v>
      </c>
      <c r="D71" t="s">
        <v>134</v>
      </c>
    </row>
    <row r="72" spans="1:4" x14ac:dyDescent="0.25">
      <c r="A72" t="s">
        <v>134</v>
      </c>
      <c r="B72" t="s">
        <v>134</v>
      </c>
      <c r="C72" t="s">
        <v>134</v>
      </c>
      <c r="D72" t="s">
        <v>134</v>
      </c>
    </row>
    <row r="73" spans="1:4" x14ac:dyDescent="0.25">
      <c r="A73" t="s">
        <v>134</v>
      </c>
      <c r="B73" t="s">
        <v>134</v>
      </c>
      <c r="C73" t="s">
        <v>134</v>
      </c>
      <c r="D73" t="s">
        <v>134</v>
      </c>
    </row>
    <row r="74" spans="1:4" x14ac:dyDescent="0.25">
      <c r="A74" t="s">
        <v>134</v>
      </c>
      <c r="B74" t="s">
        <v>134</v>
      </c>
      <c r="C74" t="s">
        <v>134</v>
      </c>
      <c r="D74" t="s">
        <v>134</v>
      </c>
    </row>
    <row r="75" spans="1:4" x14ac:dyDescent="0.25">
      <c r="A75" t="s">
        <v>134</v>
      </c>
      <c r="B75" t="s">
        <v>134</v>
      </c>
      <c r="C75" t="s">
        <v>134</v>
      </c>
      <c r="D75" t="s">
        <v>134</v>
      </c>
    </row>
    <row r="76" spans="1:4" x14ac:dyDescent="0.25">
      <c r="A76" t="s">
        <v>134</v>
      </c>
      <c r="B76" t="s">
        <v>134</v>
      </c>
      <c r="C76" t="s">
        <v>134</v>
      </c>
      <c r="D76" t="s">
        <v>134</v>
      </c>
    </row>
    <row r="77" spans="1:4" x14ac:dyDescent="0.25">
      <c r="A77" t="s">
        <v>134</v>
      </c>
      <c r="B77" t="s">
        <v>134</v>
      </c>
      <c r="C77" t="s">
        <v>134</v>
      </c>
      <c r="D77" t="s">
        <v>134</v>
      </c>
    </row>
    <row r="78" spans="1:4" x14ac:dyDescent="0.25">
      <c r="A78" s="132">
        <v>2019</v>
      </c>
      <c r="B78" s="132" t="s">
        <v>121</v>
      </c>
      <c r="C78" s="132">
        <v>0</v>
      </c>
      <c r="D78" s="135">
        <v>485</v>
      </c>
    </row>
    <row r="79" spans="1:4" x14ac:dyDescent="0.25">
      <c r="A79" s="132">
        <v>2019</v>
      </c>
      <c r="B79" s="132" t="s">
        <v>121</v>
      </c>
      <c r="C79" s="132">
        <v>1</v>
      </c>
      <c r="D79" s="135">
        <v>106</v>
      </c>
    </row>
    <row r="80" spans="1:4" x14ac:dyDescent="0.25">
      <c r="A80" s="132">
        <v>2019</v>
      </c>
      <c r="B80" s="132" t="s">
        <v>121</v>
      </c>
      <c r="C80" s="132">
        <v>5</v>
      </c>
      <c r="D80" s="135">
        <v>54</v>
      </c>
    </row>
    <row r="81" spans="1:4" x14ac:dyDescent="0.25">
      <c r="A81" s="132">
        <v>2019</v>
      </c>
      <c r="B81" s="132" t="s">
        <v>121</v>
      </c>
      <c r="C81" s="132">
        <v>10</v>
      </c>
      <c r="D81" s="135">
        <v>76</v>
      </c>
    </row>
    <row r="82" spans="1:4" x14ac:dyDescent="0.25">
      <c r="A82" s="132">
        <v>2019</v>
      </c>
      <c r="B82" s="132" t="s">
        <v>121</v>
      </c>
      <c r="C82" s="132">
        <v>15</v>
      </c>
      <c r="D82" s="135">
        <v>112</v>
      </c>
    </row>
    <row r="83" spans="1:4" x14ac:dyDescent="0.25">
      <c r="A83" s="132">
        <v>2019</v>
      </c>
      <c r="B83" s="132" t="s">
        <v>121</v>
      </c>
      <c r="C83" s="132">
        <v>20</v>
      </c>
      <c r="D83" s="135">
        <v>200</v>
      </c>
    </row>
    <row r="84" spans="1:4" x14ac:dyDescent="0.25">
      <c r="A84" s="132">
        <v>2019</v>
      </c>
      <c r="B84" s="132" t="s">
        <v>121</v>
      </c>
      <c r="C84" s="132">
        <v>25</v>
      </c>
      <c r="D84" s="135">
        <v>247</v>
      </c>
    </row>
    <row r="85" spans="1:4" x14ac:dyDescent="0.25">
      <c r="A85" s="132">
        <v>2019</v>
      </c>
      <c r="B85" s="132" t="s">
        <v>121</v>
      </c>
      <c r="C85" s="132">
        <v>30</v>
      </c>
      <c r="D85" s="135">
        <v>259</v>
      </c>
    </row>
    <row r="86" spans="1:4" x14ac:dyDescent="0.25">
      <c r="A86" s="132">
        <v>2019</v>
      </c>
      <c r="B86" s="132" t="s">
        <v>121</v>
      </c>
      <c r="C86" s="132">
        <v>35</v>
      </c>
      <c r="D86" s="135">
        <v>352</v>
      </c>
    </row>
    <row r="87" spans="1:4" x14ac:dyDescent="0.25">
      <c r="A87" s="132">
        <v>2019</v>
      </c>
      <c r="B87" s="132" t="s">
        <v>121</v>
      </c>
      <c r="C87" s="132">
        <v>40</v>
      </c>
      <c r="D87" s="135">
        <v>601</v>
      </c>
    </row>
    <row r="88" spans="1:4" x14ac:dyDescent="0.25">
      <c r="A88" s="132">
        <v>2019</v>
      </c>
      <c r="B88" s="132" t="s">
        <v>121</v>
      </c>
      <c r="C88" s="132">
        <v>45</v>
      </c>
      <c r="D88" s="135">
        <v>915</v>
      </c>
    </row>
    <row r="89" spans="1:4" x14ac:dyDescent="0.25">
      <c r="A89" s="132">
        <v>2019</v>
      </c>
      <c r="B89" s="132" t="s">
        <v>121</v>
      </c>
      <c r="C89" s="132">
        <v>50</v>
      </c>
      <c r="D89" s="135">
        <v>1294</v>
      </c>
    </row>
    <row r="90" spans="1:4" x14ac:dyDescent="0.25">
      <c r="A90" s="132">
        <v>2019</v>
      </c>
      <c r="B90" s="132" t="s">
        <v>121</v>
      </c>
      <c r="C90" s="132">
        <v>55</v>
      </c>
      <c r="D90" s="135">
        <v>1715</v>
      </c>
    </row>
    <row r="91" spans="1:4" x14ac:dyDescent="0.25">
      <c r="A91" s="132">
        <v>2019</v>
      </c>
      <c r="B91" s="132" t="s">
        <v>121</v>
      </c>
      <c r="C91" s="132">
        <v>60</v>
      </c>
      <c r="D91" s="135">
        <v>2222</v>
      </c>
    </row>
    <row r="92" spans="1:4" x14ac:dyDescent="0.25">
      <c r="A92" s="132">
        <v>2019</v>
      </c>
      <c r="B92" s="132" t="s">
        <v>121</v>
      </c>
      <c r="C92" s="132">
        <v>65</v>
      </c>
      <c r="D92" s="135">
        <v>2715</v>
      </c>
    </row>
    <row r="93" spans="1:4" x14ac:dyDescent="0.25">
      <c r="A93" s="132">
        <v>2019</v>
      </c>
      <c r="B93" s="132" t="s">
        <v>121</v>
      </c>
      <c r="C93" s="132">
        <v>70</v>
      </c>
      <c r="D93" s="135">
        <v>3068</v>
      </c>
    </row>
    <row r="94" spans="1:4" x14ac:dyDescent="0.25">
      <c r="A94" s="132">
        <v>2019</v>
      </c>
      <c r="B94" s="132" t="s">
        <v>121</v>
      </c>
      <c r="C94" s="132">
        <v>75</v>
      </c>
      <c r="D94" s="135">
        <v>3311</v>
      </c>
    </row>
    <row r="95" spans="1:4" x14ac:dyDescent="0.25">
      <c r="A95" s="132">
        <v>2019</v>
      </c>
      <c r="B95" s="132" t="s">
        <v>121</v>
      </c>
      <c r="C95" s="132">
        <v>80</v>
      </c>
      <c r="D95" s="135">
        <v>3782</v>
      </c>
    </row>
    <row r="96" spans="1:4" x14ac:dyDescent="0.25">
      <c r="A96" s="132">
        <v>2019</v>
      </c>
      <c r="B96" s="132" t="s">
        <v>121</v>
      </c>
      <c r="C96" s="132">
        <v>85</v>
      </c>
      <c r="D96" s="135">
        <v>8650</v>
      </c>
    </row>
    <row r="97" spans="1:4" x14ac:dyDescent="0.25">
      <c r="A97" t="s">
        <v>134</v>
      </c>
      <c r="B97" t="s">
        <v>134</v>
      </c>
      <c r="C97" t="s">
        <v>134</v>
      </c>
      <c r="D97" t="s">
        <v>134</v>
      </c>
    </row>
    <row r="98" spans="1:4" x14ac:dyDescent="0.25">
      <c r="A98" t="s">
        <v>134</v>
      </c>
      <c r="B98" t="s">
        <v>134</v>
      </c>
      <c r="C98" t="s">
        <v>134</v>
      </c>
      <c r="D98" t="s">
        <v>134</v>
      </c>
    </row>
    <row r="99" spans="1:4" x14ac:dyDescent="0.25">
      <c r="A99" t="s">
        <v>134</v>
      </c>
      <c r="B99" t="s">
        <v>134</v>
      </c>
      <c r="C99" t="s">
        <v>134</v>
      </c>
      <c r="D99" t="s">
        <v>134</v>
      </c>
    </row>
    <row r="100" spans="1:4" x14ac:dyDescent="0.25">
      <c r="A100" t="s">
        <v>134</v>
      </c>
      <c r="B100" t="s">
        <v>134</v>
      </c>
      <c r="C100" t="s">
        <v>134</v>
      </c>
      <c r="D100" t="s">
        <v>134</v>
      </c>
    </row>
    <row r="101" spans="1:4" x14ac:dyDescent="0.25">
      <c r="A101" t="s">
        <v>134</v>
      </c>
      <c r="B101" t="s">
        <v>134</v>
      </c>
      <c r="C101" t="s">
        <v>134</v>
      </c>
      <c r="D101" t="s">
        <v>134</v>
      </c>
    </row>
    <row r="102" spans="1:4" x14ac:dyDescent="0.25">
      <c r="A102" t="s">
        <v>134</v>
      </c>
      <c r="B102" t="s">
        <v>134</v>
      </c>
      <c r="C102" t="s">
        <v>134</v>
      </c>
      <c r="D102" t="s">
        <v>134</v>
      </c>
    </row>
    <row r="103" spans="1:4" x14ac:dyDescent="0.25">
      <c r="A103" t="s">
        <v>134</v>
      </c>
      <c r="B103" t="s">
        <v>134</v>
      </c>
      <c r="C103" t="s">
        <v>134</v>
      </c>
      <c r="D103" t="s">
        <v>134</v>
      </c>
    </row>
    <row r="104" spans="1:4" x14ac:dyDescent="0.25">
      <c r="A104" t="s">
        <v>134</v>
      </c>
      <c r="B104" t="s">
        <v>134</v>
      </c>
      <c r="C104" t="s">
        <v>134</v>
      </c>
      <c r="D104" t="s">
        <v>134</v>
      </c>
    </row>
    <row r="105" spans="1:4" x14ac:dyDescent="0.25">
      <c r="A105" t="s">
        <v>134</v>
      </c>
      <c r="B105" t="s">
        <v>134</v>
      </c>
      <c r="C105" t="s">
        <v>134</v>
      </c>
      <c r="D105" t="s">
        <v>134</v>
      </c>
    </row>
    <row r="106" spans="1:4" x14ac:dyDescent="0.25">
      <c r="A106" t="s">
        <v>134</v>
      </c>
      <c r="B106" t="s">
        <v>134</v>
      </c>
      <c r="C106" t="s">
        <v>134</v>
      </c>
      <c r="D106" t="s">
        <v>134</v>
      </c>
    </row>
    <row r="107" spans="1:4" x14ac:dyDescent="0.25">
      <c r="A107" t="s">
        <v>134</v>
      </c>
      <c r="B107" t="s">
        <v>134</v>
      </c>
      <c r="C107" t="s">
        <v>134</v>
      </c>
      <c r="D107" t="s">
        <v>134</v>
      </c>
    </row>
    <row r="108" spans="1:4" x14ac:dyDescent="0.25">
      <c r="A108" t="s">
        <v>134</v>
      </c>
      <c r="B108" t="s">
        <v>134</v>
      </c>
      <c r="C108" t="s">
        <v>134</v>
      </c>
      <c r="D108" t="s">
        <v>134</v>
      </c>
    </row>
    <row r="109" spans="1:4" x14ac:dyDescent="0.25">
      <c r="A109" t="s">
        <v>134</v>
      </c>
      <c r="B109" t="s">
        <v>134</v>
      </c>
      <c r="C109" t="s">
        <v>134</v>
      </c>
      <c r="D109" t="s">
        <v>134</v>
      </c>
    </row>
    <row r="110" spans="1:4" x14ac:dyDescent="0.25">
      <c r="A110" t="s">
        <v>134</v>
      </c>
      <c r="B110" t="s">
        <v>134</v>
      </c>
      <c r="C110" t="s">
        <v>134</v>
      </c>
      <c r="D110" t="s">
        <v>134</v>
      </c>
    </row>
    <row r="111" spans="1:4" x14ac:dyDescent="0.25">
      <c r="A111" t="s">
        <v>134</v>
      </c>
      <c r="B111" t="s">
        <v>134</v>
      </c>
      <c r="C111" t="s">
        <v>134</v>
      </c>
      <c r="D111" t="s">
        <v>134</v>
      </c>
    </row>
    <row r="112" spans="1:4" x14ac:dyDescent="0.25">
      <c r="A112" t="s">
        <v>134</v>
      </c>
      <c r="B112" t="s">
        <v>134</v>
      </c>
      <c r="C112" t="s">
        <v>134</v>
      </c>
      <c r="D112" t="s">
        <v>134</v>
      </c>
    </row>
    <row r="113" spans="1:4" x14ac:dyDescent="0.25">
      <c r="A113" t="s">
        <v>134</v>
      </c>
      <c r="B113" t="s">
        <v>134</v>
      </c>
      <c r="C113" t="s">
        <v>134</v>
      </c>
      <c r="D113" t="s">
        <v>134</v>
      </c>
    </row>
    <row r="114" spans="1:4" x14ac:dyDescent="0.25">
      <c r="A114" t="s">
        <v>134</v>
      </c>
      <c r="B114" t="s">
        <v>134</v>
      </c>
      <c r="C114" t="s">
        <v>134</v>
      </c>
      <c r="D114" t="s">
        <v>134</v>
      </c>
    </row>
    <row r="115" spans="1:4" x14ac:dyDescent="0.25">
      <c r="A115" t="s">
        <v>134</v>
      </c>
      <c r="B115" t="s">
        <v>134</v>
      </c>
      <c r="C115" t="s">
        <v>134</v>
      </c>
      <c r="D115" t="s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24</vt:i4>
      </vt:variant>
    </vt:vector>
  </HeadingPairs>
  <TitlesOfParts>
    <vt:vector size="31" baseType="lpstr">
      <vt:lpstr>Introduction</vt:lpstr>
      <vt:lpstr>Coefficients</vt:lpstr>
      <vt:lpstr>Model LTs</vt:lpstr>
      <vt:lpstr>Decrementos Múltiples</vt:lpstr>
      <vt:lpstr>LT</vt:lpstr>
      <vt:lpstr>Homicidios</vt:lpstr>
      <vt:lpstr>Defunciones generales</vt:lpstr>
      <vt:lpstr>Coeffs_111</vt:lpstr>
      <vt:lpstr>Coeffs_112</vt:lpstr>
      <vt:lpstr>Coeffs_113</vt:lpstr>
      <vt:lpstr>Coeffs_121</vt:lpstr>
      <vt:lpstr>Coeffs_122</vt:lpstr>
      <vt:lpstr>Coeffs_123</vt:lpstr>
      <vt:lpstr>Coeffs_131</vt:lpstr>
      <vt:lpstr>Coeffs_132</vt:lpstr>
      <vt:lpstr>Coeffs_133</vt:lpstr>
      <vt:lpstr>Coeffs_141</vt:lpstr>
      <vt:lpstr>Coeffs_142</vt:lpstr>
      <vt:lpstr>Coeffs_143</vt:lpstr>
      <vt:lpstr>Coeffs_211</vt:lpstr>
      <vt:lpstr>Coeffs_221</vt:lpstr>
      <vt:lpstr>Coeffs_231</vt:lpstr>
      <vt:lpstr>Coeffs_241</vt:lpstr>
      <vt:lpstr>Coeffs_251</vt:lpstr>
      <vt:lpstr>Family</vt:lpstr>
      <vt:lpstr>FamSelect</vt:lpstr>
      <vt:lpstr>Princeton</vt:lpstr>
      <vt:lpstr>Sex</vt:lpstr>
      <vt:lpstr>TypeSelect</vt:lpstr>
      <vt:lpstr>UN</vt:lpstr>
      <vt:lpstr>Variant</vt:lpstr>
    </vt:vector>
  </TitlesOfParts>
  <Company>University of Cape Town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01404747</dc:creator>
  <cp:lastModifiedBy>Rafael Ruíz</cp:lastModifiedBy>
  <dcterms:created xsi:type="dcterms:W3CDTF">2012-05-08T12:24:09Z</dcterms:created>
  <dcterms:modified xsi:type="dcterms:W3CDTF">2026-06-05T00:55:21Z</dcterms:modified>
</cp:coreProperties>
</file>