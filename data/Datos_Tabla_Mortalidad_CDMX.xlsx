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afa\Proyecto final demografía\Demography_9219\data\"/>
    </mc:Choice>
  </mc:AlternateContent>
  <xr:revisionPtr revIDLastSave="0" documentId="13_ncr:1_{8B350D20-A022-4B49-9CA9-25FB83A0F705}" xr6:coauthVersionLast="47" xr6:coauthVersionMax="47" xr10:uidLastSave="{00000000-0000-0000-0000-000000000000}"/>
  <bookViews>
    <workbookView xWindow="-120" yWindow="-120" windowWidth="20730" windowHeight="11310" xr2:uid="{45F953CB-AACF-024F-88B1-CE3D562CB5AD}"/>
  </bookViews>
  <sheets>
    <sheet name="Tabla de Mortalidad Mujeres" sheetId="1" r:id="rId1"/>
    <sheet name="Tabla de Mortalidad Hombres " sheetId="2" r:id="rId2"/>
    <sheet name="Mujeres" sheetId="3" r:id="rId3"/>
    <sheet name="Homb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5" i="2"/>
  <c r="C4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5" i="1"/>
  <c r="C4" i="1"/>
</calcChain>
</file>

<file path=xl/sharedStrings.xml><?xml version="1.0" encoding="utf-8"?>
<sst xmlns="http://schemas.openxmlformats.org/spreadsheetml/2006/main" count="30" uniqueCount="15">
  <si>
    <t xml:space="preserve">Tabla de Mortalidad mujeres </t>
  </si>
  <si>
    <t xml:space="preserve">Tabla de Mortalidad Hombres </t>
  </si>
  <si>
    <t xml:space="preserve">x </t>
  </si>
  <si>
    <t xml:space="preserve">n </t>
  </si>
  <si>
    <t>nMx</t>
  </si>
  <si>
    <t xml:space="preserve">nDx </t>
  </si>
  <si>
    <t xml:space="preserve">nmx </t>
  </si>
  <si>
    <t xml:space="preserve">nax </t>
  </si>
  <si>
    <t>nqx</t>
  </si>
  <si>
    <t>npx</t>
  </si>
  <si>
    <t xml:space="preserve">lx </t>
  </si>
  <si>
    <t>ndx</t>
  </si>
  <si>
    <t xml:space="preserve">nLx </t>
  </si>
  <si>
    <t xml:space="preserve">Tx </t>
  </si>
  <si>
    <t xml:space="preserve">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</si>
</sst>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C73-3377-1D49-9902-8ABC9947BCB4}">
  <dimension ref="A1:M22"/>
  <sheetViews>
    <sheetView tabSelected="1" workbookViewId="0">
      <selection activeCell="D22" sqref="D22"/>
    </sheetView>
  </sheetViews>
  <sheetFormatPr baseColWidth="10" defaultRowHeight="15.75" x14ac:dyDescent="0.25"/>
  <sheetData>
    <row r="1" spans="1:13" x14ac:dyDescent="0.25">
      <c r="A1" t="s">
        <v>0</v>
      </c>
    </row>
    <row r="3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5">
      <c r="A4" s="4">
        <v>0</v>
      </c>
      <c r="B4" s="1">
        <v>1</v>
      </c>
      <c r="C4" s="3">
        <f>D4/Mujeres!A3</f>
        <v>41159.242598785168</v>
      </c>
      <c r="D4" s="5">
        <v>39014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>
        <v>1</v>
      </c>
      <c r="B5" s="2">
        <v>4</v>
      </c>
      <c r="C5" s="3">
        <f>D5/Mujeres!A4</f>
        <v>200150.36259921559</v>
      </c>
      <c r="D5" s="5">
        <v>5150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4">
        <v>5</v>
      </c>
      <c r="B6" s="2">
        <v>5</v>
      </c>
      <c r="C6" s="3">
        <f>D6/Mujeres!A5</f>
        <v>281464.21899999998</v>
      </c>
      <c r="D6" s="5">
        <v>2697</v>
      </c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4">
        <v>10</v>
      </c>
      <c r="B7" s="2">
        <v>5</v>
      </c>
      <c r="C7" s="3">
        <f>D7/Mujeres!A6</f>
        <v>302383.62900000002</v>
      </c>
      <c r="D7" s="5">
        <v>2946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4">
        <v>15</v>
      </c>
      <c r="B8" s="2">
        <v>5</v>
      </c>
      <c r="C8" s="3">
        <f>D8/Mujeres!A7</f>
        <v>322888.02600000001</v>
      </c>
      <c r="D8" s="5">
        <v>5659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4">
        <v>20</v>
      </c>
      <c r="B9" s="2">
        <v>5</v>
      </c>
      <c r="C9" s="3">
        <f>D9/Mujeres!A8</f>
        <v>358243.18599999999</v>
      </c>
      <c r="D9" s="5">
        <v>7332</v>
      </c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4">
        <v>25</v>
      </c>
      <c r="B10" s="2">
        <v>5</v>
      </c>
      <c r="C10" s="3">
        <f>D10/Mujeres!A9</f>
        <v>380688.283</v>
      </c>
      <c r="D10" s="5">
        <v>8554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4">
        <v>30</v>
      </c>
      <c r="B11" s="2">
        <v>5</v>
      </c>
      <c r="C11" s="3">
        <f>D11/Mujeres!A10</f>
        <v>380119.34899999999</v>
      </c>
      <c r="D11" s="5">
        <v>10557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4">
        <v>35</v>
      </c>
      <c r="B12" s="2">
        <v>5</v>
      </c>
      <c r="C12" s="3">
        <f>D12/Mujeres!A11</f>
        <v>367296.37900000002</v>
      </c>
      <c r="D12" s="5">
        <v>14259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4">
        <v>40</v>
      </c>
      <c r="B13" s="2">
        <v>5</v>
      </c>
      <c r="C13" s="3">
        <f>D13/Mujeres!A12</f>
        <v>352496.565</v>
      </c>
      <c r="D13" s="5">
        <v>19836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4">
        <v>45</v>
      </c>
      <c r="B14" s="2">
        <v>5</v>
      </c>
      <c r="C14" s="3">
        <f>D14/Mujeres!A13</f>
        <v>351613.3</v>
      </c>
      <c r="D14" s="5">
        <v>29202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>
        <v>50</v>
      </c>
      <c r="B15" s="2">
        <v>5</v>
      </c>
      <c r="C15" s="3">
        <f>D15/Mujeres!A14</f>
        <v>333069.23800000001</v>
      </c>
      <c r="D15" s="5">
        <v>40024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>
        <v>55</v>
      </c>
      <c r="B16" s="2">
        <v>5</v>
      </c>
      <c r="C16" s="3">
        <f>D16/Mujeres!A15</f>
        <v>281391.136</v>
      </c>
      <c r="D16" s="5">
        <v>53150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4">
        <v>60</v>
      </c>
      <c r="B17" s="2">
        <v>5</v>
      </c>
      <c r="C17" s="3">
        <f>D17/Mujeres!A16</f>
        <v>253658.04199999999</v>
      </c>
      <c r="D17" s="5">
        <v>68338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4">
        <v>65</v>
      </c>
      <c r="B18" s="2">
        <v>5</v>
      </c>
      <c r="C18" s="3">
        <f>D18/Mujeres!A17</f>
        <v>193140.62899999999</v>
      </c>
      <c r="D18" s="5">
        <v>82804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4">
        <v>70</v>
      </c>
      <c r="B19" s="2">
        <v>5</v>
      </c>
      <c r="C19" s="3">
        <f>D19/Mujeres!A18</f>
        <v>148810.791</v>
      </c>
      <c r="D19" s="5">
        <v>95186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4">
        <v>75</v>
      </c>
      <c r="B20" s="2">
        <v>5</v>
      </c>
      <c r="C20" s="3">
        <f>D20/Mujeres!A19</f>
        <v>98970.747299999988</v>
      </c>
      <c r="D20" s="5">
        <v>106789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4">
        <v>80</v>
      </c>
      <c r="B21" s="2">
        <v>5</v>
      </c>
      <c r="C21" s="3">
        <f>D21/Mujeres!A20</f>
        <v>70046.554099999994</v>
      </c>
      <c r="D21" s="5">
        <v>115310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4">
        <v>85</v>
      </c>
      <c r="B22" s="2"/>
      <c r="C22" s="3">
        <f>D22/Mujeres!A21</f>
        <v>67061.372099999993</v>
      </c>
      <c r="D22" s="5">
        <v>226406</v>
      </c>
      <c r="E22" s="3"/>
      <c r="F22" s="3"/>
      <c r="G22" s="3"/>
      <c r="H22" s="3"/>
      <c r="I22" s="3"/>
      <c r="J22" s="3"/>
      <c r="K22" s="3"/>
      <c r="L22" s="3"/>
      <c r="M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7880-45E7-0443-998B-9D1657A1456E}">
  <dimension ref="A1:M22"/>
  <sheetViews>
    <sheetView topLeftCell="A24" workbookViewId="0">
      <selection activeCell="C25" sqref="C25:C43"/>
    </sheetView>
  </sheetViews>
  <sheetFormatPr baseColWidth="10" defaultRowHeight="15.75" x14ac:dyDescent="0.25"/>
  <sheetData>
    <row r="1" spans="1:13" x14ac:dyDescent="0.25">
      <c r="A1" t="s">
        <v>1</v>
      </c>
    </row>
    <row r="3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5">
      <c r="A4" s="4">
        <v>0</v>
      </c>
      <c r="B4" s="1">
        <v>1</v>
      </c>
      <c r="C4" s="3">
        <f>D4/Hombres!A3</f>
        <v>42317.937985787707</v>
      </c>
      <c r="D4" s="5">
        <v>50449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>
        <v>1</v>
      </c>
      <c r="B5" s="2">
        <v>4</v>
      </c>
      <c r="C5" s="3">
        <f>D5/Hombres!A4</f>
        <v>205156.40142936358</v>
      </c>
      <c r="D5" s="5">
        <v>6196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4">
        <v>5</v>
      </c>
      <c r="B6" s="2">
        <v>5</v>
      </c>
      <c r="C6" s="3">
        <f>D6/Hombres!A5</f>
        <v>290343.92700000003</v>
      </c>
      <c r="D6" s="5">
        <v>3234</v>
      </c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4">
        <v>10</v>
      </c>
      <c r="B7" s="2">
        <v>5</v>
      </c>
      <c r="C7" s="3">
        <f>D7/Hombres!A6</f>
        <v>311772.05499999999</v>
      </c>
      <c r="D7" s="5">
        <v>3988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4">
        <v>15</v>
      </c>
      <c r="B8" s="2">
        <v>5</v>
      </c>
      <c r="C8" s="3">
        <f>D8/Hombres!A7</f>
        <v>334250.92099999997</v>
      </c>
      <c r="D8" s="5">
        <v>12474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4">
        <v>20</v>
      </c>
      <c r="B9" s="2">
        <v>5</v>
      </c>
      <c r="C9" s="3">
        <f>D9/Hombres!A8</f>
        <v>360980.01400000002</v>
      </c>
      <c r="D9" s="5">
        <v>21116</v>
      </c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4">
        <v>25</v>
      </c>
      <c r="B10" s="2">
        <v>5</v>
      </c>
      <c r="C10" s="3">
        <f>D10/Hombres!A9</f>
        <v>371670.93900000001</v>
      </c>
      <c r="D10" s="5">
        <v>25764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4">
        <v>30</v>
      </c>
      <c r="B11" s="2">
        <v>5</v>
      </c>
      <c r="C11" s="3">
        <f>D11/Hombres!A10</f>
        <v>362367.95400000003</v>
      </c>
      <c r="D11" s="5">
        <v>30175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4">
        <v>35</v>
      </c>
      <c r="B12" s="2">
        <v>5</v>
      </c>
      <c r="C12" s="3">
        <f>D12/Hombres!A11</f>
        <v>341569.02500000002</v>
      </c>
      <c r="D12" s="5">
        <v>35522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4">
        <v>40</v>
      </c>
      <c r="B13" s="2">
        <v>5</v>
      </c>
      <c r="C13" s="3">
        <f>D13/Hombres!A12</f>
        <v>316510.489</v>
      </c>
      <c r="D13" s="5">
        <v>41456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4">
        <v>45</v>
      </c>
      <c r="B14" s="2">
        <v>5</v>
      </c>
      <c r="C14" s="3">
        <f>D14/Hombres!A13</f>
        <v>310092.38799999998</v>
      </c>
      <c r="D14" s="5">
        <v>51386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>
        <v>50</v>
      </c>
      <c r="B15" s="2">
        <v>5</v>
      </c>
      <c r="C15" s="3">
        <f>D15/Hombres!A14</f>
        <v>282672.16399999999</v>
      </c>
      <c r="D15" s="5">
        <v>62275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>
        <v>55</v>
      </c>
      <c r="B16" s="2">
        <v>5</v>
      </c>
      <c r="C16" s="3">
        <f>D16/Hombres!A15</f>
        <v>235278.02</v>
      </c>
      <c r="D16" s="5">
        <v>74606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4">
        <v>60</v>
      </c>
      <c r="B17" s="2">
        <v>5</v>
      </c>
      <c r="C17" s="3">
        <f>D17/Hombres!A16</f>
        <v>203731.67499999999</v>
      </c>
      <c r="D17" s="5">
        <v>86957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4">
        <v>65</v>
      </c>
      <c r="B18" s="2">
        <v>5</v>
      </c>
      <c r="C18" s="3">
        <f>D18/Hombres!A17</f>
        <v>152571.318</v>
      </c>
      <c r="D18" s="5">
        <v>94843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4">
        <v>70</v>
      </c>
      <c r="B19" s="2">
        <v>5</v>
      </c>
      <c r="C19" s="3">
        <f>D19/Hombres!A18</f>
        <v>111935.031</v>
      </c>
      <c r="D19" s="5">
        <v>100787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4">
        <v>75</v>
      </c>
      <c r="B20" s="2">
        <v>5</v>
      </c>
      <c r="C20" s="3">
        <f>D20/Hombres!A19</f>
        <v>72394.090599999996</v>
      </c>
      <c r="D20" s="5">
        <v>100092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4">
        <v>80</v>
      </c>
      <c r="B21" s="2">
        <v>5</v>
      </c>
      <c r="C21" s="3">
        <f>D21/Hombres!A20</f>
        <v>45013.495300000002</v>
      </c>
      <c r="D21" s="5">
        <v>91138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4">
        <v>85</v>
      </c>
      <c r="B22" s="3"/>
      <c r="C22" s="3">
        <f>D22/Hombres!A21</f>
        <v>35718.739600000001</v>
      </c>
      <c r="D22" s="5">
        <v>128221</v>
      </c>
      <c r="E22" s="3"/>
      <c r="F22" s="3"/>
      <c r="G22" s="3"/>
      <c r="H22" s="3"/>
      <c r="I22" s="3"/>
      <c r="J22" s="3"/>
      <c r="K22" s="3"/>
      <c r="L22" s="3"/>
      <c r="M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C6FC-409A-4D0A-9423-9B089A1B462D}">
  <dimension ref="A2:A21"/>
  <sheetViews>
    <sheetView zoomScale="90" zoomScaleNormal="90" workbookViewId="0">
      <selection activeCell="A2" sqref="A2"/>
    </sheetView>
  </sheetViews>
  <sheetFormatPr baseColWidth="10" defaultRowHeight="15.75" x14ac:dyDescent="0.25"/>
  <sheetData>
    <row r="2" spans="1:1" x14ac:dyDescent="0.25">
      <c r="A2" t="s">
        <v>4</v>
      </c>
    </row>
    <row r="3" spans="1:1" x14ac:dyDescent="0.25">
      <c r="A3" s="3">
        <v>0.94787944424301707</v>
      </c>
    </row>
    <row r="4" spans="1:1" x14ac:dyDescent="0.25">
      <c r="A4" s="3">
        <v>2.5730655358903575E-2</v>
      </c>
    </row>
    <row r="5" spans="1:1" x14ac:dyDescent="0.25">
      <c r="A5" s="3">
        <v>9.5820350081514266E-3</v>
      </c>
    </row>
    <row r="6" spans="1:1" x14ac:dyDescent="0.25">
      <c r="A6" s="3">
        <v>9.7425909257805744E-3</v>
      </c>
    </row>
    <row r="7" spans="1:1" x14ac:dyDescent="0.25">
      <c r="A7" s="3">
        <v>1.7526199624386195E-2</v>
      </c>
    </row>
    <row r="8" spans="1:1" x14ac:dyDescent="0.25">
      <c r="A8" s="3">
        <v>2.0466544198275413E-2</v>
      </c>
    </row>
    <row r="9" spans="1:1" x14ac:dyDescent="0.25">
      <c r="A9" s="3">
        <v>2.2469827367920331E-2</v>
      </c>
    </row>
    <row r="10" spans="1:1" x14ac:dyDescent="0.25">
      <c r="A10" s="3">
        <v>2.7772856151029555E-2</v>
      </c>
    </row>
    <row r="11" spans="1:1" x14ac:dyDescent="0.25">
      <c r="A11" s="3">
        <v>3.882150986301991E-2</v>
      </c>
    </row>
    <row r="12" spans="1:1" x14ac:dyDescent="0.25">
      <c r="A12" s="3">
        <v>5.6272888786873712E-2</v>
      </c>
    </row>
    <row r="13" spans="1:1" x14ac:dyDescent="0.25">
      <c r="A13" s="3">
        <v>8.3051465914400852E-2</v>
      </c>
    </row>
    <row r="14" spans="1:1" x14ac:dyDescent="0.25">
      <c r="A14" s="3">
        <v>0.12016720679560326</v>
      </c>
    </row>
    <row r="15" spans="1:1" x14ac:dyDescent="0.25">
      <c r="A15" s="3">
        <v>0.18888299310181542</v>
      </c>
    </row>
    <row r="16" spans="1:1" x14ac:dyDescent="0.25">
      <c r="A16" s="3">
        <v>0.26940994837451282</v>
      </c>
    </row>
    <row r="17" spans="1:1" x14ac:dyDescent="0.25">
      <c r="A17" s="3">
        <v>0.42872388077394119</v>
      </c>
    </row>
    <row r="18" spans="1:1" x14ac:dyDescent="0.25">
      <c r="A18" s="3">
        <v>0.63964447309469652</v>
      </c>
    </row>
    <row r="19" spans="1:1" x14ac:dyDescent="0.25">
      <c r="A19" s="3">
        <v>1.0789955912558822</v>
      </c>
    </row>
    <row r="20" spans="1:1" x14ac:dyDescent="0.25">
      <c r="A20" s="3">
        <v>1.6461909009168521</v>
      </c>
    </row>
    <row r="21" spans="1:1" x14ac:dyDescent="0.25">
      <c r="A21" s="3">
        <v>3.376101515823295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C32D-E305-4F8D-899E-272C2B6F92A2}">
  <dimension ref="A2:A21"/>
  <sheetViews>
    <sheetView workbookViewId="0">
      <selection activeCell="A2" sqref="A2"/>
    </sheetView>
  </sheetViews>
  <sheetFormatPr baseColWidth="10" defaultRowHeight="15.75" x14ac:dyDescent="0.25"/>
  <sheetData>
    <row r="2" spans="1:1" x14ac:dyDescent="0.25">
      <c r="A2" t="s">
        <v>4</v>
      </c>
    </row>
    <row r="3" spans="1:1" x14ac:dyDescent="0.25">
      <c r="A3" s="3">
        <v>1.1921422073292671</v>
      </c>
    </row>
    <row r="4" spans="1:1" x14ac:dyDescent="0.25">
      <c r="A4" s="3">
        <v>3.0201348614185528E-2</v>
      </c>
    </row>
    <row r="5" spans="1:1" x14ac:dyDescent="0.25">
      <c r="A5" s="3">
        <v>1.1138514359213718E-2</v>
      </c>
    </row>
    <row r="6" spans="1:1" x14ac:dyDescent="0.25">
      <c r="A6" s="3">
        <v>1.2791396586201416E-2</v>
      </c>
    </row>
    <row r="7" spans="1:1" x14ac:dyDescent="0.25">
      <c r="A7" s="3">
        <v>3.7319268897392212E-2</v>
      </c>
    </row>
    <row r="8" spans="1:1" x14ac:dyDescent="0.25">
      <c r="A8" s="3">
        <v>5.8496313316670212E-2</v>
      </c>
    </row>
    <row r="9" spans="1:1" x14ac:dyDescent="0.25">
      <c r="A9" s="3">
        <v>6.9319382541232252E-2</v>
      </c>
    </row>
    <row r="10" spans="1:1" x14ac:dyDescent="0.25">
      <c r="A10" s="3">
        <v>8.3271712266256293E-2</v>
      </c>
    </row>
    <row r="11" spans="1:1" x14ac:dyDescent="0.25">
      <c r="A11" s="3">
        <v>0.10399654945292536</v>
      </c>
    </row>
    <row r="12" spans="1:1" x14ac:dyDescent="0.25">
      <c r="A12" s="3">
        <v>0.13097828173397438</v>
      </c>
    </row>
    <row r="13" spans="1:1" x14ac:dyDescent="0.25">
      <c r="A13" s="3">
        <v>0.1657119038987826</v>
      </c>
    </row>
    <row r="14" spans="1:1" x14ac:dyDescent="0.25">
      <c r="A14" s="3">
        <v>0.22030821542088594</v>
      </c>
    </row>
    <row r="15" spans="1:1" x14ac:dyDescent="0.25">
      <c r="A15" s="3">
        <v>0.31709719420454152</v>
      </c>
    </row>
    <row r="16" spans="1:1" x14ac:dyDescent="0.25">
      <c r="A16" s="3">
        <v>0.42682120980942218</v>
      </c>
    </row>
    <row r="17" spans="1:1" x14ac:dyDescent="0.25">
      <c r="A17" s="3">
        <v>0.62163060032030393</v>
      </c>
    </row>
    <row r="18" spans="1:1" x14ac:dyDescent="0.25">
      <c r="A18" s="3">
        <v>0.90040623654269591</v>
      </c>
    </row>
    <row r="19" spans="1:1" x14ac:dyDescent="0.25">
      <c r="A19" s="3">
        <v>1.3825990377175896</v>
      </c>
    </row>
    <row r="20" spans="1:1" x14ac:dyDescent="0.25">
      <c r="A20" s="3">
        <v>2.0246816958468896</v>
      </c>
    </row>
    <row r="21" spans="1:1" x14ac:dyDescent="0.25">
      <c r="A21" s="3">
        <v>3.5897403277914095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Mortalidad Mujeres</vt:lpstr>
      <vt:lpstr>Tabla de Mortalidad Hombres </vt:lpstr>
      <vt:lpstr>Mujeres</vt:lpstr>
      <vt:lpstr>Hombres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JOSELYN MELENDEZ GUERRERO</dc:creator>
  <cp:lastModifiedBy>Rafael Ruíz</cp:lastModifiedBy>
  <dcterms:created xsi:type="dcterms:W3CDTF">2026-05-15T19:43:12Z</dcterms:created>
  <dcterms:modified xsi:type="dcterms:W3CDTF">2026-05-16T04:00:13Z</dcterms:modified>
</cp:coreProperties>
</file>